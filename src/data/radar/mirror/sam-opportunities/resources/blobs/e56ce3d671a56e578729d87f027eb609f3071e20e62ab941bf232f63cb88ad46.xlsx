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armyeitaas-my.sharepoint-mil.us/personal/ingrid_v_smith_civ_army_mil/Documents/Desktop/BTSS/9. Draft RFP/"/>
    </mc:Choice>
  </mc:AlternateContent>
  <xr:revisionPtr revIDLastSave="0" documentId="8_{CCCAEBEC-722B-41C4-A00B-1BBDB0EA656A}" xr6:coauthVersionLast="47" xr6:coauthVersionMax="47" xr10:uidLastSave="{00000000-0000-0000-0000-000000000000}"/>
  <bookViews>
    <workbookView xWindow="28680" yWindow="120" windowWidth="29040" windowHeight="15480" tabRatio="804" xr2:uid="{00000000-000D-0000-FFFF-FFFF00000000}"/>
  </bookViews>
  <sheets>
    <sheet name="Total Evaluated Price Summary" sheetId="2" r:id="rId1"/>
    <sheet name="Proposed CPFF Cost Summary" sheetId="33" r:id="rId2"/>
    <sheet name="Sample TOP Labor Build-up CLIN1" sheetId="39" r:id="rId3"/>
    <sheet name="Base Year Labor Build-up CLIN 1" sheetId="32" r:id="rId4"/>
    <sheet name="Year 2 Labor Build-up CLIN 1" sheetId="34" r:id="rId5"/>
    <sheet name="Year 3 Labor Build-up CLIN 1" sheetId="35" r:id="rId6"/>
    <sheet name="Year 4 Labor Build-up CLIN 1" sheetId="36" r:id="rId7"/>
    <sheet name="Year 5 Labor Build-up CLIN 1" sheetId="37" r:id="rId8"/>
  </sheets>
  <externalReferences>
    <externalReference r:id="rId9"/>
    <externalReference r:id="rId10"/>
    <externalReference r:id="rId11"/>
  </externalReferences>
  <definedNames>
    <definedName name="\b">#REF!</definedName>
    <definedName name="\c">#REF!</definedName>
    <definedName name="\f">#REF!</definedName>
    <definedName name="\i">#REF!</definedName>
    <definedName name="\p">#REF!</definedName>
    <definedName name="\s">#REF!</definedName>
    <definedName name="\t">#REF!</definedName>
    <definedName name="\x">#REF!</definedName>
    <definedName name="____________________________ww2" hidden="1">{#N/A,#N/A,FALSE,"Admin";#N/A,#N/A,FALSE,"Other"}</definedName>
    <definedName name="______________na2" hidden="1">{"'SIVA Pricing Model'!$A$1:$F$39"}</definedName>
    <definedName name="______________na3" hidden="1">{"'SIVA Pricing Model'!$A$1:$F$39"}</definedName>
    <definedName name="______________Tes6" hidden="1">{"'SIVA Pricing Model'!$A$1:$F$39"}</definedName>
    <definedName name="______________ww2" hidden="1">{#N/A,#N/A,FALSE,"Admin";#N/A,#N/A,FALSE,"Other"}</definedName>
    <definedName name="_____________ww2" hidden="1">{#N/A,#N/A,FALSE,"Admin";#N/A,#N/A,FALSE,"Other"}</definedName>
    <definedName name="____________ww2" hidden="1">{#N/A,#N/A,FALSE,"Admin";#N/A,#N/A,FALSE,"Other"}</definedName>
    <definedName name="___________ww2" hidden="1">{#N/A,#N/A,FALSE,"Admin";#N/A,#N/A,FALSE,"Other"}</definedName>
    <definedName name="__________ww2" hidden="1">{#N/A,#N/A,FALSE,"Admin";#N/A,#N/A,FALSE,"Other"}</definedName>
    <definedName name="_________ww2" hidden="1">{#N/A,#N/A,FALSE,"Admin";#N/A,#N/A,FALSE,"Other"}</definedName>
    <definedName name="________ww2" hidden="1">{#N/A,#N/A,FALSE,"Admin";#N/A,#N/A,FALSE,"Other"}</definedName>
    <definedName name="_______Sim1" hidden="1">{#N/A,#N/A,FALSE,"FAC_RATE.XLS";#N/A,#N/A,FALSE,"TFC";#N/A,#N/A,FALSE,"SETA";#N/A,#N/A,FALSE,"ESC";#N/A,#N/A,FALSE,"MHX.XLS";#N/A,#N/A,FALSE,"DOM_G&amp;A"}</definedName>
    <definedName name="_______Tes6" hidden="1">{"'SIVA Pricing Model'!$A$1:$F$39"}</definedName>
    <definedName name="_______ww2" hidden="1">{#N/A,#N/A,FALSE,"Admin";#N/A,#N/A,FALSE,"Other"}</definedName>
    <definedName name="______na2" hidden="1">{"'SIVA Pricing Model'!$A$1:$F$39"}</definedName>
    <definedName name="______na3" hidden="1">{"'SIVA Pricing Model'!$A$1:$F$39"}</definedName>
    <definedName name="______Tes6" hidden="1">{"'SIVA Pricing Model'!$A$1:$F$39"}</definedName>
    <definedName name="______ww2" hidden="1">{#N/A,#N/A,FALSE,"Admin";#N/A,#N/A,FALSE,"Other"}</definedName>
    <definedName name="_____na2" hidden="1">{"'SIVA Pricing Model'!$A$1:$F$39"}</definedName>
    <definedName name="_____na3" hidden="1">{"'SIVA Pricing Model'!$A$1:$F$39"}</definedName>
    <definedName name="_____Sim1" hidden="1">{#N/A,#N/A,FALSE,"FAC_RATE.XLS";#N/A,#N/A,FALSE,"TFC";#N/A,#N/A,FALSE,"SETA";#N/A,#N/A,FALSE,"ESC";#N/A,#N/A,FALSE,"MHX.XLS";#N/A,#N/A,FALSE,"DOM_G&amp;A"}</definedName>
    <definedName name="_____Tes6" hidden="1">{"'SIVA Pricing Model'!$A$1:$F$39"}</definedName>
    <definedName name="_____ww2" hidden="1">{#N/A,#N/A,FALSE,"Admin";#N/A,#N/A,FALSE,"Other"}</definedName>
    <definedName name="____na2" hidden="1">{"'SIVA Pricing Model'!$A$1:$F$39"}</definedName>
    <definedName name="____na3" hidden="1">{"'SIVA Pricing Model'!$A$1:$F$39"}</definedName>
    <definedName name="____Sim1" hidden="1">{#N/A,#N/A,FALSE,"FAC_RATE.XLS";#N/A,#N/A,FALSE,"TFC";#N/A,#N/A,FALSE,"SETA";#N/A,#N/A,FALSE,"ESC";#N/A,#N/A,FALSE,"MHX.XLS";#N/A,#N/A,FALSE,"DOM_G&amp;A"}</definedName>
    <definedName name="____Tes6" hidden="1">{"'SIVA Pricing Model'!$A$1:$F$39"}</definedName>
    <definedName name="____ww2" hidden="1">{#N/A,#N/A,FALSE,"Admin";#N/A,#N/A,FALSE,"Other"}</definedName>
    <definedName name="___INDEX_SHEET___ASAP_Utilities">#REF!</definedName>
    <definedName name="___na2" hidden="1">{"'SIVA Pricing Model'!$A$1:$F$39"}</definedName>
    <definedName name="___na3" hidden="1">{"'SIVA Pricing Model'!$A$1:$F$39"}</definedName>
    <definedName name="___Sim1" hidden="1">{#N/A,#N/A,FALSE,"FAC_RATE.XLS";#N/A,#N/A,FALSE,"TFC";#N/A,#N/A,FALSE,"SETA";#N/A,#N/A,FALSE,"ESC";#N/A,#N/A,FALSE,"MHX.XLS";#N/A,#N/A,FALSE,"DOM_G&amp;A"}</definedName>
    <definedName name="___Tes6" hidden="1">{"'SIVA Pricing Model'!$A$1:$F$39"}</definedName>
    <definedName name="___ww2" hidden="1">{#N/A,#N/A,FALSE,"Admin";#N/A,#N/A,FALSE,"Other"}</definedName>
    <definedName name="__123Graph_A" hidden="1">#REF!</definedName>
    <definedName name="__123Graph_ACH17GRP" hidden="1">#REF!</definedName>
    <definedName name="__123Graph_ACOMP" hidden="1">#REF!</definedName>
    <definedName name="__123Graph_AGraph1" hidden="1">#REF!</definedName>
    <definedName name="__123Graph_AGraph10" hidden="1">#REF!</definedName>
    <definedName name="__123Graph_AGraph11" hidden="1">#REF!</definedName>
    <definedName name="__123Graph_AGraph3" hidden="1">#REF!</definedName>
    <definedName name="__123Graph_AGraph5" hidden="1">#REF!</definedName>
    <definedName name="__123Graph_AGraph6" hidden="1">#REF!</definedName>
    <definedName name="__123Graph_AGraph7" hidden="1">#REF!</definedName>
    <definedName name="__123Graph_AGraph8" hidden="1">#REF!</definedName>
    <definedName name="__123Graph_AHISTORY" hidden="1">#REF!</definedName>
    <definedName name="__123Graph_B" hidden="1">#REF!</definedName>
    <definedName name="__123Graph_BCH17GRP" hidden="1">#REF!</definedName>
    <definedName name="__123Graph_BCOMP" hidden="1">#REF!</definedName>
    <definedName name="__123Graph_BGraph8" hidden="1">#REF!</definedName>
    <definedName name="__123Graph_C" hidden="1">#REF!</definedName>
    <definedName name="__123Graph_CCH17GRP" hidden="1">#REF!</definedName>
    <definedName name="__123Graph_CCOMP" hidden="1">#REF!</definedName>
    <definedName name="__123Graph_CGraph8" hidden="1">#REF!</definedName>
    <definedName name="__123Graph_D" hidden="1">#REF!</definedName>
    <definedName name="__123Graph_DCOMP" hidden="1">#REF!</definedName>
    <definedName name="__123Graph_DGraph8" hidden="1">#REF!</definedName>
    <definedName name="__123Graph_E" hidden="1">#REF!</definedName>
    <definedName name="__123Graph_ECOMP" hidden="1">#REF!</definedName>
    <definedName name="__123Graph_EReport" hidden="1">#REF!</definedName>
    <definedName name="__123Graph_F" hidden="1">#REF!</definedName>
    <definedName name="__123Graph_FReport" hidden="1">#REF!</definedName>
    <definedName name="__123Graph_LBL_A" hidden="1">#REF!</definedName>
    <definedName name="__123Graph_LBL_ACOMP" hidden="1">#REF!</definedName>
    <definedName name="__123Graph_LBL_AHISTORY" hidden="1">#REF!</definedName>
    <definedName name="__123Graph_LBL_BCOMP" hidden="1">#REF!</definedName>
    <definedName name="__123Graph_LBL_CCOMP" hidden="1">#REF!</definedName>
    <definedName name="__123Graph_LBL_DCOMP" hidden="1">#REF!</definedName>
    <definedName name="__123Graph_LBL_ECOMP" hidden="1">#REF!</definedName>
    <definedName name="__123Graph_X" hidden="1">#REF!</definedName>
    <definedName name="__123Graph_XCH17GRP" hidden="1">#REF!</definedName>
    <definedName name="__123Graph_XCOMP" hidden="1">#REF!</definedName>
    <definedName name="__123Graph_XGraph11" hidden="1">#REF!</definedName>
    <definedName name="__123Graph_XGraph3" hidden="1">#REF!</definedName>
    <definedName name="__123Graph_XGraph5" hidden="1">#REF!</definedName>
    <definedName name="__123Graph_XHISTORY" hidden="1">#REF!</definedName>
    <definedName name="__4__123Graph_ACHART_1" hidden="1">#REF!</definedName>
    <definedName name="__4_123Grap" hidden="1">#REF!</definedName>
    <definedName name="__7__123Graph_ACHART_1" hidden="1">#REF!</definedName>
    <definedName name="__ad1" hidden="1">{"CHART",#N/A,FALSE,"Arch Communications"}</definedName>
    <definedName name="__FDS_HYPERLINK_TOGGLE_STATE__" hidden="1">"ON"</definedName>
    <definedName name="__IntlFixup" hidden="1">TRUE</definedName>
    <definedName name="__KEY2" hidden="1">#REF!</definedName>
    <definedName name="__MON1">#REF!</definedName>
    <definedName name="__na2" hidden="1">{"'SIVA Pricing Model'!$A$1:$F$39"}</definedName>
    <definedName name="__na3" hidden="1">{"'SIVA Pricing Model'!$A$1:$F$39"}</definedName>
    <definedName name="__Sim1" hidden="1">{#N/A,#N/A,FALSE,"FAC_RATE.XLS";#N/A,#N/A,FALSE,"TFC";#N/A,#N/A,FALSE,"SETA";#N/A,#N/A,FALSE,"ESC";#N/A,#N/A,FALSE,"MHX.XLS";#N/A,#N/A,FALSE,"DOM_G&amp;A"}</definedName>
    <definedName name="__Tes6" hidden="1">{"'SIVA Pricing Model'!$A$1:$F$39"}</definedName>
    <definedName name="__ww2" hidden="1">{#N/A,#N/A,FALSE,"Admin";#N/A,#N/A,FALSE,"Other"}</definedName>
    <definedName name="_01_10_1997">#REF!</definedName>
    <definedName name="_02_07_2000">#REF!</definedName>
    <definedName name="_04_07_1999">#REF!</definedName>
    <definedName name="_05_11_1998">#REF!</definedName>
    <definedName name="_05_11_1999">#REF!</definedName>
    <definedName name="_06_02_1998">#REF!</definedName>
    <definedName name="_06_03_1998">#REF!</definedName>
    <definedName name="_06_11_2000">#REF!</definedName>
    <definedName name="_08_08_1998">#REF!</definedName>
    <definedName name="_08_10_1997">#REF!</definedName>
    <definedName name="_10_0__123Graph_ACHAR" hidden="1">#REF!</definedName>
    <definedName name="_10_09_1999">#REF!</definedName>
    <definedName name="_10_12_1999">#REF!</definedName>
    <definedName name="_11_03_1999">#REF!</definedName>
    <definedName name="_11_09_1999">#REF!</definedName>
    <definedName name="_12_0__123Graph_BCHAR" hidden="1">#REF!</definedName>
    <definedName name="_12_06_1999">#REF!</definedName>
    <definedName name="_13__123Graph_ACHART_1" hidden="1">#REF!</definedName>
    <definedName name="_13_02_1998">#REF!</definedName>
    <definedName name="_13_12_2000">#REF!</definedName>
    <definedName name="_14__123Graph_ACHART_1" hidden="1">#REF!</definedName>
    <definedName name="_14__123Graph_BCHART_1" hidden="1">#REF!</definedName>
    <definedName name="_14_0__123Graph_CCHAR" hidden="1">#REF!</definedName>
    <definedName name="_15__123Graph_CCHART_1" hidden="1">#REF!</definedName>
    <definedName name="_16__123Graph_BCHART_1" hidden="1">#REF!</definedName>
    <definedName name="_16__123Graph_LBL_ACHART_1" hidden="1">#REF!</definedName>
    <definedName name="_16_0__123Graph_LBL_ACHAR" hidden="1">#REF!</definedName>
    <definedName name="_16_08_2000">#REF!</definedName>
    <definedName name="_17_01_1999">#REF!</definedName>
    <definedName name="_17_04_1998">#REF!</definedName>
    <definedName name="_17_09_97">#REF!</definedName>
    <definedName name="_17_12_1999">#REF!</definedName>
    <definedName name="_18__123Graph_CCHART_1" hidden="1">#REF!</definedName>
    <definedName name="_18_0__123Graph_ACHAR" hidden="1">#REF!</definedName>
    <definedName name="_19__123Graph_ACHART_1" hidden="1">#REF!</definedName>
    <definedName name="_19_0__123Graph_ACHAR" hidden="1">#REF!</definedName>
    <definedName name="_19_0__123Graph_BCHAR" hidden="1">#REF!</definedName>
    <definedName name="_19_09_1999">#REF!</definedName>
    <definedName name="_19_10_1998">#REF!</definedName>
    <definedName name="_19_11_1997">#REF!</definedName>
    <definedName name="_2__123Graph_ACHART_1" hidden="1">#REF!</definedName>
    <definedName name="_2_123Grap" hidden="1">#REF!</definedName>
    <definedName name="_20__123Graph_A_Chart_1A" hidden="1">#REF!</definedName>
    <definedName name="_20__123Graph_LBL_ACHART_1" hidden="1">#REF!</definedName>
    <definedName name="_20_0__123Graph_BCHAR" hidden="1">#REF!</definedName>
    <definedName name="_20_0__123Graph_CCHAR" hidden="1">#REF!</definedName>
    <definedName name="_20_04_2000">#REF!</definedName>
    <definedName name="_2014_Initiation_Revenue_as_pct_of_MRR">#REF!</definedName>
    <definedName name="_2015_Initiation_Revenue_as___of_MRR">#REF!</definedName>
    <definedName name="_21__123Graph_AChart_1" hidden="1">#REF!</definedName>
    <definedName name="_21_0__123Graph_CCHAR" hidden="1">#REF!</definedName>
    <definedName name="_21_0__123Graph_LBL_ACHAR" hidden="1">#REF!</definedName>
    <definedName name="_21_02_1999">#REF!</definedName>
    <definedName name="_22__123Graph_AChart_2" hidden="1">#REF!</definedName>
    <definedName name="_22_0__123Graph_LBL_ACHAR" hidden="1">#REF!</definedName>
    <definedName name="_22_04_1999">#REF!</definedName>
    <definedName name="_22_10_1997">#REF!</definedName>
    <definedName name="_23__123Graph_AChart_3" hidden="1">#REF!</definedName>
    <definedName name="_23_09_2000">#REF!</definedName>
    <definedName name="_24__123Graph_AChart_4" hidden="1">#REF!</definedName>
    <definedName name="_24_0__123Graph_ACHAR" hidden="1">#REF!</definedName>
    <definedName name="_24_01_2000">#REF!</definedName>
    <definedName name="_24_04_1998">#REF!</definedName>
    <definedName name="_24_09_1997">#REF!</definedName>
    <definedName name="_25__123Graph_AChart_5" hidden="1">#REF!</definedName>
    <definedName name="_25_09_1998">#REF!</definedName>
    <definedName name="_26__123Graph_ACHART_1" hidden="1">#REF!</definedName>
    <definedName name="_26__123Graph_AChart_6" hidden="1">#REF!</definedName>
    <definedName name="_26_0__123Graph_BCHAR" hidden="1">#REF!</definedName>
    <definedName name="_26_10_1999">#REF!</definedName>
    <definedName name="_27__123Graph_B_Chart_1A" hidden="1">#REF!</definedName>
    <definedName name="_27_02_1998">#REF!</definedName>
    <definedName name="_28__123Graph_BCHART_1" hidden="1">#REF!</definedName>
    <definedName name="_28__123Graph_C_Chart_1A" hidden="1">#REF!</definedName>
    <definedName name="_28_0__123Graph_CCHAR" hidden="1">#REF!</definedName>
    <definedName name="_28_11_1999">#REF!</definedName>
    <definedName name="_29__123Graph_D_Chart_1A" hidden="1">#REF!</definedName>
    <definedName name="_29_12_1999">#REF!</definedName>
    <definedName name="_3_0__123Grap" hidden="1">#REF!</definedName>
    <definedName name="_30__123Graph_CCHART_1" hidden="1">#REF!</definedName>
    <definedName name="_30__123Graph_E_Chart_1A" hidden="1">#REF!</definedName>
    <definedName name="_30_0__123Graph_LBL_ACHAR" hidden="1">#REF!</definedName>
    <definedName name="_30_10_2000">#REF!</definedName>
    <definedName name="_31__123Graph_F_Chart_1A" hidden="1">#REF!</definedName>
    <definedName name="_31_01_2000">#REF!</definedName>
    <definedName name="_32__123Graph_LBL_ACHART_1" hidden="1">#REF!</definedName>
    <definedName name="_32__123Graph_X_Chart_1A" hidden="1">#REF!</definedName>
    <definedName name="_33__123Graph_XChart_1" hidden="1">#REF!</definedName>
    <definedName name="_34__123Graph_XChart_2" hidden="1">#REF!</definedName>
    <definedName name="_35__123Graph_XChart_3" hidden="1">#REF!</definedName>
    <definedName name="_36__123Graph_XChart_4" hidden="1">#REF!</definedName>
    <definedName name="_36_0__123Graph_ACHAR" hidden="1">#REF!</definedName>
    <definedName name="_37__123Graph_XChart_5" hidden="1">#REF!</definedName>
    <definedName name="_38__123Graph_XChart_6" hidden="1">#REF!</definedName>
    <definedName name="_38_0__123Graph_BCHAR" hidden="1">#REF!</definedName>
    <definedName name="_4__123Graph_ACHART_1" hidden="1">#REF!</definedName>
    <definedName name="_4__123Graph_BCHART_1" hidden="1">#REF!</definedName>
    <definedName name="_4_123Grap" hidden="1">#REF!</definedName>
    <definedName name="_40_0__123Graph_CCHAR" hidden="1">#REF!</definedName>
    <definedName name="_42_0__123Graph_LBL_ACHAR" hidden="1">#REF!</definedName>
    <definedName name="_50__123Graph_ACHART_1" hidden="1">#REF!</definedName>
    <definedName name="_52__123Graph_BCHART_1" hidden="1">#REF!</definedName>
    <definedName name="_54__123Graph_CCHART_1" hidden="1">#REF!</definedName>
    <definedName name="_56__123Graph_LBL_ACHART_1" hidden="1">#REF!</definedName>
    <definedName name="_6__123Graph_CCHART_1" hidden="1">#REF!</definedName>
    <definedName name="_6_0__123Grap" hidden="1">#REF!</definedName>
    <definedName name="_6_123Grap" hidden="1">#REF!</definedName>
    <definedName name="_60_0__123Graph_ACHAR" hidden="1">#REF!</definedName>
    <definedName name="_62_0__123Graph_BCHAR" hidden="1">#REF!</definedName>
    <definedName name="_64_0__123Graph_CCHAR" hidden="1">#REF!</definedName>
    <definedName name="_66_0__123Graph_LBL_ACHAR" hidden="1">#REF!</definedName>
    <definedName name="_7__123Graph_ACHART_1" hidden="1">#REF!</definedName>
    <definedName name="_8__123Graph_LBL_ACHART_1" hidden="1">#REF!</definedName>
    <definedName name="_8D">#REF!</definedName>
    <definedName name="_Actual_for_2004_Measure" hidden="1">#REF!</definedName>
    <definedName name="_ad1" hidden="1">{"CHART",#N/A,FALSE,"Arch Communications"}</definedName>
    <definedName name="_Apr03" hidden="1">{"Statement of Income",#N/A,TRUE,"Mar99";"Balance Sheet",#N/A,TRUE,"Mar99"}</definedName>
    <definedName name="_Apr04" hidden="1">{"Statement of Income",#N/A,TRUE,"Mar99";"Balance Sheet",#N/A,TRUE,"Mar99"}</definedName>
    <definedName name="_aug04" hidden="1">{"Statement of Income",#N/A,TRUE,"Mar99";"Balance Sheet",#N/A,TRUE,"Mar99"}</definedName>
    <definedName name="_bdm.005E719C36A841F7A63FC64998C90DCE.edm" hidden="1">#REF!</definedName>
    <definedName name="_bdm.01BD8A26191A494E865D7C64B889A9DB.edm" hidden="1">#REF!</definedName>
    <definedName name="_bdm.026213BCBD2748769C123B56CC693EDF.edm" hidden="1">#REF!</definedName>
    <definedName name="_bdm.08CCF258BD8145DBB4A2694EC425A82E.edm" hidden="1">#REF!</definedName>
    <definedName name="_bdm.09032F43291D49838E773BA574FACF82.edm" hidden="1">#REF!</definedName>
    <definedName name="_bdm.0E3245E6CCC1429AA1780D007C9DB7C2.edm" hidden="1">#REF!</definedName>
    <definedName name="_bdm.11277D0DDDCE485198C82043BBF91A09.edm" hidden="1">#REF!</definedName>
    <definedName name="_bdm.13305A2F48CA44D7A7B886EB6E6A974C.edm" hidden="1">#REF!</definedName>
    <definedName name="_bdm.1C0045343700448CA0D9AD365A1CDA0E.edm" hidden="1">#REF!</definedName>
    <definedName name="_bdm.1DCB6792FF334EFDA89FF3BB8002C56F.edm" hidden="1">#REF!</definedName>
    <definedName name="_bdm.221DF7F60AEC491CB96C545BC6DB8B7C.edm" hidden="1">#REF!</definedName>
    <definedName name="_bdm.2373A142274543339CA00A8D071CB472.edm" hidden="1">#REF!</definedName>
    <definedName name="_bdm.262503B701A74573B301632BDC08B22B.edm" hidden="1">#REF!</definedName>
    <definedName name="_bdm.28B6B924E02F44299B48A7FF4831BC18.edm" hidden="1">#REF!</definedName>
    <definedName name="_bdm.29DA12D5CD644BF6BF2139DA24F25758.edm" hidden="1">#REF!</definedName>
    <definedName name="_bdm.2BFC8852CC0345A7B8A93328B707CCC4.edm" hidden="1">#REF!</definedName>
    <definedName name="_bdm.2C063A6AC28849149DE19F9ABDC7E970.edm" hidden="1">#REF!</definedName>
    <definedName name="_bdm.3588A4658471495981AEC0CAA27217E2.edm" hidden="1">#REF!</definedName>
    <definedName name="_bdm.35BD1419381A4345AB2794338E4EF111.edm" hidden="1">#REF!</definedName>
    <definedName name="_bdm.362DB7DF3FA645CCA93E3A4E98E60975.edm" hidden="1">#REF!</definedName>
    <definedName name="_bdm.3F41E797A30743F79369E4350CE101DD.edm" hidden="1">#REF!</definedName>
    <definedName name="_bdm.4746CE6A2BAC46C3AD473722220C7F8E.edm" hidden="1">#REF!</definedName>
    <definedName name="_bdm.4ADE5CE14BD341AE92A5F63BC8E2422B.edm" hidden="1">#REF!</definedName>
    <definedName name="_bdm.4BBADC180F054082B1D549BAECEB2571.edm" hidden="1">#REF!</definedName>
    <definedName name="_bdm.4EA6978FE1D54E6897E3F2EA0BA6F5B5.edm" hidden="1">#REF!</definedName>
    <definedName name="_bdm.51945DE1F633486981B5A4E61DF4DAE2.edm" hidden="1">#REF!</definedName>
    <definedName name="_bdm.52F88A82841F45D881C272CAE10199DA.edm" hidden="1">#REF!</definedName>
    <definedName name="_bdm.53C07AD141E24815B3DB20D4B7C12BDA.edm" hidden="1">#REF!</definedName>
    <definedName name="_bdm.5A3863A75B8E49FBB2467D7752D421DF.edm" hidden="1">#REF!</definedName>
    <definedName name="_bdm.5BFD4431B4B8447E88C2341391DDA949.edm" hidden="1">#REF!</definedName>
    <definedName name="_bdm.5D0C7A7CE3634C8D8864C6949A27F192.edm" hidden="1">#REF!</definedName>
    <definedName name="_bdm.611ED6C597664C45B96F340BD79AC872.edm" hidden="1">#REF!</definedName>
    <definedName name="_bdm.61CFE098C9C04A7CA8BEB82901517C44.edm" hidden="1">#REF!</definedName>
    <definedName name="_bdm.643F0FFF90C6452BB7D694ECF84AACDD.edm" hidden="1">#REF!</definedName>
    <definedName name="_bdm.649242848952488ABED300ADCFF2109D.edm" hidden="1">#REF!</definedName>
    <definedName name="_bdm.64E77D3D87544D328835F93D541E77F2.edm" hidden="1">#REF!</definedName>
    <definedName name="_bdm.681E2B4B461C40E69210C55CE923EEEA.edm" hidden="1">#REF!</definedName>
    <definedName name="_bdm.6B94BC48C9784B4EAEE2DD40EBA34A7B.edm" hidden="1">#REF!</definedName>
    <definedName name="_bdm.6D6DB8B7397A491DBB6AA2AA7E2C0C55.edm" hidden="1">#REF!</definedName>
    <definedName name="_bdm.7391BED5A8C34FB9BE2CBB377803B101.edm" hidden="1">#REF!</definedName>
    <definedName name="_bdm.766675B564EC4A318DB19F10AEAF0FC9.edm" hidden="1">#REF!</definedName>
    <definedName name="_bdm.7747CB370D42450091446AA4D2C97CBE.edm" hidden="1">#REF!</definedName>
    <definedName name="_bdm.77CF5A9CA7994F3B90BC76D0B2CF1637.edm" hidden="1">#REF!</definedName>
    <definedName name="_bdm.7883AB0D29654979BA4F200EE5B8C6DD.edm" hidden="1">#REF!</definedName>
    <definedName name="_bdm.78AB606BC0844CB68F35B080F540F14E.edm" hidden="1">#REF!</definedName>
    <definedName name="_bdm.7DF726EA3A7341E79D525D5848384452.edm" hidden="1">#REF!</definedName>
    <definedName name="_bdm.80B1D926B7C8420D81DA1A11DF4C5467.edm" hidden="1">#REF!</definedName>
    <definedName name="_bdm.80EABD3F99DF49088DCF93D9A1DB191E.edm" hidden="1">#REF!</definedName>
    <definedName name="_bdm.82B909F1A0754EEDBA7AA42DE4BB1ECC.edm" hidden="1">#REF!</definedName>
    <definedName name="_bdm.83F01170247E4D72928BF04F9722C96C.edm" hidden="1">#REF!</definedName>
    <definedName name="_bdm.84F9FBB87E184CDE82CE7BB25D56022F.edm" hidden="1">#REF!</definedName>
    <definedName name="_bdm.8A62CA3786764F379D0B96264587700B.edm" hidden="1">#REF!</definedName>
    <definedName name="_bdm.8BD49E01D2F04423B3B5A8DE5690E9F3.edm" hidden="1">#REF!</definedName>
    <definedName name="_bdm.8C39C75B36AA4500AD99DF3259D3FA3B.edm" hidden="1">#REF!</definedName>
    <definedName name="_bdm.8D22F708DA004BF3BD08A9E9A330F175.edm" hidden="1">#REF!</definedName>
    <definedName name="_bdm.8D3E1A5502314F3299EDB8169A35B9B1.edm" hidden="1">#REF!</definedName>
    <definedName name="_bdm.938E7B3223C74FE7AE567D577F11A79A.edm" hidden="1">#REF!</definedName>
    <definedName name="_bdm.A429E72C60DD4A49880A806C0502FE2E.edm" hidden="1">#REF!</definedName>
    <definedName name="_bdm.A6C10B3FD4EA429B80052F0D4A7659F4.edm" hidden="1">#REF!</definedName>
    <definedName name="_bdm.A907FDA73BD64104A75A80A12A2CE510.edm" hidden="1">#REF!</definedName>
    <definedName name="_bdm.AAD42546C1A441AFAF82AEA3A27FB8EC.edm" hidden="1">#REF!</definedName>
    <definedName name="_bdm.AD71A6F9013B435A82B561185F12D042.edm" hidden="1">#REF!</definedName>
    <definedName name="_bdm.B0E54DF2F5DA45FA9CEF40F064711082.edm" hidden="1">#REF!</definedName>
    <definedName name="_bdm.B7AE75F1A1764211A7B1463A9ACE809F.edm" hidden="1">#REF!</definedName>
    <definedName name="_bdm.B84CE047E19944AFBD04CD96CA6A44E1.edm" hidden="1">#REF!</definedName>
    <definedName name="_bdm.BA065BE2F4E04491B2B80C028C102C28.edm" hidden="1">#REF!</definedName>
    <definedName name="_bdm.BAFE1F7FDB7E41698DA4B0CCB392E74D.edm" hidden="1">#REF!</definedName>
    <definedName name="_bdm.BEE5AC979FD1460D89E275CDA43C01A9.edm" hidden="1">#REF!</definedName>
    <definedName name="_bdm.C5240DBE5EFB4A18A81554AA4EDCDB56.edm" hidden="1">#REF!</definedName>
    <definedName name="_bdm.D02F6EF125C248238B666C439D6A2A51.edm" hidden="1">#REF!</definedName>
    <definedName name="_bdm.DE97A8336B184AC5A9FB37F107E84FCE.edm" hidden="1">#REF!</definedName>
    <definedName name="_bdm.E08624CFAEA8465AB1001A3F70BA9184.edm" hidden="1">#REF!</definedName>
    <definedName name="_bdm.E55CA877296742F2B5DDE108555FB089.edm" hidden="1">#REF!</definedName>
    <definedName name="_bdm.E87DB17F54944418A1B0B38687C51785.edm" hidden="1">#REF!</definedName>
    <definedName name="_bdm.EABD7622F59342AA92BA0C75777614E8.edm" hidden="1">#REF!</definedName>
    <definedName name="_bdm.EBB4C61897FC4145B3E2516971DE7E00.edm" hidden="1">#REF!</definedName>
    <definedName name="_bdm.EDA3E7AB02AF4662834D8BE25FE3EEE0.edm" hidden="1">#REF!</definedName>
    <definedName name="_bdm.EE3C9B6006AE468882D67724B13B5AB8.edm" hidden="1">#REF!</definedName>
    <definedName name="_bdm.F586EBF5B1A64D03BC43B28415951AC7.edm" hidden="1">#REF!</definedName>
    <definedName name="_bdm.F856045F768543EC9E12CA688226A4AF.edm" hidden="1">#REF!</definedName>
    <definedName name="_bdm.FE887521B4A6453CBC5BCC1AF977913A.edm" hidden="1">#REF!</definedName>
    <definedName name="_ben1">#REF!</definedName>
    <definedName name="_ben10">#REF!</definedName>
    <definedName name="_ben2">#REF!</definedName>
    <definedName name="_ben3">#REF!</definedName>
    <definedName name="_ben4">#REF!</definedName>
    <definedName name="_ben5">#REF!</definedName>
    <definedName name="_ben6">#REF!</definedName>
    <definedName name="_ben7">#REF!</definedName>
    <definedName name="_ben8">#REF!</definedName>
    <definedName name="_ben9">#REF!</definedName>
    <definedName name="_Budget_for_Measure" hidden="1">#REF!</definedName>
    <definedName name="_DAT1">#REF!</definedName>
    <definedName name="_DAT10">#REF!</definedName>
    <definedName name="_DAT11">#REF!</definedName>
    <definedName name="_DAT12">#REF!</definedName>
    <definedName name="_DAT13">#REF!</definedName>
    <definedName name="_DAT14">#REF!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1" hidden="1">{"Statement of Income",#N/A,TRUE,"Mar99";"Balance Sheet",#N/A,TRUE,"Mar99"}</definedName>
    <definedName name="_Dist_Values" hidden="1">#REF!</definedName>
    <definedName name="_feb01" hidden="1">{"Statement of Income",#N/A,TRUE,"Mar99";"Balance Sheet",#N/A,TRUE,"Mar99"}</definedName>
    <definedName name="_feb02" hidden="1">{"Statement of Income",#N/A,TRUE,"Mar99";"Balance Sheet",#N/A,TRUE,"Mar99"}</definedName>
    <definedName name="_Fill" hidden="1">#REF!</definedName>
    <definedName name="_fill1" hidden="1">#REF!</definedName>
    <definedName name="_xlnm._FilterDatabase" localSheetId="3" hidden="1">'Base Year Labor Build-up CLIN 1'!$C$2:$Y$305</definedName>
    <definedName name="_xlnm._FilterDatabase" localSheetId="2" hidden="1">'Sample TOP Labor Build-up CLIN1'!$C$2:$Y$305</definedName>
    <definedName name="_xlnm._FilterDatabase" localSheetId="4" hidden="1">'Year 2 Labor Build-up CLIN 1'!$C$2:$Y$305</definedName>
    <definedName name="_xlnm._FilterDatabase" localSheetId="5" hidden="1">'Year 3 Labor Build-up CLIN 1'!$C$2:$Y$305</definedName>
    <definedName name="_xlnm._FilterDatabase" localSheetId="6" hidden="1">'Year 4 Labor Build-up CLIN 1'!$C$2:$Y$305</definedName>
    <definedName name="_xlnm._FilterDatabase" localSheetId="7" hidden="1">'Year 5 Labor Build-up CLIN 1'!$C$2:$Y$305</definedName>
    <definedName name="_xlnm._FilterDatabase" hidden="1">#REF!</definedName>
    <definedName name="_for_YTD_Year" hidden="1">#REF!</definedName>
    <definedName name="_JP2" hidden="1">{"'SIVA Pricing Model'!$A$1:$F$39"}</definedName>
    <definedName name="_Jun02" hidden="1">{"Statement of Income",#N/A,TRUE,"Mar99";"Balance Sheet",#N/A,TRUE,"Mar99"}</definedName>
    <definedName name="_K3" hidden="1">#REF!</definedName>
    <definedName name="_Key1" hidden="1">#REF!</definedName>
    <definedName name="_Key2" hidden="1">#REF!</definedName>
    <definedName name="_Mar03" hidden="1">{"Statement of Income",#N/A,TRUE,"Mar99";"Balance Sheet",#N/A,TRUE,"Mar99"}</definedName>
    <definedName name="_Mar04" hidden="1">{"Statement of Income",#N/A,TRUE,"Mar99";"Balance Sheet",#N/A,TRUE,"Mar99"}</definedName>
    <definedName name="_mo01">#REF!</definedName>
    <definedName name="_MON1">#REF!</definedName>
    <definedName name="_na2" hidden="1">{"'SIVA Pricing Model'!$A$1:$F$39"}</definedName>
    <definedName name="_na3" hidden="1">{"'SIVA Pricing Model'!$A$1:$F$39"}</definedName>
    <definedName name="_OCT01" hidden="1">{"Statement of Income",#N/A,TRUE,"Mar99";"Balance Sheet",#N/A,TRUE,"Mar99"}</definedName>
    <definedName name="_OCT03" hidden="1">{"Statement of Income",#N/A,TRUE,"Mar99";"Balance Sheet",#N/A,TRUE,"Mar99"}</definedName>
    <definedName name="_odc1" hidden="1">{#N/A,#N/A,FALSE,"ManLoading"}</definedName>
    <definedName name="_odc2" hidden="1">{#N/A,#N/A,FALSE,"ManLoading"}</definedName>
    <definedName name="_Order1" hidden="1">255</definedName>
    <definedName name="_Order2" hidden="1">255</definedName>
    <definedName name="_oy1" hidden="1">#REF!</definedName>
    <definedName name="_Parse_In" hidden="1">#REF!</definedName>
    <definedName name="_Parse_Out" hidden="1">#REF!</definedName>
    <definedName name="_pay01">#REF!</definedName>
    <definedName name="_Regression_Int" hidden="1">1</definedName>
    <definedName name="_Regression_Out" hidden="1">#REF!</definedName>
    <definedName name="_Regression_X" hidden="1">#REF!</definedName>
    <definedName name="_Regression_Y" hidden="1">#REF!</definedName>
    <definedName name="_Rf_Feb_Act_for_YTD" hidden="1">#REF!</definedName>
    <definedName name="_Rf_Oct_Act_for_2003_YTD" hidden="1">#REF!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EP01" hidden="1">{"Statement of Income",#N/A,TRUE,"Mar99";"Balance Sheet",#N/A,TRUE,"Mar99"}</definedName>
    <definedName name="_Sep03" hidden="1">{"Statement of Income",#N/A,TRUE,"Mar99";"Balance Sheet",#N/A,TRUE,"Mar99"}</definedName>
    <definedName name="_Sim1" hidden="1">{#N/A,#N/A,FALSE,"FAC_RATE.XLS";#N/A,#N/A,FALSE,"TFC";#N/A,#N/A,FALSE,"SETA";#N/A,#N/A,FALSE,"ESC";#N/A,#N/A,FALSE,"MHX.XLS";#N/A,#N/A,FALSE,"DOM_G&amp;A"}</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es6" hidden="1">{"'SIVA Pricing Model'!$A$1:$F$39"}</definedName>
    <definedName name="_TMAutoChart1Names" hidden="1">{"Timeline","Chart 6","Timeline Chart 6"}</definedName>
    <definedName name="_TMAutoChart1Refs" hidden="1">{"","","'Timeline'!$F$16","'Timeline'!$F$25","","","","","",""}</definedName>
    <definedName name="_TMAutoChart2Names" hidden="1">{"Timeline","Chart 6","Timeline Chart 6"}</definedName>
    <definedName name="_TMAutoChart2Refs" hidden="1">{"","","'Timeline'!$F$16","'Timeline'!$H$25","","","","","",""}</definedName>
    <definedName name="_TMAutoChartCount" hidden="1">2</definedName>
    <definedName name="_wrn2" hidden="1">{"formulas",#N/A,FALSE,"Key Indicators"}</definedName>
    <definedName name="_ww2" hidden="1">{#N/A,#N/A,FALSE,"Admin";#N/A,#N/A,FALSE,"Other"}</definedName>
    <definedName name="_YR1">#REF!</definedName>
    <definedName name="_YR10">#REF!</definedName>
    <definedName name="_YR11">#REF!</definedName>
    <definedName name="_Yr12">#REF!</definedName>
    <definedName name="_YR2">#REF!</definedName>
    <definedName name="_YR3">#REF!</definedName>
    <definedName name="_YR4">#REF!</definedName>
    <definedName name="_YR5">#REF!</definedName>
    <definedName name="_YR6">#REF!</definedName>
    <definedName name="_YR7">#REF!</definedName>
    <definedName name="_YR8">#REF!</definedName>
    <definedName name="_YR9">#REF!</definedName>
    <definedName name="A">#REF!</definedName>
    <definedName name="A1a13">#REF!</definedName>
    <definedName name="A5A52A2A2A">#REF!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C">#REF!</definedName>
    <definedName name="acc" hidden="1">{"Accretion",#N/A,FALSE,"Assum"}</definedName>
    <definedName name="accelarate">"3-May-2012"</definedName>
    <definedName name="AccessDatabase" hidden="1">"C:\DATA\Kevin\Kevin's Model.mdb"</definedName>
    <definedName name="Account">#REF!</definedName>
    <definedName name="Account_From">#REF!</definedName>
    <definedName name="Account_Lookup">#REF!</definedName>
    <definedName name="Account_To">#REF!</definedName>
    <definedName name="ACCOUNTEDPERIODTYPE1">#REF!</definedName>
    <definedName name="ACCOUNTEDPERIODTYPE2">#REF!</definedName>
    <definedName name="ACCOUNTEDPERIODTYPE3">#REF!</definedName>
    <definedName name="ACCOUNTEDPERIODTYPE4">#REF!</definedName>
    <definedName name="ACCOUNTEDPERIODTYPE5">#REF!</definedName>
    <definedName name="ACCOUNTEDPERIODTYPE6">#REF!</definedName>
    <definedName name="accounts">#REF!</definedName>
    <definedName name="Acct_Desc_lookup">#REF!</definedName>
    <definedName name="Acctyp">#REF!</definedName>
    <definedName name="actual" hidden="1">#REF!</definedName>
    <definedName name="ad" hidden="1">{"CHART",#N/A,FALSE,"Arch Communications"}</definedName>
    <definedName name="Add">#REF!</definedName>
    <definedName name="adf" hidden="1">{"PAGE1",#N/A,FALSE,"CPFFMSTR";"PAGE2",#N/A,FALSE,"CPFFMSTR"}</definedName>
    <definedName name="adfsdaf" hidden="1">{"PAGE1",#N/A,FALSE,"CPFFMSTR";"PAGE2",#N/A,FALSE,"CPFFMSTR"}</definedName>
    <definedName name="adj.">#REF!</definedName>
    <definedName name="AdminSlideMTD" hidden="1">{#N/A,#N/A,TRUE,"Expenses";#N/A,#N/A,TRUE,"BalanceSheet";#N/A,#N/A,TRUE,"CashFlow";#N/A,#N/A,TRUE,"OtherCurrentAssets";#N/A,#N/A,TRUE,"OtherAssets";#N/A,#N/A,TRUE,"AccruedExpenses"}</definedName>
    <definedName name="AdminSlideYTD" hidden="1">{#N/A,#N/A,TRUE,"Expenses";#N/A,#N/A,TRUE,"BalanceSheet";#N/A,#N/A,TRUE,"CashFlow";#N/A,#N/A,TRUE,"OtherCurrentAssets";#N/A,#N/A,TRUE,"OtherAssets";#N/A,#N/A,TRUE,"AccruedExpenses"}</definedName>
    <definedName name="aer" hidden="1">{"PAGE1",#N/A,FALSE,"CPFFMSTR";"PAGE2",#N/A,FALSE,"CPFFMSTR"}</definedName>
    <definedName name="aer3e" hidden="1">{"PAGE1",#N/A,FALSE,"CPFFMSTR";"PAGE2",#N/A,FALSE,"CPFFMSTR"}</definedName>
    <definedName name="aere" hidden="1">{"PAGE1",#N/A,FALSE,"CPFFMSTR";"PAGE2",#N/A,FALSE,"CPFFMSTR"}</definedName>
    <definedName name="aesre" hidden="1">{"PAGE1",#N/A,FALSE,"CPFFMSTR";"PAGE2",#N/A,FALSE,"CPFFMSTR"}</definedName>
    <definedName name="again" hidden="1">{#N/A,#N/A,FALSE,"FAC_RATE.XLS";#N/A,#N/A,FALSE,"TFC";#N/A,#N/A,FALSE,"SETA";#N/A,#N/A,FALSE,"ESC";#N/A,#N/A,FALSE,"MHX.XLS";#N/A,#N/A,FALSE,"DOM_G&amp;A"}</definedName>
    <definedName name="AGE_REPDT">#REF!</definedName>
    <definedName name="Aged_as_at">#REF!</definedName>
    <definedName name="alb" hidden="1">{#N/A,#N/A,FALSE,"Summary";#N/A,#N/A,FALSE,"Edit";#N/A,#N/A,FALSE,"MedProf";#N/A,#N/A,FALSE,"Proj Mgt";#N/A,#N/A,FALSE,"Creat Svc";#N/A,#N/A,FALSE,"Meet Svc";#N/A,#N/A,FALSE,"Non-OCC";#N/A,#N/A,FALSE,"Client Svc";#N/A,#N/A,FALSE,"Bus Dev";#N/A,#N/A,FALSE,"Indirect"}</definedName>
    <definedName name="Alloc_Retrieve">#REF!</definedName>
    <definedName name="Allocation_Rates_Fixed_Fee_Rate">'[1]Allocation Rates'!$B$24:$F$24</definedName>
    <definedName name="Allocation_Rates_Fringe_Rate">'[1]Allocation Rates'!$B$5:$F$5</definedName>
    <definedName name="Allocation_Rates_GnA_Rate">'[1]Allocation Rates'!$B$19:$F$19</definedName>
    <definedName name="Allocation_Rates_OH_Rate">'[1]Allocation Rates'!$B$12:$F$12</definedName>
    <definedName name="Allocation_Rates_Period">'[1]Allocation Rates'!$B$1:$F$1</definedName>
    <definedName name="AllwAr">#REF!</definedName>
    <definedName name="AnnualProductiveHours">[2]Instructions!$H$11</definedName>
    <definedName name="anscount" hidden="1">1</definedName>
    <definedName name="aof" hidden="1">{"'SIVA Pricing Model'!$A$1:$F$39"}</definedName>
    <definedName name="app">#REF!</definedName>
    <definedName name="AppsGA">#REF!</definedName>
    <definedName name="AppsMS">#REF!</definedName>
    <definedName name="AppsOnOH">#REF!</definedName>
    <definedName name="APPSUSERNAME1">#REF!</definedName>
    <definedName name="APPSUSERNAME2">#REF!</definedName>
    <definedName name="APPSUSERNAME3">#REF!</definedName>
    <definedName name="APPSUSERNAME4">#REF!</definedName>
    <definedName name="APPSUSERNAME5">#REF!</definedName>
    <definedName name="APPSUSERNAME6">#REF!</definedName>
    <definedName name="Apr00" hidden="1">{"Statement of Income",#N/A,TRUE,"Mar99";"Balance Sheet",#N/A,TRUE,"Mar99"}</definedName>
    <definedName name="Apr00TB" hidden="1">{"Statement of Income",#N/A,TRUE,"Mar99";"Balance Sheet",#N/A,TRUE,"Mar99"}</definedName>
    <definedName name="ar">#REF!</definedName>
    <definedName name="Area_Name17" hidden="1">#REF!</definedName>
    <definedName name="Area_Name18" hidden="1">#REF!</definedName>
    <definedName name="Area_Name19" hidden="1">#REF!</definedName>
    <definedName name="Area_Name20" hidden="1">#REF!</definedName>
    <definedName name="Area_Name21" hidden="1">#REF!</definedName>
    <definedName name="Area_Name22" hidden="1">#REF!</definedName>
    <definedName name="Area_Name23" hidden="1">#REF!</definedName>
    <definedName name="area_to_hide">#REF!</definedName>
    <definedName name="ARR">#REF!</definedName>
    <definedName name="AS2DocOpenMode" hidden="1">"AS2DocumentEdit"</definedName>
    <definedName name="AS2HasNoAutoHeaderFooter" hidden="1">" "</definedName>
    <definedName name="AS2NamedRange" hidden="1">4</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hidden="1">#REF!</definedName>
    <definedName name="asdf" hidden="1">{#N/A,#N/A,TRUE,"Status Report";#N/A,#N/A,TRUE,"Current Forecast";#N/A,#N/A,TRUE,"Last Forecast";#N/A,#N/A,TRUE,"BP";#N/A,#N/A,TRUE,"LY"}</definedName>
    <definedName name="ASRI_Staffing">#REF!</definedName>
    <definedName name="Asset">#REF!</definedName>
    <definedName name="Assets">#REF!</definedName>
    <definedName name="assumptions">#REF!</definedName>
    <definedName name="AUD">#REF!</definedName>
    <definedName name="AWD">#REF!</definedName>
    <definedName name="aweroiu" hidden="1">{"'SIVA Pricing Model'!$A$1:$F$39"}</definedName>
    <definedName name="b" hidden="1">{"'SIVA Pricing Model'!$A$1:$F$39"}</definedName>
    <definedName name="backlog">#REF!</definedName>
    <definedName name="bal">#REF!</definedName>
    <definedName name="Balance">#REF!</definedName>
    <definedName name="Balancesheet">#REF!</definedName>
    <definedName name="Base_Currency">#REF!</definedName>
    <definedName name="basecomp">#REF!</definedName>
    <definedName name="bb" hidden="1">{"'SIVA Pricing Model'!$A$1:$F$39"}</definedName>
    <definedName name="bbb" hidden="1">{"'SIVA Pricing Model'!$A$1:$F$39"}</definedName>
    <definedName name="BenCov">#REF!</definedName>
    <definedName name="Benday">#REF!</definedName>
    <definedName name="BenEnd">#REF!</definedName>
    <definedName name="BenRed">#REF!</definedName>
    <definedName name="BG_Del" hidden="1">15</definedName>
    <definedName name="BG_Ins" hidden="1">4</definedName>
    <definedName name="BG_Mod" hidden="1">6</definedName>
    <definedName name="BHUVAN" hidden="1">{"'subnets'!$A$1:$F$20"}</definedName>
    <definedName name="BidRate">#REF!</definedName>
    <definedName name="BidRate2">#REF!</definedName>
    <definedName name="billing">#REF!</definedName>
    <definedName name="Billings">#REF!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8" hidden="1">#REF!</definedName>
    <definedName name="BLPH9" hidden="1">#REF!</definedName>
    <definedName name="bob">#REF!</definedName>
    <definedName name="BOE">#REF!</definedName>
    <definedName name="BOE_Base_Test">[1]BOE!$A$4:$A$61</definedName>
    <definedName name="BOE_COL">#REF!</definedName>
    <definedName name="BOE_Company">[1]BOE!$K$4:$K$61</definedName>
    <definedName name="BOE_FT_PT">[1]BOE!$F$4:$F$61</definedName>
    <definedName name="BOE_Labor_Category">[1]BOE!$C$4:$C$61</definedName>
    <definedName name="BOE_Location">[1]BOE!$I$4:$I$61</definedName>
    <definedName name="BOE_OT_Hours">[1]BOE!$N$4:$N$61</definedName>
    <definedName name="BOE_Proposed_Hours">[1]BOE!$O$4:$S$61</definedName>
    <definedName name="BOE_Proposed_Hours_Period">[1]BOE!$O$3:$S$3</definedName>
    <definedName name="BOE_REF">#REF!</definedName>
    <definedName name="bookings">#REF!</definedName>
    <definedName name="boxes">#REF!,#REF!</definedName>
    <definedName name="bridgeout">#REF!</definedName>
    <definedName name="broker_name">#REF!</definedName>
    <definedName name="BS">#REF!</definedName>
    <definedName name="BudgetFY">#REF!</definedName>
    <definedName name="BUNAME">#REF!</definedName>
    <definedName name="BUS">#REF!</definedName>
    <definedName name="BUSNAME">#REF!</definedName>
    <definedName name="bver" hidden="1">{"PAGE1",#N/A,FALSE,"CPFFMSTR";"PAGE2",#N/A,FALSE,"CPFFMSTR"}</definedName>
    <definedName name="CalcType">#REF!</definedName>
    <definedName name="Capital___Reserves">#REF!</definedName>
    <definedName name="Cashflow">#REF!</definedName>
    <definedName name="CashflowStt">#REF!</definedName>
    <definedName name="Categories">#REF!</definedName>
    <definedName name="Category">#REF!</definedName>
    <definedName name="CB">#REF!</definedName>
    <definedName name="cb_Chart_1_opts" hidden="1">"1, 5, 1, False, 2, True, False, , 0, False, False, 1, 1"</definedName>
    <definedName name="cb_Chart_2_opts" hidden="1">"1, 1, 1, False, 2, False, False, , 0, False, False, 1, 1"</definedName>
    <definedName name="cb_Chart_3_opts" hidden="1">"1, 1, 1, False, 2, False, False, , 0, False, False, 1, 1"</definedName>
    <definedName name="cb_sChart1328EFA7_opts" hidden="1">"1, 8, 1, False, 2, False, False, , 0, False, False, 1, 1"</definedName>
    <definedName name="cb_sChart1489E789_opts" hidden="1">"2, 1, 2, True, 2, False, False, , 0, False, True, 2, 2"</definedName>
    <definedName name="cb_sChart1489EC54_opts" hidden="1">"2, 1, 2, True, 2, False, False, , 0, False, True, 2, 2"</definedName>
    <definedName name="cb_sChart16E18E81_opts" hidden="1">"1, 9, 1, False, 2, False, False, , 0, False, True, 1, 1"</definedName>
    <definedName name="cb_sChart1796B31E_opts" hidden="1">"1, 8, 1, False, 2, False, False, , 0, False, False, 1, 1"</definedName>
    <definedName name="cb_sChart18C2F22E_opts" hidden="1">"1, 9, 1, False, 2, False, False, , 0, False, True, 1, 1"</definedName>
    <definedName name="cb_sChart18C2F3FD_opts" hidden="1">"1, 1, 1, False, 2, False, False, , 0, False, True, 1, 1"</definedName>
    <definedName name="cb_sChart18C2F4E5_opts" hidden="1">"1, 9, 1, False, 2, False, False, , 0, False, True, 1, 1"</definedName>
    <definedName name="cb_sChart1962D0C9_opts" hidden="1">"1, 9, 1, False, 2, False, False, , 0, False, False, 1, 1"</definedName>
    <definedName name="cb_sChart1962D5CE_opts" hidden="1">"1, 9, 1, False, 2, False, False, , 0, False, False, 1, 1"</definedName>
    <definedName name="cb_sChart1962D785_opts" hidden="1">"1, 9, 1, False, 2, False, False, , 0, False, True, 1, 1"</definedName>
    <definedName name="cb_sChart1F628B42_opts" hidden="1">"1, 9, 1, False, 2, False, False, , 0, False, False, 1, 1"</definedName>
    <definedName name="cb_sChart1F628FDF_opts" hidden="1">"1, 8, 1, False, 2, False, False, , 0, False, False, 1, 1"</definedName>
    <definedName name="cb_sChart1F62AC95_opts" hidden="1">"1, 8, 1, False, 2, False, False, , 0, False, False, 1, 1"</definedName>
    <definedName name="cb_sChart41E9A35_opts" hidden="1">"1, 9, 1, False, 2, False, False, , 0, False, True, 1, 1"</definedName>
    <definedName name="cb_sChartAFDFAB0_opts" hidden="1">"2, 1, 2, True, 2, False, False, , 0, False, True, 1, 1"</definedName>
    <definedName name="cb_sChartAFE0006_opts" hidden="1">"2, 1, 2, True, 2, False, False, , 0, False, True, 1, 1"</definedName>
    <definedName name="cb_sChartAFF5837_opts" hidden="1">"1, 9, 1, False, 2, False, False, , 0, False, True, 1, 1"</definedName>
    <definedName name="cb_sChartAFF7DEC_opts" hidden="1">"1, 9, 1, False, 2, False, False, , 0, False, False, 1, 1"</definedName>
    <definedName name="cb_sChartAFFAE4C_opts" hidden="1">"1, 9, 1, False, 2, False, False, , 0, False, False, 1, 1"</definedName>
    <definedName name="cb_sChartB00A4CA_opts" hidden="1">"1, 9, 1, False, 2, False, False, , 0, False, False, 1, 1"</definedName>
    <definedName name="cb_sChartB00BB88_opts" hidden="1">"1, 9, 1, False, 2, False, False, , 0, False, True, 1, 1"</definedName>
    <definedName name="cb_sChartC32A1F1_opts" hidden="1">"1, 10, 1, False, 2, True, False, , 0, False, True, 1, 2"</definedName>
    <definedName name="cb_sChartC32D7E1_opts" hidden="1">"1, 3, 1, False, 2, False, False, , 0, False, True, 1, 1"</definedName>
    <definedName name="cb_sChartC32E828_opts" hidden="1">"1, 1, 1, False, 2, True, False, , 0, False, False, 1, 1"</definedName>
    <definedName name="cb_sChartC6F96D3_opts" hidden="1">"1, 9, 1, False, 2, False, False, , 0, False, True, 1, 1"</definedName>
    <definedName name="cb_sChartC6F9839_opts" hidden="1">"1, 9, 1, False, 2, False, False, , 0, False, False, 1, 1"</definedName>
    <definedName name="cb_sChartC6F9966_opts" hidden="1">"1, 9, 1, False, 2, False, False, , 0, False, True, 1, 1"</definedName>
    <definedName name="cb_sChartF019EA2_opts" hidden="1">"1, 8, 1, False, 2, False, False, , 0, False, False, 1, 2"</definedName>
    <definedName name="cb_sChartF1ADE59_opts" hidden="1">"1, 5, 1, False, 2, False, False, , 0, False, True, 1, 1"</definedName>
    <definedName name="cb_sChartF1AE10F_opts" hidden="1">"1, 3, 1, False, 2, False, False, , 0, False, False, 1, 1"</definedName>
    <definedName name="cb_sChartF1AE2DE_opts" hidden="1">"1, 3, 1, False, 2, False, False, , 0, False, True, 1, 1"</definedName>
    <definedName name="cb_sChartF1AFB1A_opts" hidden="1">"1, 1, 1, False, 2, False, False, , 0, False, False, 1, 1"</definedName>
    <definedName name="cb_sChartF1AFB82_opts" hidden="1">"1, 1, 1, False, 2, False, False, , 0, False, False, 1, 1"</definedName>
    <definedName name="cb_sChartF1B1530_opts" hidden="1">"1, 9, 1, False, 2, False, False, , 0, False, True, 1, 1"</definedName>
    <definedName name="cb_sChartF1B6D9F_opts" hidden="1">"1, 8, 1, False, 2, False, False, , 0, False, False, 1, 1"</definedName>
    <definedName name="cb_sChartF1C2E95_opts" hidden="1">"1, 8, 1, False, 2, False, False, , 0, False, False, 1, 1"</definedName>
    <definedName name="cb_sChartF20F9EE_opts" hidden="1">"1, 9, 1, False, 2, False, False, , 0, False, False, 1, 1"</definedName>
    <definedName name="CBA">#REF!</definedName>
    <definedName name="cc" hidden="1">{"'SIVA Pricing Model'!$A$1:$F$39"}</definedName>
    <definedName name="ccc" hidden="1">{"'SIVA Pricing Model'!$A$1:$F$39"}</definedName>
    <definedName name="CCT">#REF!</definedName>
    <definedName name="CED_type">#REF!</definedName>
    <definedName name="CELLNOTE4">#REF!</definedName>
    <definedName name="CELLNOTE5">#REF!</definedName>
    <definedName name="CELLNOTE6">#REF!</definedName>
    <definedName name="CGHY" hidden="1">{"PAGE1",#N/A,FALSE,"CPFFMSTR";"PAGE2",#N/A,FALSE,"CPFFMSTR"}</definedName>
    <definedName name="changes">#REF!</definedName>
    <definedName name="Channel">#REF!</definedName>
    <definedName name="CHARTOFACCOUNTSID1">#REF!</definedName>
    <definedName name="CHARTOFACCOUNTSID2">#REF!</definedName>
    <definedName name="CHARTOFACCOUNTSID3">#REF!</definedName>
    <definedName name="CHARTOFACCOUNTSID4">#REF!</definedName>
    <definedName name="CHARTOFACCOUNTSID5">#REF!</definedName>
    <definedName name="CHARTOFACCOUNTSID6">#REF!</definedName>
    <definedName name="churn">#REF!</definedName>
    <definedName name="Churn01">#REF!</definedName>
    <definedName name="churn01b">#REF!</definedName>
    <definedName name="churn02">#REF!</definedName>
    <definedName name="churn02b">#REF!</definedName>
    <definedName name="Churn2">#REF!</definedName>
    <definedName name="churnv">#REF!</definedName>
    <definedName name="churnv1">#REF!</definedName>
    <definedName name="churnv12">#REF!</definedName>
    <definedName name="churnv2">#REF!</definedName>
    <definedName name="CIQWBGuid" hidden="1">"41f7d554-b23f-4b90-b82e-35c91fd2b303"</definedName>
    <definedName name="Clearance">#REF!</definedName>
    <definedName name="Client_Name">#REF!</definedName>
    <definedName name="Client_Number">#REF!</definedName>
    <definedName name="CLIN">#REF!</definedName>
    <definedName name="CLINs">#REF!</definedName>
    <definedName name="CLINS1">#REF!</definedName>
    <definedName name="clintacfr">#REF!</definedName>
    <definedName name="Cloud">#REF!</definedName>
    <definedName name="COA">#REF!</definedName>
    <definedName name="cogscomp">#REF!</definedName>
    <definedName name="Collections">#REF!</definedName>
    <definedName name="CommType">#REF!</definedName>
    <definedName name="Company">"英商普默士股份有限公司台灣分公司"</definedName>
    <definedName name="COMPANY_NAME">#REF!</definedName>
    <definedName name="comparison">#REF!</definedName>
    <definedName name="CompEE">#REF!</definedName>
    <definedName name="Compute_Empl">#REF!</definedName>
    <definedName name="CONNECTSTRING1">#REF!</definedName>
    <definedName name="CONNECTSTRING2">#REF!</definedName>
    <definedName name="CONNECTSTRING3">#REF!</definedName>
    <definedName name="CONNECTSTRING4">#REF!</definedName>
    <definedName name="CONNECTSTRING5">#REF!</definedName>
    <definedName name="CONNECTSTRING6">#REF!</definedName>
    <definedName name="ContactType">#REF!</definedName>
    <definedName name="Contract_Type">#REF!</definedName>
    <definedName name="ContractOH">#REF!</definedName>
    <definedName name="Contractor_Type">#REF!</definedName>
    <definedName name="ConType">#REF!</definedName>
    <definedName name="CONVRATES">#REF!</definedName>
    <definedName name="Cost_Data">#REF!</definedName>
    <definedName name="Cost_Of_Sales">#REF!</definedName>
    <definedName name="Cost_Ref">#REF!</definedName>
    <definedName name="Cost_Task">#REF!</definedName>
    <definedName name="Cost_Type">#REF!</definedName>
    <definedName name="Cost_Year">#REF!</definedName>
    <definedName name="CoverageTermDate">#REF!</definedName>
    <definedName name="covq4">#REF!</definedName>
    <definedName name="CPL_Line_Name17" hidden="1">#REF!</definedName>
    <definedName name="CPL_Line_Name18" hidden="1">#REF!</definedName>
    <definedName name="CPL_Line_Name19" hidden="1">#REF!</definedName>
    <definedName name="CPL_Line_Name2" hidden="1">#REF!</definedName>
    <definedName name="CPL_Line_Name20" hidden="1">#REF!</definedName>
    <definedName name="CPL_Line_Name21" hidden="1">#REF!</definedName>
    <definedName name="CPL_Line_Name22" hidden="1">#REF!</definedName>
    <definedName name="CPL_Line_Nbr17" hidden="1">#REF!</definedName>
    <definedName name="CPL_Line_Nbr18" hidden="1">#REF!</definedName>
    <definedName name="CPL_Line_Nbr19" hidden="1">#REF!</definedName>
    <definedName name="CPL_Line_Nbr20" hidden="1">#REF!</definedName>
    <definedName name="CPL_Line_Nbr21" hidden="1">#REF!</definedName>
    <definedName name="CPL_Line_Nbr22" hidden="1">#REF!</definedName>
    <definedName name="CPPQPP">#REF!</definedName>
    <definedName name="CREATESUMMARYJNLS1">#REF!</definedName>
    <definedName name="CREATESUMMARYJNLS2">#REF!</definedName>
    <definedName name="CREATESUMMARYJNLS3">#REF!</definedName>
    <definedName name="CREATESUMMARYJNLS4">#REF!</definedName>
    <definedName name="CREATESUMMARYJNLS5">#REF!</definedName>
    <definedName name="CREATESUMMARYJNLS6">#REF!</definedName>
    <definedName name="Crit_Line_Level_526" hidden="1">#REF!</definedName>
    <definedName name="_xlnm.Criteria">#REF!</definedName>
    <definedName name="CRITERIACOLUMN1">#REF!</definedName>
    <definedName name="CRITERIACOLUMN2">#REF!</definedName>
    <definedName name="CRITERIACOLUMN3">#REF!</definedName>
    <definedName name="CRITERIACOLUMN4">#REF!</definedName>
    <definedName name="CRITERIACOLUMN5">#REF!</definedName>
    <definedName name="CRITERIACOLUMN6">#REF!</definedName>
    <definedName name="CSOH">#REF!</definedName>
    <definedName name="Cur_Per_Actv_Amt17" hidden="1">#REF!</definedName>
    <definedName name="Cur_Per_Actv_Amt18" hidden="1">#REF!</definedName>
    <definedName name="Cur_Per_Actv_Amt19" hidden="1">#REF!</definedName>
    <definedName name="Cur_Per_Actv_Amt20" hidden="1">#REF!</definedName>
    <definedName name="Cur_Per_Actv_Amt21" hidden="1">#REF!</definedName>
    <definedName name="CurMth">#REF!</definedName>
    <definedName name="CurMthIndex">#REF!</definedName>
    <definedName name="CurrCrit" hidden="1">#REF!</definedName>
    <definedName name="Currency_Select">#REF!</definedName>
    <definedName name="Current_Assets">#REF!</definedName>
    <definedName name="CurrFY">#REF!</definedName>
    <definedName name="Customize">#REF!</definedName>
    <definedName name="Cwvu.GREY_ALL." hidden="1">#REF!</definedName>
    <definedName name="Cy_Qtr1_Pl_Amt16" hidden="1">#REF!</definedName>
    <definedName name="Cy_Qtr2_Pl_Amt16" hidden="1">#REF!</definedName>
    <definedName name="Cy_Qtr3_Pl_Amt16" hidden="1">#REF!</definedName>
    <definedName name="Cy_Qtr4_Pl_Amt16" hidden="1">#REF!</definedName>
    <definedName name="CY05_WRN.ALL._.STAFFING." hidden="1">{"STAFFING CHART","STAFFING FOR ALL DISCIPLINES",TRUE,"SUMMARY";"PROJECT STAFFING","STAFFING FOR ALL DISCIPLINES",TRUE,"SUMMARY"}</definedName>
    <definedName name="CY05_WRN.DRAFTING._.STAFFING." hidden="1">{"STAFFING CHART","STAFFING FOR DRAFTING",TRUE,"SUMMARY";"PROJECT STAFFING","STAFFING FOR DRAFTING",TRUE,"SUMMARY"}</definedName>
    <definedName name="CY05_WRN.ENGINEERING._.STAFFING." hidden="1">{"STAFFING CHART","STAFFING FOR ENGINEERING",TRUE,"SUMMARY";"PROJECT STAFFING","STAFFING FOR ENGINEERING",TRUE,"SUMMARY"}</definedName>
    <definedName name="CY05_WRN.HS_SUM." hidden="1">{#N/A,#N/A,FALSE,"MEMO";#N/A,#N/A,FALSE,"ISSUES"}</definedName>
    <definedName name="CY05_WRN.MANAGEMENT._.STAFFING." hidden="1">{"STAFFING CHART","STAFFING FOR MANAGEMENT",TRUE,"SUMMARY";"PROJECT STAFFING","STAFFING FOR MANAGEMENT",TRUE,"SUMMARY"}</definedName>
    <definedName name="CY05_WRN.NONREC." hidden="1">{"NONREC",#N/A,FALSE,"ESTIMATE"}</definedName>
    <definedName name="CY05_WRN.REC." hidden="1">{"REC",#N/A,FALSE,"ESTIMATE"}</definedName>
    <definedName name="CY05_WRN.TECHNICIAN._.STAFFING." hidden="1">{"STAFFING CHART","STAFFING FOR TECHNICIANS",TRUE,"SUMMARY";"PROJECT STAFFING","STAFFING FOR TECHNICIANS",TRUE,"SUMMARY"}</definedName>
    <definedName name="CY05_WRN.VENDOR." hidden="1">{"VENDOR",#N/A,FALSE,"ESTIMATE"}</definedName>
    <definedName name="CY08_WRN.TAMSCO._.STAFFING" hidden="1">{"STAFFING CHART","STAFFING FOR TAMSCO",TRUE,"SUMMARY";"PROJECT STAFFING","STAFFING FOR TAMSCO",TRUE,"SUMMARY"}</definedName>
    <definedName name="D">#REF!</definedName>
    <definedName name="DATA_SUMMARY">#REF!,#REF!</definedName>
    <definedName name="data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e">#REF!</definedName>
    <definedName name="DateRangePrice" hidden="1">OFFSET(#REF!,5,0,COUNTA(#REF!)-COUNTA(#REF!),1)</definedName>
    <definedName name="DateRangePriceMain" hidden="1">#REF!</definedName>
    <definedName name="DATESTAMP">#REF!</definedName>
    <definedName name="DBNAME1">#REF!</definedName>
    <definedName name="DBNAME2">#REF!</definedName>
    <definedName name="DBNAME3">#REF!</definedName>
    <definedName name="DBNAME4">#REF!</definedName>
    <definedName name="DBNAME5">#REF!</definedName>
    <definedName name="DBNAME6">#REF!</definedName>
    <definedName name="DBTYPEB">#REF!</definedName>
    <definedName name="DBTYPEV">#REF!</definedName>
    <definedName name="DBUSERNAME1">#REF!</definedName>
    <definedName name="DBUSERNAME2">#REF!</definedName>
    <definedName name="DBUSERNAME3">#REF!</definedName>
    <definedName name="DBUSERNAME4">#REF!</definedName>
    <definedName name="DBUSERNAME5">#REF!</definedName>
    <definedName name="DBUSERNAME6">#REF!</definedName>
    <definedName name="dd" hidden="1">{"'SIVA Pricing Model'!$A$1:$F$39"}</definedName>
    <definedName name="ddd" hidden="1">{"'SIVA Pricing Model'!$A$1:$F$39"}</definedName>
    <definedName name="dddd" hidden="1">{"Ratios",#N/A,FALSE,"Ratios"}</definedName>
    <definedName name="ddddddd" hidden="1">{"Income Statement",#N/A,FALSE,"Income Statement";"Balance Sheet",#N/A,FALSE,"Balance Sheet";"Cash Flow",#N/A,FALSE,"Cash Flow";"Ratios",#N/A,FALSE,"Ratios"}</definedName>
    <definedName name="DealBand">#REF!</definedName>
    <definedName name="DEALBANDV">#REF!</definedName>
    <definedName name="DELETELOGICTYPE1">#REF!</definedName>
    <definedName name="DELETELOGICTYPE2">#REF!</definedName>
    <definedName name="DELETELOGICTYPE3">#REF!</definedName>
    <definedName name="DELETELOGICTYPE4">#REF!</definedName>
    <definedName name="DELETELOGICTYPE5">#REF!</definedName>
    <definedName name="DELETELOGICTYPE6">#REF!</definedName>
    <definedName name="Dep" hidden="1">{"'subnets'!$A$1:$F$20"}</definedName>
    <definedName name="Dept_lookup">#REF!</definedName>
    <definedName name="dept_no_lookup">#REF!</definedName>
    <definedName name="Destination">#REF!</definedName>
    <definedName name="details">#REF!</definedName>
    <definedName name="df">#REF!</definedName>
    <definedName name="dfd" hidden="1">{"BS",#N/A,FALSE,"USA"}</definedName>
    <definedName name="dfdas" hidden="1">{"FCB_ALL",#N/A,FALSE,"FCB";"GREY_ALL",#N/A,FALSE,"GREY"}</definedName>
    <definedName name="dfdfd" hidden="1">{"FCB_ALL",#N/A,FALSE,"FCB";"GREY_ALL",#N/A,FALSE,"GREY"}</definedName>
    <definedName name="dfdfdfd" hidden="1">{"FCB_ALL",#N/A,FALSE,"FCB"}</definedName>
    <definedName name="dflt2">#REF!</definedName>
    <definedName name="dflt3">#REF!</definedName>
    <definedName name="dflt4">#REF!</definedName>
    <definedName name="dflt5">#REF!</definedName>
    <definedName name="dflt6">#REF!</definedName>
    <definedName name="dflt7">#REF!</definedName>
    <definedName name="dfsa" hidden="1">#REF!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 hidden="1">#REF!</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df" hidden="1">{"'08-14'!$A$3:$I$112"}</definedName>
    <definedName name="DFTY" hidden="1">{"PAGE1",#N/A,FALSE,"CPFFMSTR";"PAGE2",#N/A,FALSE,"CPFFMSTR"}</definedName>
    <definedName name="Direct_Labor_Rate_Base_Year_2">#REF!</definedName>
    <definedName name="Direct_Labor_Rate_Year_1">#REF!</definedName>
    <definedName name="display_area_2">#REF!</definedName>
    <definedName name="Dispo">#REF!</definedName>
    <definedName name="Division_Name1" hidden="1">#REF!</definedName>
    <definedName name="Division_Name17" hidden="1">#REF!</definedName>
    <definedName name="Division_Name18" hidden="1">#REF!</definedName>
    <definedName name="Division_Name19" hidden="1">#REF!</definedName>
    <definedName name="Division_Name2" hidden="1">#REF!</definedName>
    <definedName name="Division_Name20" hidden="1">#REF!</definedName>
    <definedName name="Division_Name21" hidden="1">#REF!</definedName>
    <definedName name="Division_Name22" hidden="1">#REF!</definedName>
    <definedName name="DL_COMBase">#REF!</definedName>
    <definedName name="DL_COMOpt1">#REF!</definedName>
    <definedName name="DL_COMOpt2">#REF!</definedName>
    <definedName name="DL_COMOpt3">#REF!</definedName>
    <definedName name="DL_COMOpt4">#REF!</definedName>
    <definedName name="DMLS">#REF!</definedName>
    <definedName name="Documents_received">#REF!</definedName>
    <definedName name="dpt">#REF!</definedName>
    <definedName name="Driver_Lookup">#REF!</definedName>
    <definedName name="ds" hidden="1">#REF!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d" hidden="1">#REF!</definedName>
    <definedName name="dsf">#REF!</definedName>
    <definedName name="dsfa" hidden="1">{"PAGE1",#N/A,FALSE,"CPFFMSTR";"PAGE2",#N/A,FALSE,"CPFFMSTR"}</definedName>
    <definedName name="dtys" hidden="1">{"PAGE1",#N/A,FALSE,"CPFFMSTR";"PAGE2",#N/A,FALSE,"CPFFMSTR"}</definedName>
    <definedName name="dummyDate">#REF!</definedName>
    <definedName name="e1sclCOMPANY_INFORMATION" hidden="1">"[CNAME]"</definedName>
    <definedName name="eafo" hidden="1">{"ACC_Cars_125K_PA",#N/A,FALSE,"ACC Cars Co1 125K ";"ACC_Cars_125K_Prop",#N/A,FALSE,"ACC Cars Co1 125K "}</definedName>
    <definedName name="eafo1" hidden="1">{"ACC_Cars_400K_PA",#N/A,FALSE,"ACC Cars Co1 400K";"ACC_Cars_400K_Prop",#N/A,FALSE,"ACC Cars Co1 400K"}</definedName>
    <definedName name="eafo10" hidden="1">{"PearsonCo1_Prop",#N/A,FALSE,"Pearsons Task Co1";"PearsonCo1_PA",#N/A,FALSE,"Pearsons Task Co1"}</definedName>
    <definedName name="eafo11" hidden="1">{"PearsonCo5_Prop",#N/A,FALSE,"Pearsons Task Co5";"PearsonCo5_PA",#N/A,FALSE,"Pearsons Task Co5"}</definedName>
    <definedName name="eafo12" hidden="1">{"Seal Team J6 Sum",#N/A,FALSE,"Seal Team Summary";"Seal Team J6",#N/A,FALSE,"Seal Team ";"Seal Team ODC J6",#N/A,FALSE,"Seal Team ODCs";"Seal Team Trvl J6",#N/A,FALSE," Seal Team Trvl"}</definedName>
    <definedName name="eafo15" hidden="1">{"ACC_Cars_125K_PA",#N/A,FALSE,"ACC Cars Co1 125K ";"ACC_Cars_125K_Prop",#N/A,FALSE,"ACC Cars Co1 125K "}</definedName>
    <definedName name="eafo16" hidden="1">{"ACC_Cars_400K_PA",#N/A,FALSE,"ACC Cars Co1 400K";"ACC_Cars_400K_Prop",#N/A,FALSE,"ACC Cars Co1 400K"}</definedName>
    <definedName name="eafo17" hidden="1">{"PAGE1",#N/A,FALSE,"ACC_CARS Travel 125K";"PAGE2",#N/A,FALSE,"ACC_CARS Travel 125K"}</definedName>
    <definedName name="eafo18" hidden="1">{"Page1",#N/A,FALSE,"ACC_CARS Travel 400K";"Page2",#N/A,FALSE,"ACC_CARS Travel 400K"}</definedName>
    <definedName name="eafo19" hidden="1">{"Pre_CCB",#N/A,FALSE,"Pre CCB Pkg ";"CCB_Memb_Notbk",#N/A,FALSE,"CCB_Memb_Notebk";"CCB_Handouts",#N/A,FALSE,"Handouts";"JDISS_Brochure",#N/A,FALSE,"JDISS_Brochure";"JDISS_Minutes",#N/A,FALSE,"JDISS_Minutes";"Total_JDISS",#N/A,FALSE,"Total JDISS"}</definedName>
    <definedName name="eafo2" hidden="1">{"PAGE1",#N/A,FALSE,"ACC_CARS Travel 125K";"PAGE2",#N/A,FALSE,"ACC_CARS Travel 125K"}</definedName>
    <definedName name="eafo20" hidden="1">{"DolanCo1_PA",#N/A,FALSE,"Tina Dolan";"DolanCo1_Prop",#N/A,FALSE,"Tina Dolan"}</definedName>
    <definedName name="eafo21" hidden="1">{"Prop_350K",#N/A,FALSE,"Ebron-350K";"PA_350K",#N/A,FALSE,"Ebron-350K";"Ebron350KTrvl",#N/A,FALSE,"Ebrons Travel 350k"}</definedName>
    <definedName name="eafo22" hidden="1">{"EbronCo1_PA",#N/A,FALSE,"Ebrons Task Co1";"EbronCo1_Prop",#N/A,FALSE,"Ebrons Task Co1";"Ebron316KTrvl",#N/A,FALSE,"Ebrons Travel 316k"}</definedName>
    <definedName name="eafo23" hidden="1">{"EbronCo5_PA",#N/A,FALSE,"Ebrons Task Co5";"EbronCo5_Prop",#N/A,FALSE,"Ebrons Task Co5"}</definedName>
    <definedName name="eafo24" hidden="1">{"JDISS_Co1",#N/A,FALSE,"JDISS_Co1";"JDISSCo1_PA",#N/A,FALSE,"JDISS_Co1"}</definedName>
    <definedName name="eafo26" hidden="1">{"PearsonCo5_Prop",#N/A,FALSE,"Pearsons Task Co5";"PearsonCo5_PA",#N/A,FALSE,"Pearsons Task Co5"}</definedName>
    <definedName name="eafo27" hidden="1">{"Seal Team J6 Sum",#N/A,FALSE,"Seal Team Summary";"Seal Team J6",#N/A,FALSE,"Seal Team ";"Seal Team ODC J6",#N/A,FALSE,"Seal Team ODCs";"Seal Team Trvl J6",#N/A,FALSE," Seal Team Trvl"}</definedName>
    <definedName name="eafo3" hidden="1">{"Page1",#N/A,FALSE,"ACC_CARS Travel 400K";"Page2",#N/A,FALSE,"ACC_CARS Travel 400K"}</definedName>
    <definedName name="eafo4" hidden="1">{"Pre_CCB",#N/A,FALSE,"Pre CCB Pkg ";"CCB_Memb_Notbk",#N/A,FALSE,"CCB_Memb_Notebk";"CCB_Handouts",#N/A,FALSE,"Handouts";"JDISS_Brochure",#N/A,FALSE,"JDISS_Brochure";"JDISS_Minutes",#N/A,FALSE,"JDISS_Minutes";"Total_JDISS",#N/A,FALSE,"Total JDISS"}</definedName>
    <definedName name="eafo5" hidden="1">{"DolanCo1_PA",#N/A,FALSE,"Tina Dolan";"DolanCo1_Prop",#N/A,FALSE,"Tina Dolan"}</definedName>
    <definedName name="eafo6" hidden="1">{"Prop_350K",#N/A,FALSE,"Ebron-350K";"PA_350K",#N/A,FALSE,"Ebron-350K";"Ebron350KTrvl",#N/A,FALSE,"Ebrons Travel 350k"}</definedName>
    <definedName name="eafo7" hidden="1">{"EbronCo1_PA",#N/A,FALSE,"Ebrons Task Co1";"EbronCo1_Prop",#N/A,FALSE,"Ebrons Task Co1";"Ebron316KTrvl",#N/A,FALSE,"Ebrons Travel 316k"}</definedName>
    <definedName name="eafo8" hidden="1">{"EbronCo5_PA",#N/A,FALSE,"Ebrons Task Co5";"EbronCo5_Prop",#N/A,FALSE,"Ebrons Task Co5"}</definedName>
    <definedName name="eafo9" hidden="1">{"JDISS_Co1",#N/A,FALSE,"JDISS_Co1";"JDISSCo1_PA",#N/A,FALSE,"JDISS_Co1"}</definedName>
    <definedName name="earo25" hidden="1">{"PearsonCo1_Prop",#N/A,FALSE,"Pearsons Task Co1";"PearsonCo1_PA",#N/A,FALSE,"Pearsons Task Co1"}</definedName>
    <definedName name="ed"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e_count">#REF!</definedName>
    <definedName name="ee_count2">#REF!</definedName>
    <definedName name="eee" hidden="1">{"'SIVA Pricing Model'!$A$1:$F$39"}</definedName>
    <definedName name="efaf" hidden="1">{"'SIVA Pricing Model'!$A$1:$F$39"}</definedName>
    <definedName name="efaf2" hidden="1">{"'SIVA Pricing Model'!$A$1:$F$39"}</definedName>
    <definedName name="EMISSÃO">#REF!</definedName>
    <definedName name="EP_Line_Name1" hidden="1">#REF!</definedName>
    <definedName name="eras" hidden="1">{"PAGE1",#N/A,FALSE,"CPFFMSTR";"PAGE2",#N/A,FALSE,"CPFFMSTR"}</definedName>
    <definedName name="ERC_Staffing">#REF!</definedName>
    <definedName name="ercgl">#REF!</definedName>
    <definedName name="ERILCATS">#REF!</definedName>
    <definedName name="erwe" hidden="1">{"PAGE1",#N/A,FALSE,"CPFFMSTR";"PAGE2",#N/A,FALSE,"CPFFMSTR"}</definedName>
    <definedName name="ESC">#REF!</definedName>
    <definedName name="Esc_Labor">#REF!</definedName>
    <definedName name="Esc_ODC">#REF!</definedName>
    <definedName name="EscOpt1">#REF!</definedName>
    <definedName name="EscOpt2">#REF!</definedName>
    <definedName name="EscOpt3">#REF!</definedName>
    <definedName name="EscOpt4">#REF!</definedName>
    <definedName name="ETS">#REF!</definedName>
    <definedName name="EUR">#REF!</definedName>
    <definedName name="EV__CVPARAMS__" hidden="1">"Trend!$B$17:$C$38;"</definedName>
    <definedName name="EV__EXPOPTIONS__" hidden="1">1</definedName>
    <definedName name="EV__LASTREFTIME__" hidden="1">40283.4967361111</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w" hidden="1">#REF!</definedName>
    <definedName name="EXCHANGE" hidden="1">{"'subnets'!$A$1:$F$20"}</definedName>
    <definedName name="Exempt">#REF!</definedName>
    <definedName name="Exp_Other">#REF!</definedName>
    <definedName name="Expenditure">#REF!</definedName>
    <definedName name="expenses">#REF!</definedName>
    <definedName name="External">{"Client Name or Project Name"}</definedName>
    <definedName name="extractby">#REF!</definedName>
    <definedName name="f" hidden="1">{"'subnets'!$A$1:$F$20"}</definedName>
    <definedName name="fa">#REF!</definedName>
    <definedName name="FarrellWitchita" hidden="1">{"FCB_ALL",#N/A,FALSE,"FCB"}</definedName>
    <definedName name="fasdf" hidden="1">{"PAGE1",#N/A,FALSE,"CPFFMSTR";"PAGE2",#N/A,FALSE,"CPFFMSTR"}</definedName>
    <definedName name="FBU_FUTA">'[1]Fringe build-up'!$W$3:$W$187</definedName>
    <definedName name="FBU_HandW">'[1]Fringe build-up'!$T$3:$T$187</definedName>
    <definedName name="FBU_Holiday_Wages">'[1]Fringe build-up'!$R$3:$R$187</definedName>
    <definedName name="FBU_Medicare">'[1]Fringe build-up'!$V$3:$V$187</definedName>
    <definedName name="FBU_Period">'[1]Fringe build-up'!$A$3:$A$187</definedName>
    <definedName name="FBU_Prod_Wages_Total">'[1]Fringe build-up'!$P$3:$P$187</definedName>
    <definedName name="FBU_Sick_Wages">'[1]Fringe build-up'!$S$3:$S$187</definedName>
    <definedName name="FBU_SS_Tax">'[1]Fringe build-up'!$U$3:$U$187</definedName>
    <definedName name="FBU_SUTA">'[1]Fringe build-up'!$X$3:$X$187</definedName>
    <definedName name="FBU_Total_Fringe">'[1]Fringe build-up'!$Z$3:$Z$187</definedName>
    <definedName name="FBU_Vacation_Wages">'[1]Fringe build-up'!$Q$3:$Q$187</definedName>
    <definedName name="FBU_WC">'[1]Fringe build-up'!$Y$3:$Y$187</definedName>
    <definedName name="FCOM">#REF!</definedName>
    <definedName name="feb">#REF!</definedName>
    <definedName name="feb02tb" hidden="1">{"Statement of Income",#N/A,TRUE,"Mar99";"Balance Sheet",#N/A,TRUE,"Mar99"}</definedName>
    <definedName name="Fee">#REF!</definedName>
    <definedName name="Fee_FP">#REF!</definedName>
    <definedName name="FEES">#REF!</definedName>
    <definedName name="ff">#REF!</definedName>
    <definedName name="FFAPPCOLNAME1_1">#REF!</definedName>
    <definedName name="FFAPPCOLNAME1_2">#REF!</definedName>
    <definedName name="FFAPPCOLNAME1_3">#REF!</definedName>
    <definedName name="FFAPPCOLNAME1_4">#REF!</definedName>
    <definedName name="FFAPPCOLNAME1_5">#REF!</definedName>
    <definedName name="FFAPPCOLNAME1_6">#REF!</definedName>
    <definedName name="FFAPPCOLNAME2_1">#REF!</definedName>
    <definedName name="FFAPPCOLNAME2_2">#REF!</definedName>
    <definedName name="FFAPPCOLNAME2_3">#REF!</definedName>
    <definedName name="FFAPPCOLNAME2_4">#REF!</definedName>
    <definedName name="FFAPPCOLNAME2_5">#REF!</definedName>
    <definedName name="FFAPPCOLNAME2_6">#REF!</definedName>
    <definedName name="FFAPPCOLNAME3_1">#REF!</definedName>
    <definedName name="FFAPPCOLNAME3_2">#REF!</definedName>
    <definedName name="FFAPPCOLNAME3_3">#REF!</definedName>
    <definedName name="FFAPPCOLNAME3_4">#REF!</definedName>
    <definedName name="FFAPPCOLNAME3_5">#REF!</definedName>
    <definedName name="FFAPPCOLNAME3_6">#REF!</definedName>
    <definedName name="FFAPPCOLNAME4_1">#REF!</definedName>
    <definedName name="FFAPPCOLNAME4_2">#REF!</definedName>
    <definedName name="FFAPPCOLNAME4_3">#REF!</definedName>
    <definedName name="FFAPPCOLNAME4_4">#REF!</definedName>
    <definedName name="FFAPPCOLNAME4_5">#REF!</definedName>
    <definedName name="FFAPPCOLNAME4_6">#REF!</definedName>
    <definedName name="FFAPPCOLNAME5_1">#REF!</definedName>
    <definedName name="FFAPPCOLNAME5_2">#REF!</definedName>
    <definedName name="FFAPPCOLNAME5_3">#REF!</definedName>
    <definedName name="FFAPPCOLNAME5_4">#REF!</definedName>
    <definedName name="FFAPPCOLNAME5_5">#REF!</definedName>
    <definedName name="FFAPPCOLNAME5_6">#REF!</definedName>
    <definedName name="FFAPPCOLNAME6_1">#REF!</definedName>
    <definedName name="FFAPPCOLNAME6_2">#REF!</definedName>
    <definedName name="FFAPPCOLNAME6_3">#REF!</definedName>
    <definedName name="FFAPPCOLNAME6_4">#REF!</definedName>
    <definedName name="FFAPPCOLNAME6_5">#REF!</definedName>
    <definedName name="FFAPPCOLNAME6_6">#REF!</definedName>
    <definedName name="FFAPPCOLNAME7_1">#REF!</definedName>
    <definedName name="FFAPPCOLNAME7_2">#REF!</definedName>
    <definedName name="FFAPPCOLNAME7_3">#REF!</definedName>
    <definedName name="FFAPPCOLNAME7_4">#REF!</definedName>
    <definedName name="FFAPPCOLNAME7_5">#REF!</definedName>
    <definedName name="FFAPPCOLNAME7_6">#REF!</definedName>
    <definedName name="fff" hidden="1">{"'SIVA Pricing Model'!$A$1:$F$39"}</definedName>
    <definedName name="FFSEGMENT1_1">#REF!</definedName>
    <definedName name="FFSEGMENT1_2">#REF!</definedName>
    <definedName name="FFSEGMENT1_3">#REF!</definedName>
    <definedName name="FFSEGMENT1_4">#REF!</definedName>
    <definedName name="FFSEGMENT1_5">#REF!</definedName>
    <definedName name="FFSEGMENT1_6">#REF!</definedName>
    <definedName name="FFSEGMENT2_1">#REF!</definedName>
    <definedName name="FFSEGMENT2_2">#REF!</definedName>
    <definedName name="FFSEGMENT2_3">#REF!</definedName>
    <definedName name="FFSEGMENT2_4">#REF!</definedName>
    <definedName name="FFSEGMENT2_5">#REF!</definedName>
    <definedName name="FFSEGMENT2_6">#REF!</definedName>
    <definedName name="FFSEGMENT3_1">#REF!</definedName>
    <definedName name="FFSEGMENT3_2">#REF!</definedName>
    <definedName name="FFSEGMENT3_3">#REF!</definedName>
    <definedName name="FFSEGMENT3_4">#REF!</definedName>
    <definedName name="FFSEGMENT3_5">#REF!</definedName>
    <definedName name="FFSEGMENT3_6">#REF!</definedName>
    <definedName name="FFSEGMENT4_1">#REF!</definedName>
    <definedName name="FFSEGMENT4_2">#REF!</definedName>
    <definedName name="FFSEGMENT4_3">#REF!</definedName>
    <definedName name="FFSEGMENT4_4">#REF!</definedName>
    <definedName name="FFSEGMENT4_5">#REF!</definedName>
    <definedName name="FFSEGMENT4_6">#REF!</definedName>
    <definedName name="FFSEGMENT5_1">#REF!</definedName>
    <definedName name="FFSEGMENT5_2">#REF!</definedName>
    <definedName name="FFSEGMENT5_3">#REF!</definedName>
    <definedName name="FFSEGMENT5_4">#REF!</definedName>
    <definedName name="FFSEGMENT5_5">#REF!</definedName>
    <definedName name="FFSEGMENT5_6">#REF!</definedName>
    <definedName name="FFSEGMENT6_1">#REF!</definedName>
    <definedName name="FFSEGMENT6_2">#REF!</definedName>
    <definedName name="FFSEGMENT6_3">#REF!</definedName>
    <definedName name="FFSEGMENT6_4">#REF!</definedName>
    <definedName name="FFSEGMENT6_5">#REF!</definedName>
    <definedName name="FFSEGMENT6_6">#REF!</definedName>
    <definedName name="FFSEGMENT7_1">#REF!</definedName>
    <definedName name="FFSEGMENT7_2">#REF!</definedName>
    <definedName name="FFSEGMENT7_3">#REF!</definedName>
    <definedName name="FFSEGMENT7_4">#REF!</definedName>
    <definedName name="FFSEGMENT7_5">#REF!</definedName>
    <definedName name="FFSEGMENT7_6">#REF!</definedName>
    <definedName name="FFSEGSEPARATOR1">#REF!</definedName>
    <definedName name="FFSEGSEPARATOR2">#REF!</definedName>
    <definedName name="FFSEGSEPARATOR3">#REF!</definedName>
    <definedName name="FFSEGSEPARATOR4">#REF!</definedName>
    <definedName name="FFSEGSEPARATOR5">#REF!</definedName>
    <definedName name="FFSEGSEPARATOR6">#REF!</definedName>
    <definedName name="FGH" hidden="1">{"PAGE1",#N/A,FALSE,"CPFFMSTR";"PAGE2",#N/A,FALSE,"CPFFMSTR"}</definedName>
    <definedName name="fgjfg" hidden="1">#REF!</definedName>
    <definedName name="fgsg" hidden="1">#REF!</definedName>
    <definedName name="FIELDNAMECOLUMN1">#REF!</definedName>
    <definedName name="FIELDNAMECOLUMN2">#REF!</definedName>
    <definedName name="FIELDNAMECOLUMN3">#REF!</definedName>
    <definedName name="FIELDNAMECOLUMN4">#REF!</definedName>
    <definedName name="FIELDNAMECOLUMN5">#REF!</definedName>
    <definedName name="FIELDNAMECOLUMN6">#REF!</definedName>
    <definedName name="FIELDNAMEROW1">#REF!</definedName>
    <definedName name="FIELDNAMEROW2">#REF!</definedName>
    <definedName name="FIELDNAMEROW3">#REF!</definedName>
    <definedName name="FIELDNAMEROW4">#REF!</definedName>
    <definedName name="FIELDNAMEROW5">#REF!</definedName>
    <definedName name="FIELDNAMEROW6">#REF!</definedName>
    <definedName name="FILEID">#REF!</definedName>
    <definedName name="FIN" hidden="1">#REF!</definedName>
    <definedName name="FINALS" hidden="1">#REF!</definedName>
    <definedName name="financial" hidden="1">{#N/A,#N/A,FALSE,"1996 Monthly Detail";#N/A,#N/A,FALSE,"1996 CashFlow";#N/A,#N/A,FALSE,"PNL By Dept";#N/A,#N/A,FALSE,"1997 Quarterly Detail";#N/A,#N/A,FALSE,"1998 Quarterly Detail";#N/A,#N/A,FALSE,"1997 Cash Flow";#N/A,#N/A,FALSE,"1998 Cash Flow"}</definedName>
    <definedName name="FIRSTDATAROW1">#REF!</definedName>
    <definedName name="FIRSTDATAROW2">#REF!</definedName>
    <definedName name="FIRSTDATAROW3">#REF!</definedName>
    <definedName name="FIRSTDATAROW4">#REF!</definedName>
    <definedName name="FIRSTDATAROW5">#REF!</definedName>
    <definedName name="FIRSTDATAROW6">#REF!</definedName>
    <definedName name="Fiscal_Year1" hidden="1">#REF!</definedName>
    <definedName name="Fixed_Fee_on_SubsBase">#REF!</definedName>
    <definedName name="Fixed_Fee_on_SubsOpt1">#REF!</definedName>
    <definedName name="Fixed_Fee_on_SubsOpt2">#REF!</definedName>
    <definedName name="Fixed_Fee_on_SubsOpt3">#REF!</definedName>
    <definedName name="Fixed_Fee_on_SubsOpt4">#REF!</definedName>
    <definedName name="Fixed_FeeBase">#REF!</definedName>
    <definedName name="Fixed_FeeOpt1">#REF!</definedName>
    <definedName name="Fixed_FeeOpt2">#REF!</definedName>
    <definedName name="Fixed_FeeOpt3">#REF!</definedName>
    <definedName name="Fixed_FeeOpt4">#REF!</definedName>
    <definedName name="FNDNAM1">#REF!</definedName>
    <definedName name="FNDNAM2">#REF!</definedName>
    <definedName name="FNDNAM3">#REF!</definedName>
    <definedName name="FNDNAM4">#REF!</definedName>
    <definedName name="FNDNAM5">#REF!</definedName>
    <definedName name="FNDNAM6">#REF!</definedName>
    <definedName name="FNDUSERID1">#REF!</definedName>
    <definedName name="FNDUSERID2">#REF!</definedName>
    <definedName name="FNDUSERID3">#REF!</definedName>
    <definedName name="FNDUSERID4">#REF!</definedName>
    <definedName name="FNDUSERID5">#REF!</definedName>
    <definedName name="FNDUSERID6">#REF!</definedName>
    <definedName name="FOS_GA">#REF!</definedName>
    <definedName name="FOS_OH">#REF!</definedName>
    <definedName name="fourth">#REF!</definedName>
    <definedName name="FR_1">#REF!</definedName>
    <definedName name="FR_2">#REF!</definedName>
    <definedName name="FR_3">#REF!</definedName>
    <definedName name="FR_4">#REF!</definedName>
    <definedName name="FR_5">#REF!</definedName>
    <definedName name="FR_6">#REF!</definedName>
    <definedName name="FR_7">#REF!</definedName>
    <definedName name="FrAcct">#REF!</definedName>
    <definedName name="Fringe">#REF!</definedName>
    <definedName name="Fringe_Base">#REF!</definedName>
    <definedName name="Fringe_Opt1">#REF!</definedName>
    <definedName name="Fringe_Opt2">#REF!</definedName>
    <definedName name="Fringe_Opt3">#REF!</definedName>
    <definedName name="Fringe_Opt4">#REF!</definedName>
    <definedName name="FringeRate">#REF!</definedName>
    <definedName name="FRJRNL">#REF!</definedName>
    <definedName name="FRPRD">#REF!</definedName>
    <definedName name="FRTRNDT">#REF!</definedName>
    <definedName name="FRTRNREF">#REF!</definedName>
    <definedName name="fsdsfafd" hidden="1">{"CSheet",#N/A,FALSE,"C";"SmCap",#N/A,FALSE,"VAL1";"GulfCoast",#N/A,FALSE,"VAL1";"nav",#N/A,FALSE,"NAV";"Summary",#N/A,FALSE,"NAV"}</definedName>
    <definedName name="FSoPacific" hidden="1">{"BS",#N/A,FALSE,"USA"}</definedName>
    <definedName name="FTE">#REF!</definedName>
    <definedName name="FUNCTIONALCURRENCY1">#REF!</definedName>
    <definedName name="FUNCTIONALCURRENCY2">#REF!</definedName>
    <definedName name="FUNCTIONALCURRENCY3">#REF!</definedName>
    <definedName name="FUNCTIONALCURRENCY4">#REF!</definedName>
    <definedName name="FUNCTIONALCURRENCY5">#REF!</definedName>
    <definedName name="FUNCTIONALCURRENCY6">#REF!</definedName>
    <definedName name="Funds">#REF!</definedName>
    <definedName name="g">#REF!</definedName>
    <definedName name="G_A_COMBase">#REF!</definedName>
    <definedName name="G_A_COMOpt1">#REF!</definedName>
    <definedName name="G_A_COMOpt2">#REF!</definedName>
    <definedName name="G_A_COMOpt3">#REF!</definedName>
    <definedName name="G_A_COMOpt4">#REF!</definedName>
    <definedName name="G_ABase">#REF!</definedName>
    <definedName name="G_AOpt1">#REF!</definedName>
    <definedName name="G_AOpt2">#REF!</definedName>
    <definedName name="G_AOpt3">#REF!</definedName>
    <definedName name="G_AOpt4">#REF!</definedName>
    <definedName name="GA">#REF!</definedName>
    <definedName name="GandA">#REF!</definedName>
    <definedName name="GEO">#REF!</definedName>
    <definedName name="GEORSB">#REF!</definedName>
    <definedName name="GEOSEGTYPEASP">#REF!</definedName>
    <definedName name="GEOSEGTYPEB">#REF!</definedName>
    <definedName name="GEOSEGTYPEV">#REF!</definedName>
    <definedName name="GEOTYPEB">#REF!</definedName>
    <definedName name="GEOTYPEPFASP">#REF!</definedName>
    <definedName name="GEOTYPESEGCL">#REF!</definedName>
    <definedName name="geotypesegpfvlb">#REF!</definedName>
    <definedName name="geotypesegpfvlv">#REF!</definedName>
    <definedName name="GEOTYPEV">#REF!</definedName>
    <definedName name="gg" hidden="1">{"'SIVA Pricing Model'!$A$1:$F$39"}</definedName>
    <definedName name="ggcase">#REF!</definedName>
    <definedName name="ggcase21">#REF!</definedName>
    <definedName name="ggg" hidden="1">"c1023"</definedName>
    <definedName name="GL">#REF!</definedName>
    <definedName name="GLC">#REF!</definedName>
    <definedName name="GLL23KB">#REF!</definedName>
    <definedName name="GLLK">#REF!</definedName>
    <definedName name="GLLKA">#REF!</definedName>
    <definedName name="GLLKB">#REF!</definedName>
    <definedName name="go" hidden="1">{"TOTAL",#N/A,FALSE,"A";"FISCAL94",#N/A,FALSE,"A";"FISCAL95",#N/A,FALSE,"A";"FISCAL96",#N/A,FALSE,"A";"misc page",#N/A,FALSE,"A"}</definedName>
    <definedName name="GoAssetChart">#N/A</definedName>
    <definedName name="GoBack">#N/A</definedName>
    <definedName name="GoBalanceSheet">#N/A</definedName>
    <definedName name="GoCashFlow">#N/A</definedName>
    <definedName name="GoData">#N/A</definedName>
    <definedName name="GoIncomeChart">#N/A</definedName>
    <definedName name="Gov_Labor_Class">#REF!</definedName>
    <definedName name="GrandTotal">#N/A</definedName>
    <definedName name="graphs">#REF!</definedName>
    <definedName name="Greg">#REF!</definedName>
    <definedName name="grpHelp">#REF!</definedName>
    <definedName name="GSDFG" hidden="1">{"PAGE1",#N/A,FALSE,"CPFFMSTR";"PAGE2",#N/A,FALSE,"CPFFMSTR"}</definedName>
    <definedName name="GWYUID1">#REF!</definedName>
    <definedName name="GWYUID2">#REF!</definedName>
    <definedName name="GWYUID3">#REF!</definedName>
    <definedName name="GWYUID4">#REF!</definedName>
    <definedName name="GWYUID5">#REF!</definedName>
    <definedName name="GWYUID6">#REF!</definedName>
    <definedName name="h">#REF!</definedName>
    <definedName name="HasBeenOpened" hidden="1">TRUE</definedName>
    <definedName name="hcchangesold">#REF!</definedName>
    <definedName name="headcount">#REF!</definedName>
    <definedName name="Hello" hidden="1">#REF!</definedName>
    <definedName name="HGJ" hidden="1">{"PAGE1",#N/A,FALSE,"CPFFMSTR";"PAGE2",#N/A,FALSE,"CPFFMSTR"}</definedName>
    <definedName name="hh" hidden="1">{"'SIVA Pricing Model'!$A$1:$F$39"}</definedName>
    <definedName name="hhhhhh">#REF!</definedName>
    <definedName name="Highstreetpartners">#REF!</definedName>
    <definedName name="hjg" hidden="1">#REF!</definedName>
    <definedName name="hjjh" hidden="1">{"'08-14'!$A$3:$I$112"}</definedName>
    <definedName name="htm" hidden="1">{"'SIVA Pricing Model'!$A$1:$F$39"}</definedName>
    <definedName name="HTML_CodePage" hidden="1">1252</definedName>
    <definedName name="HTML_Control" hidden="1">{"'Final '!$A$1:$N$125"}</definedName>
    <definedName name="HTML_Control2" hidden="1">{"'SIVA Pricing Model'!$A$1:$F$39"}</definedName>
    <definedName name="HTML_Control3" hidden="1">{"'SIVA Pricing Model'!$A$1:$F$39"}</definedName>
    <definedName name="HTML_Control5" hidden="1">{"'SIVA Pricing Model'!$A$1:$F$39"}</definedName>
    <definedName name="HTML_Description" hidden="1">""</definedName>
    <definedName name="HTML_Email" hidden="1">""</definedName>
    <definedName name="HTML_Header" hidden="1">"Final"</definedName>
    <definedName name="HTML_LastUpdate" hidden="1">"09/09/99"</definedName>
    <definedName name="HTML_LineAfter" hidden="1">FALSE</definedName>
    <definedName name="HTML_LineBefore" hidden="1">FALSE</definedName>
    <definedName name="HTML_Name" hidden="1">"Jeff Smith"</definedName>
    <definedName name="HTML_OBDlg2" hidden="1">TRUE</definedName>
    <definedName name="HTML_OBDlg4" hidden="1">TRUE</definedName>
    <definedName name="HTML_OS" hidden="1">0</definedName>
    <definedName name="HTML_PathFile" hidden="1">"G:\Jeff\HyperLinks\GordianKnot.htm"</definedName>
    <definedName name="HTML_PathFileMac" hidden="1">"Macintosh HD:HomePageStuff:pc:datasets:implprem.html"</definedName>
    <definedName name="HTML_Title" hidden="1">"Gordian Knot"</definedName>
    <definedName name="HTML1_1" hidden="1">"[Activities.xls]Tabelle1!$A$1:$F$30"</definedName>
    <definedName name="HTML1_10" hidden="1">"Syiad.Al-Duri@brr.de"</definedName>
    <definedName name="HTML1_11" hidden="1">-4146</definedName>
    <definedName name="HTML1_12" hidden="1">"E:\public\departments\e710\cost_reduction\activities.htm"</definedName>
    <definedName name="HTML1_2" hidden="1">1</definedName>
    <definedName name="HTML1_3" hidden="1">"BR710 Cost Reduction Programme"</definedName>
    <definedName name="HTML1_4" hidden="1">"Activities"</definedName>
    <definedName name="HTML1_5" hidden="1">"Below is an overview of cost reduction items currently being worked or investigated."</definedName>
    <definedName name="HTML1_6" hidden="1">-4146</definedName>
    <definedName name="HTML1_7" hidden="1">1</definedName>
    <definedName name="HTML1_8" hidden="1">"23/03/98"</definedName>
    <definedName name="HTML1_9" hidden="1">"E710 / Syiad Al-Duri x2016"</definedName>
    <definedName name="HTML2_1" hidden="1">"[Activities.xls]Tabelle1!$A$1:$D$30"</definedName>
    <definedName name="HTML2_11" hidden="1">1</definedName>
    <definedName name="HTML2_12" hidden="1">"E:\public\departments\e710\cost_reduction\PP_Table.htm"</definedName>
    <definedName name="HTML2_2" hidden="1">-4146</definedName>
    <definedName name="HTML2_3" hidden="1">"E:\public\departments\e710\cost_reduction\activities.htm"</definedName>
    <definedName name="HTMLCount" hidden="1">2</definedName>
    <definedName name="IDIQ_Rates_Basis">#REF!</definedName>
    <definedName name="IFEE">#REF!</definedName>
    <definedName name="ij">#REF!</definedName>
    <definedName name="Illumina_UK">#REF!</definedName>
    <definedName name="Impl_Months_lookup">#REF!</definedName>
    <definedName name="Implementation_Months_lookup">#REF!</definedName>
    <definedName name="IMPORTDFF1">#REF!</definedName>
    <definedName name="IMPORTDFF2">#REF!</definedName>
    <definedName name="IMPORTDFF3">#REF!</definedName>
    <definedName name="IMPORTDFF4">#REF!</definedName>
    <definedName name="IMPORTDFF5">#REF!</definedName>
    <definedName name="IMPORTDFF6">#REF!</definedName>
    <definedName name="Impp_Qtr1_Amt17" hidden="1">#REF!</definedName>
    <definedName name="Impp_Qtr1_Amt19" hidden="1">#REF!</definedName>
    <definedName name="Impp_Qtr1_Amt2" hidden="1">#REF!</definedName>
    <definedName name="Impp_Qtr1_Amt20" hidden="1">#REF!</definedName>
    <definedName name="Impp_Qtr1_Amt21" hidden="1">#REF!</definedName>
    <definedName name="Impp_Qtr1_Amt22" hidden="1">#REF!</definedName>
    <definedName name="Impp_Qtr1_Amt23" hidden="1">#REF!</definedName>
    <definedName name="Impp_Qtr2_Amt17" hidden="1">#REF!</definedName>
    <definedName name="Impp_Qtr2_Amt19" hidden="1">#REF!</definedName>
    <definedName name="Impp_Qtr2_Amt2" hidden="1">#REF!</definedName>
    <definedName name="Impp_Qtr2_Amt20" hidden="1">#REF!</definedName>
    <definedName name="Impp_Qtr2_Amt21" hidden="1">#REF!</definedName>
    <definedName name="Impp_Qtr2_Amt22" hidden="1">#REF!</definedName>
    <definedName name="Impp_Qtr2_Amt23" hidden="1">#REF!</definedName>
    <definedName name="Impp_Qtr3_Amt17" hidden="1">#REF!</definedName>
    <definedName name="Impp_Qtr3_Amt19" hidden="1">#REF!</definedName>
    <definedName name="Impp_Qtr3_Amt2" hidden="1">#REF!</definedName>
    <definedName name="Impp_Qtr3_Amt20" hidden="1">#REF!</definedName>
    <definedName name="Impp_Qtr3_Amt21" hidden="1">#REF!</definedName>
    <definedName name="Impp_Qtr3_Amt22" hidden="1">#REF!</definedName>
    <definedName name="Impp_Qtr3_Amt23" hidden="1">#REF!</definedName>
    <definedName name="Impp_Qtr4_Amt17" hidden="1">#REF!</definedName>
    <definedName name="Impp_Qtr4_Amt19" hidden="1">#REF!</definedName>
    <definedName name="Impp_Qtr4_Amt2" hidden="1">#REF!</definedName>
    <definedName name="Impp_Qtr4_Amt20" hidden="1">#REF!</definedName>
    <definedName name="Impp_Qtr4_Amt21" hidden="1">#REF!</definedName>
    <definedName name="Impp_Qtr4_Amt22" hidden="1">#REF!</definedName>
    <definedName name="Impp_Qtr4_Amt23" hidden="1">#REF!</definedName>
    <definedName name="Impp_Ye_Amt17" hidden="1">#REF!</definedName>
    <definedName name="Impp_Ye_Amt18" hidden="1">#REF!</definedName>
    <definedName name="Impp_Ye_Amt19" hidden="1">#REF!</definedName>
    <definedName name="Impp_Ye_Amt2" hidden="1">#REF!</definedName>
    <definedName name="Impp_Ye_Amt20" hidden="1">#REF!</definedName>
    <definedName name="Impp_Ye_Amt21" hidden="1">#REF!</definedName>
    <definedName name="Impp_Ye_Amt22" hidden="1">#REF!</definedName>
    <definedName name="Income">#REF!</definedName>
    <definedName name="Indirects">#REF!</definedName>
    <definedName name="InsTbl">#REF!</definedName>
    <definedName name="Instructions">#REF!</definedName>
    <definedName name="Intacct_Period_lookup">#REF!</definedName>
    <definedName name="Intl_Oper_Code16" hidden="1">#REF!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"c413"</definedName>
    <definedName name="IQ_ACCOUNTING_FFIEC" hidden="1">"c13054"</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"c100"</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ALLOCATION_ADJUSTMENT_FOREIGN_FFIEC" hidden="1">"c15389"</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"c124"</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TOMER_LIAB_ACCEPTANCES_OUT_FFIEC" hidden="1">"c12835"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ES" hidden="1">"c147"</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ET_INT" hidden="1">"c360"</definedName>
    <definedName name="IQ_EBIT_NUM_EST" hidden="1">"c1685"</definedName>
    <definedName name="IQ_EBIT_OVER_IE" hidden="1">"c360"</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NET_INT" hidden="1">"c368"</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"c373"</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"c84"</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1" hidden="1">"IQ_EPS_EST_1"</definedName>
    <definedName name="IQ_EPS_EST_BOTTOM_UP_CIQ" hidden="1">"c12026"</definedName>
    <definedName name="IQ_EPS_EST_CIQ" hidden="1">"c4994"</definedName>
    <definedName name="IQ_EPS_EST_REUT" hidden="1">"c5453"</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_CIQ" hidden="1">"c12027"</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"c739"</definedName>
    <definedName name="IQ_ESOP_DEBT" hidden="1">"c1597"</definedName>
    <definedName name="IQ_ESOP_DEBT_GUARANTEED_FFIEC" hidden="1">"c12971"</definedName>
    <definedName name="IQ_ESOP_OVER_TOTAL" hidden="1">"c13768"</definedName>
    <definedName name="IQ_EST_ACT_BV_REUT" hidden="1">"c5409"</definedName>
    <definedName name="IQ_EST_ACT_BV_SHARE" hidden="1">"c3549"</definedName>
    <definedName name="IQ_EST_ACT_BV_THOM" hidden="1">"c5153"</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ACT_FFO" hidden="1">"c1666"</definedName>
    <definedName name="IQ_EST_ACT_FFO_REUT" hidden="1">"c3843"</definedName>
    <definedName name="IQ_EST_ACT_FFO_THOM" hidden="1">"c4005"</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ACT_REV_CIQ" hidden="1">"c3666"</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EQ_GROWTH_Q" hidden="1">"c1764"</definedName>
    <definedName name="IQ_EST_EPS_SEQ_GROWTH_Q_CIQ" hidden="1">"c3690"</definedName>
    <definedName name="IQ_EST_EPS_SURPRISE" hidden="1">"c1635"</definedName>
    <definedName name="IQ_EST_EPS_SURPRISE_PERCENT" hidden="1">"c1635"</definedName>
    <definedName name="IQ_EST_EPS_SURPRISE_PERCENT_CIQ" hidden="1">"c5000"</definedName>
    <definedName name="IQ_EST_FAIR_VALUE_MORT_SERVICING_ASSETS_FFIEC" hidden="1">"c12956"</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 hidden="1">"c4435"</definedName>
    <definedName name="IQ_FFO_ADJ_ACT_OR_EST_CIQ" hidden="1">"c4960"</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DATE" hidden="1">"c12212"</definedName>
    <definedName name="IQ_FFO_EST_DET_EST_DATE_REUT" hidden="1">"c12295"</definedName>
    <definedName name="IQ_FFO_EST_DET_EST_INCL" hidden="1">"c12349"</definedName>
    <definedName name="IQ_FFO_EST_DET_EST_INCL_REUT" hidden="1">"c12419"</definedName>
    <definedName name="IQ_FFO_EST_DET_EST_ORIGIN_REUT" hidden="1">"c12724"</definedName>
    <definedName name="IQ_FFO_EST_DET_EST_REUT" hidden="1">"c12153"</definedName>
    <definedName name="IQ_FFO_EST_REUT" hidden="1">"c3837"</definedName>
    <definedName name="IQ_FFO_EST_THOM" hidden="1">"c3999"</definedName>
    <definedName name="IQ_FFO_HIGH_EST" hidden="1">"c419"</definedName>
    <definedName name="IQ_FFO_HIGH_EST_REUT" hidden="1">"c3839"</definedName>
    <definedName name="IQ_FFO_HIGH_EST_THOM" hidden="1">"c4001"</definedName>
    <definedName name="IQ_FFO_LOW_EST" hidden="1">"c420"</definedName>
    <definedName name="IQ_FFO_LOW_EST_REUT" hidden="1">"c3840"</definedName>
    <definedName name="IQ_FFO_LOW_EST_THOM" hidden="1">"c4002"</definedName>
    <definedName name="IQ_FFO_MEDIAN_EST" hidden="1">"c1665"</definedName>
    <definedName name="IQ_FFO_MEDIAN_EST_REUT" hidden="1">"c3838"</definedName>
    <definedName name="IQ_FFO_MEDIAN_EST_THOM" hidden="1">"c4000"</definedName>
    <definedName name="IQ_FFO_NO_EST" hidden="1">"c276"</definedName>
    <definedName name="IQ_FFO_NUM_EST" hidden="1">"c421"</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TDDEV_EST" hidden="1">"c422"</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500</definedName>
    <definedName name="IQ_FREE_OPERATING_CASH_FLOW_DEBT_CSD" hidden="1">"c27718"</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1000</definedName>
    <definedName name="IQ_FY_DATE" hidden="1">"IQ_FY_DATE"</definedName>
    <definedName name="IQ_GA_EXP" hidden="1">"c2241"</definedName>
    <definedName name="IQ_GAAP_BS" hidden="1">"c6789"</definedName>
    <definedName name="IQ_GAAP_CF" hidden="1">"c6790"</definedName>
    <definedName name="IQ_GAAP_EST_CIQ" hidden="1">"c13924"</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"c907"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41526.8366319444</definedName>
    <definedName name="IQ_NAMES_REVISION_DATE__1" hidden="1">41379.6758680556</definedName>
    <definedName name="IQ_NAMES_REVISION_DATE__1_1" hidden="1">41449.4017592593</definedName>
    <definedName name="IQ_NAMES_REVISION_DATE__2" hidden="1">41449.4017592593</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CF" hidden="1">"c793"</definedName>
    <definedName name="IQ_NET_INC_GROWTH_1" hidden="1">"IQ_NET_INC_GROWTH_1"</definedName>
    <definedName name="IQ_NET_INC_GROWTH_2" hidden="1">"IQ_NET_INC_GROWTH_2"</definedName>
    <definedName name="IQ_NET_INC_MARGIN" hidden="1">"c794"</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"c797"</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BV_FWD" hidden="1">"c15235"</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FLOAT" hidden="1">"c227"</definedName>
    <definedName name="IQ_PERCENT_INSURED_FDIC" hidden="1">"c6374"</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OVER_BVPS" hidden="1">"c1026"</definedName>
    <definedName name="IQ_PRICE_OVER_EPS_EST" hidden="1">"IQ_PRICE_OVER_EPS_EST"</definedName>
    <definedName name="IQ_PRICE_OVER_EPS_EST_1" hidden="1">"IQ_PRICE_OVER_EPS_EST_1"</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DIC" hidden="1">"c6730"</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DIC" hidden="1">"c6732"</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1" hidden="1">"IQ_REVENUE_EST_1"</definedName>
    <definedName name="IQ_REVENUE_EST_BOTTOM_UP_CIQ" hidden="1">"c12025"</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ISION_DATE_" hidden="1">39637.5735185185</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DUE_DEPOSITORY_INSTIT_DOM_FFIEC" hidden="1">"c15291"</definedName>
    <definedName name="IQ_TOTAL_CASH_DUE_DEPOSITORY_INSTIT_FFIEC" hidden="1">"c15285"</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"c591"</definedName>
    <definedName name="IQ_TOTAL_INTEREST_EXP_FOREIGN_FFIEC" hidden="1">"c15374"</definedName>
    <definedName name="IQ_TOTAL_INTEREST_INC_FOREIGN_FFIEC" hidden="1">"c15373"</definedName>
    <definedName name="IQ_TOTAL_INVENTORY"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"c18"</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2</definedName>
    <definedName name="IQB_BOOKMARK_LOCATION_0" hidden="1">#REF!</definedName>
    <definedName name="IQB_BOOKMARK_LOCATION_1" hidden="1">#REF!</definedName>
    <definedName name="IQB_CURRENT_BOOKMARK" hidden="1">0</definedName>
    <definedName name="IQR111711P10" hidden="1">#REF!</definedName>
    <definedName name="IQR111711P101" hidden="1">#REF!</definedName>
    <definedName name="IQR111711P102" hidden="1">#REF!</definedName>
    <definedName name="IQR111711P103" hidden="1">#REF!</definedName>
    <definedName name="IQR111711P104" hidden="1">#REF!</definedName>
    <definedName name="IQR111711P106" hidden="1">#REF!</definedName>
    <definedName name="IQR111711P107" hidden="1">#REF!</definedName>
    <definedName name="IQR111711P110" hidden="1">#REF!</definedName>
    <definedName name="IQR111711P111" hidden="1">#REF!</definedName>
    <definedName name="IQR111711P112" hidden="1">#REF!</definedName>
    <definedName name="IQR111711P113" hidden="1">#REF!</definedName>
    <definedName name="IQR111711P114" hidden="1">#REF!</definedName>
    <definedName name="IQR111711P117" hidden="1">#REF!</definedName>
    <definedName name="IQR111711P119" hidden="1">#REF!</definedName>
    <definedName name="IQR111711P120" hidden="1">#REF!</definedName>
    <definedName name="IQR111711P122" hidden="1">#REF!</definedName>
    <definedName name="IQR111711P123" hidden="1">#REF!</definedName>
    <definedName name="IQR111711P124" hidden="1">#REF!</definedName>
    <definedName name="IQR111711P127" hidden="1">#REF!</definedName>
    <definedName name="IQR111711P128" hidden="1">#REF!</definedName>
    <definedName name="IQR111711P13" hidden="1">#REF!</definedName>
    <definedName name="IQR111711P131" hidden="1">#REF!</definedName>
    <definedName name="IQR111711P132" hidden="1">#REF!</definedName>
    <definedName name="IQR111711P134" hidden="1">#REF!</definedName>
    <definedName name="IQR111711P135" hidden="1">#REF!</definedName>
    <definedName name="IQR111711P136" hidden="1">#REF!</definedName>
    <definedName name="IQR111711P138" hidden="1">#REF!</definedName>
    <definedName name="IQR111711P139" hidden="1">#REF!</definedName>
    <definedName name="IQR111711P14" hidden="1">#REF!</definedName>
    <definedName name="IQR111711P140" hidden="1">#REF!</definedName>
    <definedName name="IQR111711P141" hidden="1">#REF!</definedName>
    <definedName name="IQR111711P142" hidden="1">#REF!</definedName>
    <definedName name="IQR111711P143" hidden="1">#REF!</definedName>
    <definedName name="IQR111711P144" hidden="1">#REF!</definedName>
    <definedName name="IQR111711P145" hidden="1">#REF!</definedName>
    <definedName name="IQR111711P148" hidden="1">#REF!</definedName>
    <definedName name="IQR111711P149" hidden="1">#REF!</definedName>
    <definedName name="IQR111711P150" hidden="1">#REF!</definedName>
    <definedName name="IQR111711P153" hidden="1">#REF!</definedName>
    <definedName name="IQR111711P155" hidden="1">#REF!</definedName>
    <definedName name="IQR111711P156" hidden="1">#REF!</definedName>
    <definedName name="IQR111711P161" hidden="1">#REF!</definedName>
    <definedName name="IQR111711P163" hidden="1">#REF!</definedName>
    <definedName name="IQR111711P167" hidden="1">#REF!</definedName>
    <definedName name="IQR111711P168" hidden="1">#REF!</definedName>
    <definedName name="IQR111711P169" hidden="1">#REF!</definedName>
    <definedName name="IQR111711P17" hidden="1">#REF!</definedName>
    <definedName name="IQR111711P170" hidden="1">#REF!</definedName>
    <definedName name="IQR111711P172" hidden="1">#REF!</definedName>
    <definedName name="IQR111711P174" hidden="1">#REF!</definedName>
    <definedName name="IQR111711P175" hidden="1">#REF!</definedName>
    <definedName name="IQR111711P179" hidden="1">#REF!</definedName>
    <definedName name="IQR111711P18" hidden="1">#REF!</definedName>
    <definedName name="IQR111711P182" hidden="1">#REF!</definedName>
    <definedName name="IQR111711P183" hidden="1">#REF!</definedName>
    <definedName name="IQR111711P187" hidden="1">#REF!</definedName>
    <definedName name="IQR111711P188" hidden="1">#REF!</definedName>
    <definedName name="IQR111711P190" hidden="1">#REF!</definedName>
    <definedName name="IQR111711P192" hidden="1">#REF!</definedName>
    <definedName name="IQR111711P193" hidden="1">#REF!</definedName>
    <definedName name="IQR111711P195" hidden="1">#REF!</definedName>
    <definedName name="IQR111711P196" hidden="1">#REF!</definedName>
    <definedName name="IQR111711P198" hidden="1">#REF!</definedName>
    <definedName name="IQR111711P199" hidden="1">#REF!</definedName>
    <definedName name="IQR111711P200" hidden="1">#REF!</definedName>
    <definedName name="IQR111711P202" hidden="1">#REF!</definedName>
    <definedName name="IQR111711P205" hidden="1">#REF!</definedName>
    <definedName name="IQR111711P206" hidden="1">#REF!</definedName>
    <definedName name="IQR111711P207" hidden="1">#REF!</definedName>
    <definedName name="IQR111711P208" hidden="1">#REF!</definedName>
    <definedName name="IQR111711P21" hidden="1">#REF!</definedName>
    <definedName name="IQR111711P210" hidden="1">#REF!</definedName>
    <definedName name="IQR111711P211" hidden="1">#REF!</definedName>
    <definedName name="IQR111711P212" hidden="1">#REF!</definedName>
    <definedName name="IQR111711P213" hidden="1">#REF!</definedName>
    <definedName name="IQR111711P214" hidden="1">#REF!</definedName>
    <definedName name="IQR111711P215" hidden="1">#REF!</definedName>
    <definedName name="IQR111711P216" hidden="1">#REF!</definedName>
    <definedName name="IQR111711P218" hidden="1">#REF!</definedName>
    <definedName name="IQR111711P219" hidden="1">#REF!</definedName>
    <definedName name="IQR111711P222" hidden="1">#REF!</definedName>
    <definedName name="IQR111711P223" hidden="1">#REF!</definedName>
    <definedName name="IQR111711P224" hidden="1">#REF!</definedName>
    <definedName name="IQR111711P225" hidden="1">#REF!</definedName>
    <definedName name="IQR111711P227" hidden="1">#REF!</definedName>
    <definedName name="IQR111711P229" hidden="1">#REF!</definedName>
    <definedName name="IQR111711P23" hidden="1">#REF!</definedName>
    <definedName name="IQR111711P230" hidden="1">#REF!</definedName>
    <definedName name="IQR111711P232" hidden="1">#REF!</definedName>
    <definedName name="IQR111711P233" hidden="1">#REF!</definedName>
    <definedName name="IQR111711P234" hidden="1">#REF!</definedName>
    <definedName name="IQR111711P237" hidden="1">#REF!</definedName>
    <definedName name="IQR111711P238" hidden="1">#REF!</definedName>
    <definedName name="IQR111711P239" hidden="1">#REF!</definedName>
    <definedName name="IQR111711P24" hidden="1">#REF!</definedName>
    <definedName name="IQR111711P240" hidden="1">#REF!</definedName>
    <definedName name="IQR111711P242" hidden="1">#REF!</definedName>
    <definedName name="IQR111711P243" hidden="1">#REF!</definedName>
    <definedName name="IQR111711P245" hidden="1">#REF!</definedName>
    <definedName name="IQR111711P247" hidden="1">#REF!</definedName>
    <definedName name="IQR111711P248" hidden="1">#REF!</definedName>
    <definedName name="IQR111711P249" hidden="1">#REF!</definedName>
    <definedName name="IQR111711P25" hidden="1">#REF!</definedName>
    <definedName name="IQR111711P252" hidden="1">#REF!</definedName>
    <definedName name="IQR111711P253" hidden="1">#REF!</definedName>
    <definedName name="IQR111711P254" hidden="1">#REF!</definedName>
    <definedName name="IQR111711P255" hidden="1">#REF!</definedName>
    <definedName name="IQR111711P256" hidden="1">#REF!</definedName>
    <definedName name="IQR111711P257" hidden="1">#REF!</definedName>
    <definedName name="IQR111711P258" hidden="1">#REF!</definedName>
    <definedName name="IQR111711P259" hidden="1">#REF!</definedName>
    <definedName name="IQR111711P26" hidden="1">#REF!</definedName>
    <definedName name="IQR111711P260" hidden="1">#REF!</definedName>
    <definedName name="IQR111711P261" hidden="1">#REF!</definedName>
    <definedName name="IQR111711P263" hidden="1">#REF!</definedName>
    <definedName name="IQR111711P264" hidden="1">#REF!</definedName>
    <definedName name="IQR111711P265" hidden="1">#REF!</definedName>
    <definedName name="IQR111711P266" hidden="1">#REF!</definedName>
    <definedName name="IQR111711P267" hidden="1">#REF!</definedName>
    <definedName name="IQR111711P269" hidden="1">#REF!</definedName>
    <definedName name="IQR111711P27" hidden="1">#REF!</definedName>
    <definedName name="IQR111711P270" hidden="1">#REF!</definedName>
    <definedName name="IQR111711P271" hidden="1">#REF!</definedName>
    <definedName name="IQR111711P275" hidden="1">#REF!</definedName>
    <definedName name="IQR111711P276" hidden="1">#REF!</definedName>
    <definedName name="IQR111711P278" hidden="1">#REF!</definedName>
    <definedName name="IQR111711P279" hidden="1">#REF!</definedName>
    <definedName name="IQR111711P28" hidden="1">#REF!</definedName>
    <definedName name="IQR111711P280" hidden="1">#REF!</definedName>
    <definedName name="IQR111711P281" hidden="1">#REF!</definedName>
    <definedName name="IQR111711P282" hidden="1">#REF!</definedName>
    <definedName name="IQR111711P284" hidden="1">#REF!</definedName>
    <definedName name="IQR111711P285" hidden="1">#REF!</definedName>
    <definedName name="IQR111711P286" hidden="1">#REF!</definedName>
    <definedName name="IQR111711P289" hidden="1">#REF!</definedName>
    <definedName name="IQR111711P29" hidden="1">#REF!</definedName>
    <definedName name="IQR111711P290" hidden="1">#REF!</definedName>
    <definedName name="IQR111711P292" hidden="1">#REF!</definedName>
    <definedName name="IQR111711P294" hidden="1">#REF!</definedName>
    <definedName name="IQR111711P295" hidden="1">#REF!</definedName>
    <definedName name="IQR111711P297" hidden="1">#REF!</definedName>
    <definedName name="IQR111711P299" hidden="1">#REF!</definedName>
    <definedName name="IQR111711P30" hidden="1">#REF!</definedName>
    <definedName name="IQR111711P300" hidden="1">#REF!</definedName>
    <definedName name="IQR111711P301" hidden="1">#REF!</definedName>
    <definedName name="IQR111711P303" hidden="1">#REF!</definedName>
    <definedName name="IQR111711P304" hidden="1">#REF!</definedName>
    <definedName name="IQR111711P306" hidden="1">#REF!</definedName>
    <definedName name="IQR111711P307" hidden="1">#REF!</definedName>
    <definedName name="IQR111711P308" hidden="1">#REF!</definedName>
    <definedName name="IQR111711P309" hidden="1">#REF!</definedName>
    <definedName name="IQR111711P31" hidden="1">#REF!</definedName>
    <definedName name="IQR111711P311" hidden="1">#REF!</definedName>
    <definedName name="IQR111711P312" hidden="1">#REF!</definedName>
    <definedName name="IQR111711P313" hidden="1">#REF!</definedName>
    <definedName name="IQR111711P314" hidden="1">#REF!</definedName>
    <definedName name="IQR111711P315" hidden="1">#REF!</definedName>
    <definedName name="IQR111711P318" hidden="1">#REF!</definedName>
    <definedName name="IQR111711P319" hidden="1">#REF!</definedName>
    <definedName name="IQR111711P32" hidden="1">#REF!</definedName>
    <definedName name="IQR111711P320" hidden="1">#REF!</definedName>
    <definedName name="IQR111711P321" hidden="1">#REF!</definedName>
    <definedName name="IQR111711P322" hidden="1">#REF!</definedName>
    <definedName name="IQR111711P323" hidden="1">#REF!</definedName>
    <definedName name="IQR111711P324" hidden="1">#REF!</definedName>
    <definedName name="IQR111711P325" hidden="1">#REF!</definedName>
    <definedName name="IQR111711P327" hidden="1">#REF!</definedName>
    <definedName name="IQR111711P328" hidden="1">#REF!</definedName>
    <definedName name="IQR111711P329" hidden="1">#REF!</definedName>
    <definedName name="IQR111711P33" hidden="1">#REF!</definedName>
    <definedName name="IQR111711P330" hidden="1">#REF!</definedName>
    <definedName name="IQR111711P331" hidden="1">#REF!</definedName>
    <definedName name="IQR111711P333" hidden="1">#REF!</definedName>
    <definedName name="IQR111711P335" hidden="1">#REF!</definedName>
    <definedName name="IQR111711P336" hidden="1">#REF!</definedName>
    <definedName name="IQR111711P337" hidden="1">#REF!</definedName>
    <definedName name="IQR111711P338" hidden="1">#REF!</definedName>
    <definedName name="IQR111711P339" hidden="1">#REF!</definedName>
    <definedName name="IQR111711P34" hidden="1">#REF!</definedName>
    <definedName name="IQR111711P340" hidden="1">#REF!</definedName>
    <definedName name="IQR111711P341" hidden="1">#REF!</definedName>
    <definedName name="IQR111711P343" hidden="1">#REF!</definedName>
    <definedName name="IQR111711P345" hidden="1">#REF!</definedName>
    <definedName name="IQR111711P346" hidden="1">#REF!</definedName>
    <definedName name="IQR111711P347" hidden="1">#REF!</definedName>
    <definedName name="IQR111711P348" hidden="1">#REF!</definedName>
    <definedName name="IQR111711P349" hidden="1">#REF!</definedName>
    <definedName name="IQR111711P350" hidden="1">#REF!</definedName>
    <definedName name="IQR111711P352" hidden="1">#REF!</definedName>
    <definedName name="IQR111711P353" hidden="1">#REF!</definedName>
    <definedName name="IQR111711P354" hidden="1">#REF!</definedName>
    <definedName name="IQR111711P355" hidden="1">#REF!</definedName>
    <definedName name="IQR111711P356" hidden="1">#REF!</definedName>
    <definedName name="IQR111711P358" hidden="1">#REF!</definedName>
    <definedName name="IQR111711P36" hidden="1">#REF!</definedName>
    <definedName name="IQR111711P361" hidden="1">#REF!</definedName>
    <definedName name="IQR111711P362" hidden="1">#REF!</definedName>
    <definedName name="IQR111711P364" hidden="1">#REF!</definedName>
    <definedName name="IQR111711P367" hidden="1">#REF!</definedName>
    <definedName name="IQR111711P368" hidden="1">#REF!</definedName>
    <definedName name="IQR111711P369" hidden="1">#REF!</definedName>
    <definedName name="IQR111711P37" hidden="1">#REF!</definedName>
    <definedName name="IQR111711P370" hidden="1">#REF!</definedName>
    <definedName name="IQR111711P372" hidden="1">#REF!</definedName>
    <definedName name="IQR111711P374" hidden="1">#REF!</definedName>
    <definedName name="IQR111711P375" hidden="1">#REF!</definedName>
    <definedName name="IQR111711P378" hidden="1">#REF!</definedName>
    <definedName name="IQR111711P379" hidden="1">#REF!</definedName>
    <definedName name="IQR111711P38" hidden="1">#REF!</definedName>
    <definedName name="IQR111711P380" hidden="1">#REF!</definedName>
    <definedName name="IQR111711P381" hidden="1">#REF!</definedName>
    <definedName name="IQR111711P41" hidden="1">#REF!</definedName>
    <definedName name="IQR111711P42" hidden="1">#REF!</definedName>
    <definedName name="IQR111711P43" hidden="1">#REF!</definedName>
    <definedName name="IQR111711P44" hidden="1">#REF!</definedName>
    <definedName name="IQR111711P46" hidden="1">#REF!</definedName>
    <definedName name="IQR111711P48" hidden="1">#REF!</definedName>
    <definedName name="IQR111711P50" hidden="1">#REF!</definedName>
    <definedName name="IQR111711P51" hidden="1">#REF!</definedName>
    <definedName name="IQR111711P55" hidden="1">#REF!</definedName>
    <definedName name="IQR111711P56" hidden="1">#REF!</definedName>
    <definedName name="IQR111711P57" hidden="1">#REF!</definedName>
    <definedName name="IQR111711P58" hidden="1">#REF!</definedName>
    <definedName name="IQR111711P59" hidden="1">#REF!</definedName>
    <definedName name="IQR111711P62" hidden="1">#REF!</definedName>
    <definedName name="IQR111711P64" hidden="1">#REF!</definedName>
    <definedName name="IQR111711P65" hidden="1">#REF!</definedName>
    <definedName name="IQR111711P66" hidden="1">#REF!</definedName>
    <definedName name="IQR111711P67" hidden="1">#REF!</definedName>
    <definedName name="IQR111711P69" hidden="1">#REF!</definedName>
    <definedName name="IQR111711P70" hidden="1">#REF!</definedName>
    <definedName name="IQR111711P71" hidden="1">#REF!</definedName>
    <definedName name="IQR111711P74" hidden="1">#REF!</definedName>
    <definedName name="IQR111711P75" hidden="1">#REF!</definedName>
    <definedName name="IQR111711P76" hidden="1">#REF!</definedName>
    <definedName name="IQR111711P77" hidden="1">#REF!</definedName>
    <definedName name="IQR111711P79" hidden="1">#REF!</definedName>
    <definedName name="IQR111711P81" hidden="1">#REF!</definedName>
    <definedName name="IQR111711P83" hidden="1">#REF!</definedName>
    <definedName name="IQR111711P87" hidden="1">#REF!</definedName>
    <definedName name="IQR111711P88" hidden="1">#REF!</definedName>
    <definedName name="IQR111711P9" hidden="1">#REF!</definedName>
    <definedName name="IQR111711P91" hidden="1">#REF!</definedName>
    <definedName name="IQR111711P92" hidden="1">#REF!</definedName>
    <definedName name="IQR111711P93" hidden="1">#REF!</definedName>
    <definedName name="IQR111711P94" hidden="1">#REF!</definedName>
    <definedName name="IQR111711P95" hidden="1">#REF!</definedName>
    <definedName name="IQR111711P96" hidden="1">#REF!</definedName>
    <definedName name="IQR111711P98" hidden="1">#REF!</definedName>
    <definedName name="IQR111711Q112" hidden="1">#REF!</definedName>
    <definedName name="IQR111711Q113" hidden="1">#REF!</definedName>
    <definedName name="IQR111711Q14" hidden="1">#REF!</definedName>
    <definedName name="IQR111711Q148" hidden="1">#REF!</definedName>
    <definedName name="IQR111711Q149" hidden="1">#REF!</definedName>
    <definedName name="IQR111711Q17" hidden="1">#REF!</definedName>
    <definedName name="IQR111711Q174" hidden="1">#REF!</definedName>
    <definedName name="IQR111711Q175" hidden="1">#REF!</definedName>
    <definedName name="IQR111711Q187" hidden="1">#REF!</definedName>
    <definedName name="IQR111711Q188" hidden="1">#REF!</definedName>
    <definedName name="IQR111711Q224" hidden="1">#REF!</definedName>
    <definedName name="IQR111711Q225" hidden="1">#REF!</definedName>
    <definedName name="IQR111711Q242" hidden="1">#REF!</definedName>
    <definedName name="IQR111711Q243" hidden="1">#REF!</definedName>
    <definedName name="IQR111711Q270" hidden="1">#REF!</definedName>
    <definedName name="IQR111711Q271" hidden="1">#REF!</definedName>
    <definedName name="IQR111711Q289" hidden="1">#REF!</definedName>
    <definedName name="IQR111711Q290" hidden="1">#REF!</definedName>
    <definedName name="IQR111711Q313" hidden="1">#REF!</definedName>
    <definedName name="IQR111711Q314" hidden="1">#REF!</definedName>
    <definedName name="IQR111711Q330" hidden="1">#REF!</definedName>
    <definedName name="IQR111711Q331" hidden="1">#REF!</definedName>
    <definedName name="IQR111711Q43" hidden="1">#REF!</definedName>
    <definedName name="IQR111711Q44" hidden="1">#REF!</definedName>
    <definedName name="IQR111711Q69" hidden="1">#REF!</definedName>
    <definedName name="IQR111711Q70" hidden="1">#REF!</definedName>
    <definedName name="IQR111711Q74" hidden="1">#REF!</definedName>
    <definedName name="IQR111711Q75" hidden="1">#REF!</definedName>
    <definedName name="IQR111711Q76" hidden="1">#REF!</definedName>
    <definedName name="IQR111711Q77" hidden="1">#REF!</definedName>
    <definedName name="IQR111711Q9" hidden="1">#REF!</definedName>
    <definedName name="IQRAA28" hidden="1">"$AA$29:$AA$48"</definedName>
    <definedName name="IQRAB28" hidden="1">"$AB$29:$AB$48"</definedName>
    <definedName name="IQRAC28" hidden="1">"$AC$29:$AC$48"</definedName>
    <definedName name="IQRAD28" hidden="1">"$AD$29:$AD$48"</definedName>
    <definedName name="IQRAE28" hidden="1">"$AE$29:$AE$48"</definedName>
    <definedName name="IQRAF28" hidden="1">"$AF$29:$AF$48"</definedName>
    <definedName name="IQRAG28" hidden="1">"$AG$29:$AG$48"</definedName>
    <definedName name="IQRAH28" hidden="1">"$AH$29:$AH$48"</definedName>
    <definedName name="IQRAI28" hidden="1">"$AI$29:$AI$48"</definedName>
    <definedName name="IQRAJ28" hidden="1">"$AJ$29:$AJ$48"</definedName>
    <definedName name="IQRAK28" hidden="1">"$AK$29:$AK$48"</definedName>
    <definedName name="IQRAL28" hidden="1">"$AL$29:$AL$48"</definedName>
    <definedName name="IQRAU28" hidden="1">"$AU$29:$AU$48"</definedName>
    <definedName name="IQRAV27" hidden="1">"$AV$28:$AV$89"</definedName>
    <definedName name="IQRAV28" hidden="1">"$AV$29:$AV$90"</definedName>
    <definedName name="IQRAZ28" hidden="1">"$AZ$29:$AZ$90"</definedName>
    <definedName name="IQRBA28" hidden="1">"$BA$29:$BA$90"</definedName>
    <definedName name="IQRBB28" hidden="1">"$BB$29:$BB$90"</definedName>
    <definedName name="IQRBC28" hidden="1">"$BC$29:$BC$90"</definedName>
    <definedName name="IQRBD28" hidden="1">"$BD$29:$BD$90"</definedName>
    <definedName name="IQRCustomIndexX10" hidden="1">#REF!</definedName>
    <definedName name="IQRD32" hidden="1">"$D$33:$D$37"</definedName>
    <definedName name="IQRD33" hidden="1">"$D$34:$D$38"</definedName>
    <definedName name="IQRD34" hidden="1">"$D$35:$D$39"</definedName>
    <definedName name="IQRD35" hidden="1">"$D$36:$D$40"</definedName>
    <definedName name="IQRD36" hidden="1">"$D$37:$D$41"</definedName>
    <definedName name="IQRD37" hidden="1">"$D$38:$D$42"</definedName>
    <definedName name="IQRD39" hidden="1">"$D$40:$D$44"</definedName>
    <definedName name="IQRD40" hidden="1">"$D$41:$D$45"</definedName>
    <definedName name="IQRD41" hidden="1">"$D$42:$D$46"</definedName>
    <definedName name="IQRD42" hidden="1">"$D$43:$D$47"</definedName>
    <definedName name="IQRD44" hidden="1">"$D$45:$D$49"</definedName>
    <definedName name="IQRD45" hidden="1">"$D$46:$D$50"</definedName>
    <definedName name="IQRD46" hidden="1">"$D$47:$D$51"</definedName>
    <definedName name="IQRD48" hidden="1">"$D$49:$D$53"</definedName>
    <definedName name="IQRD49" hidden="1">"$D$50:$D$54"</definedName>
    <definedName name="IQRD50" hidden="1">"$D$51:$D$55"</definedName>
    <definedName name="IQRD51" hidden="1">"$D$52:$D$56"</definedName>
    <definedName name="IQRD52" hidden="1">"$D$53:$D$57"</definedName>
    <definedName name="IQRD53" hidden="1">"$D$54:$D$58"</definedName>
    <definedName name="IQRD54" hidden="1">"$D$55:$D$59"</definedName>
    <definedName name="IQRD55" hidden="1">"$D$56:$D$60"</definedName>
    <definedName name="IQRD56" hidden="1">"$D$57:$D$61"</definedName>
    <definedName name="IQRD57" hidden="1">"$D$58:$D$62"</definedName>
    <definedName name="IQRD58" hidden="1">"$D$59:$D$63"</definedName>
    <definedName name="IQRD59" hidden="1">"$D$60:$D$64"</definedName>
    <definedName name="IQRD60" hidden="1">"$D$61:$D$65"</definedName>
    <definedName name="IQRD61" hidden="1">"$D$62:$D$66"</definedName>
    <definedName name="IQRD62" hidden="1">"$D$63:$D$67"</definedName>
    <definedName name="IQRD63" hidden="1">"$D$64:$D$68"</definedName>
    <definedName name="IQRD64" hidden="1">"$D$65:$D$69"</definedName>
    <definedName name="IQRD65" hidden="1">"$D$66:$D$70"</definedName>
    <definedName name="IQRD66" hidden="1">"$D$67:$D$71"</definedName>
    <definedName name="IQRD67" hidden="1">"$D$68:$D$72"</definedName>
    <definedName name="IQRD68" hidden="1">"$D$69:$D$73"</definedName>
    <definedName name="IQRD69" hidden="1">"$D$70:$D$74"</definedName>
    <definedName name="IQRD70" hidden="1">"$D$71:$D$75"</definedName>
    <definedName name="IQRD71" hidden="1">"$D$72:$D$76"</definedName>
    <definedName name="IQRD72" hidden="1">"$D$73:$D$77"</definedName>
    <definedName name="IQRD73" hidden="1">"$D$74:$D$78"</definedName>
    <definedName name="IQRD74" hidden="1">"$D$75:$D$79"</definedName>
    <definedName name="IQRD75" hidden="1">"$D$76:$D$80"</definedName>
    <definedName name="IQRD76" hidden="1">"$D$77:$D$81"</definedName>
    <definedName name="IQRD77" hidden="1">"$D$78:$D$82"</definedName>
    <definedName name="IQRD78" hidden="1">"$D$79:$D$83"</definedName>
    <definedName name="IQRD79" hidden="1">"$D$80:$D$84"</definedName>
    <definedName name="IQRD80" hidden="1">"$D$81:$D$85"</definedName>
    <definedName name="IQRD81" hidden="1">"$D$82:$D$86"</definedName>
    <definedName name="IQRD82" hidden="1">"$D$83:$D$87"</definedName>
    <definedName name="IQRD83" hidden="1">"$D$84:$D$88"</definedName>
    <definedName name="IQRD84" hidden="1">"$D$85:$D$89"</definedName>
    <definedName name="IQRD85" hidden="1">"$D$86:$D$90"</definedName>
    <definedName name="IQRD86" hidden="1">"$D$87:$D$91"</definedName>
    <definedName name="IQRD87" hidden="1">"$D$88:$D$92"</definedName>
    <definedName name="IQRD88" hidden="1">"$D$89:$D$93"</definedName>
    <definedName name="IQRD89" hidden="1">"$D$90:$D$94"</definedName>
    <definedName name="IQRD90" hidden="1">"$D$91:$D$95"</definedName>
    <definedName name="IQRD91" hidden="1">"$D$92:$D$96"</definedName>
    <definedName name="IQRD92" hidden="1">"$D$93:$D$97"</definedName>
    <definedName name="IQRD93" hidden="1">"$D$94:$D$98"</definedName>
    <definedName name="IQRD94" hidden="1">"$D$95:$D$99"</definedName>
    <definedName name="IQRD95" hidden="1">"$D$96:$D$100"</definedName>
    <definedName name="IQRD96" hidden="1">"$D$97:$D$101"</definedName>
    <definedName name="IQRD97" hidden="1">"$D$98:$D$102"</definedName>
    <definedName name="IQRD98" hidden="1">"$D$99:$D$103"</definedName>
    <definedName name="IQRE10" hidden="1">"$E$11:$E$15"</definedName>
    <definedName name="IQRE11" hidden="1">"$E$12:$E$16"</definedName>
    <definedName name="IQRE12" hidden="1">"$E$13:$E$17"</definedName>
    <definedName name="IQRE13" hidden="1">"$E$14:$E$18"</definedName>
    <definedName name="IQRE14" hidden="1">"$E$15:$E$19"</definedName>
    <definedName name="IQRE15" hidden="1">"$E$16:$E$20"</definedName>
    <definedName name="IQRE16" hidden="1">"$E$17:$E$18"</definedName>
    <definedName name="IQRE7" hidden="1">"$E$8:$E$12"</definedName>
    <definedName name="IQRE8" hidden="1">"$E$9:$E$13"</definedName>
    <definedName name="IQRE9" hidden="1">"$E$10:$E$14"</definedName>
    <definedName name="IQRF12" hidden="1">"$F$13:$F$17"</definedName>
    <definedName name="IQRF13" hidden="1">"$F$14:$F$18"</definedName>
    <definedName name="IQRF14" hidden="1">"$F$15:$F$19"</definedName>
    <definedName name="IQRF15" hidden="1">"$F$16:$F$20"</definedName>
    <definedName name="IQRF16" hidden="1">"$F$17:$F$21"</definedName>
    <definedName name="IQRF17" hidden="1">"$F$18:$F$22"</definedName>
    <definedName name="IQRF18" hidden="1">"$F$19:$F$23"</definedName>
    <definedName name="IQRF19" hidden="1">"$F$20:$F$24"</definedName>
    <definedName name="IQRF20" hidden="1">"$F$21:$F$25"</definedName>
    <definedName name="IQRF21" hidden="1">"$F$22:$F$23"</definedName>
    <definedName name="IQRG26" hidden="1">"$G$27:$G$31"</definedName>
    <definedName name="IQRU28" hidden="1">"$U$29:$U$48"</definedName>
    <definedName name="IQRV28" hidden="1">"$V$29:$V$48"</definedName>
    <definedName name="IQRW28" hidden="1">"$W$29:$W$48"</definedName>
    <definedName name="IQRX10" hidden="1">"$X$11:$X$114"</definedName>
    <definedName name="IQRX28" hidden="1">"$X$29:$X$48"</definedName>
    <definedName name="IQRY28" hidden="1">"$Y$29:$Y$48"</definedName>
    <definedName name="IQRZ28" hidden="1">"$Z$29:$Z$48"</definedName>
    <definedName name="IsExample">TRUE</definedName>
    <definedName name="IT" hidden="1">{"'Sheet1'!$A$1:$H$36"}</definedName>
    <definedName name="j" hidden="1">#REF!</definedName>
    <definedName name="jgfgj" hidden="1">#REF!</definedName>
    <definedName name="JH" hidden="1">{"PAGE1",#N/A,FALSE,"CPFFMSTR";"PAGE2",#N/A,FALSE,"CPFFMSTR"}</definedName>
    <definedName name="jj" hidden="1">{"'SIVA Pricing Model'!$A$1:$F$39"}</definedName>
    <definedName name="jje" hidden="1">#REF!</definedName>
    <definedName name="JKHJ" hidden="1">{"PAGE1",#N/A,FALSE,"CPFFMSTR";"PAGE2",#N/A,FALSE,"CPFFMSTR"}</definedName>
    <definedName name="jng" hidden="1">#REF!</definedName>
    <definedName name="JP" hidden="1">{"'SIVA Pricing Model'!$A$1:$F$39"}</definedName>
    <definedName name="July" hidden="1">{"'SIVA Pricing Model'!$A$1:$F$39"}</definedName>
    <definedName name="junk2" hidden="1">{"BS",#N/A,FALSE,"USA"}</definedName>
    <definedName name="junk3" hidden="1">{"BS",#N/A,FALSE,"USA"}</definedName>
    <definedName name="junkme" hidden="1">{#N/A,#N/A,TRUE,"Status Report";#N/A,#N/A,TRUE,"Current Forecast";#N/A,#N/A,TRUE,"Last Forecast";#N/A,#N/A,TRUE,"BP";#N/A,#N/A,TRUE,"LY"}</definedName>
    <definedName name="k">#REF!</definedName>
    <definedName name="K2_WBEVMODE" hidden="1">0</definedName>
    <definedName name="ka" hidden="1">{"TOTAL",#N/A,FALSE,"A";"FISCAL94",#N/A,FALSE,"A";"FISCAL95",#N/A,FALSE,"A";"FISCAL96",#N/A,FALSE,"A";"misc page",#N/A,FALSE,"A"}</definedName>
    <definedName name="kas" hidden="1">{"TOTAL",#N/A,FALSE,"A";"FISCAL94",#N/A,FALSE,"A";"FISCAL95",#N/A,FALSE,"A";"FISCAL96",#N/A,FALSE,"A";"misc page",#N/A,FALSE,"A"}</definedName>
    <definedName name="kk" hidden="1">{"'SIVA Pricing Model'!$A$1:$F$39"}</definedName>
    <definedName name="KKK" hidden="1">255</definedName>
    <definedName name="Klein_Bucket">#REF!</definedName>
    <definedName name="knownchurn">#REF!</definedName>
    <definedName name="ktka" hidden="1">#REF!</definedName>
    <definedName name="kut" hidden="1">#REF!</definedName>
    <definedName name="kyd.ChngCell.01." hidden="1">"x"</definedName>
    <definedName name="kyd.CounterLimitCell.01." hidden="1">"x"</definedName>
    <definedName name="kyd.Dim.01." hidden="1">""</definedName>
    <definedName name="kyd.ElementList.01." hidden="1">"x"</definedName>
    <definedName name="kyd.ElementType.01." hidden="1">0</definedName>
    <definedName name="kyd.ItemType.01." hidden="1">0</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0</definedName>
    <definedName name="kyd.PanicStop." hidden="1">FALSE</definedName>
    <definedName name="kyd.ParentName.01." hidden="1">""</definedName>
    <definedName name="kyd.PreScreenData." hidden="1">FALSE</definedName>
    <definedName name="kyd.PrintCtrlRange." hidden="1">#REF!</definedName>
    <definedName name="kyd.PrintParent.01." hidden="1">FALSE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kytj" hidden="1">#REF!</definedName>
    <definedName name="l">#REF!</definedName>
    <definedName name="LABELTEXTCOLUMN1">#REF!</definedName>
    <definedName name="LABELTEXTCOLUMN2">#REF!</definedName>
    <definedName name="LABELTEXTCOLUMN3">#REF!</definedName>
    <definedName name="LABELTEXTCOLUMN4">#REF!</definedName>
    <definedName name="LABELTEXTCOLUMN5">#REF!</definedName>
    <definedName name="LABELTEXTCOLUMN6">#REF!</definedName>
    <definedName name="LABELTEXTROW1">#REF!</definedName>
    <definedName name="LABELTEXTROW2">#REF!</definedName>
    <definedName name="LABELTEXTROW3">#REF!</definedName>
    <definedName name="LABELTEXTROW4">#REF!</definedName>
    <definedName name="LABELTEXTROW5">#REF!</definedName>
    <definedName name="LABELTEXTROW6">#REF!</definedName>
    <definedName name="LABOR_CATEGORIES">#REF!</definedName>
    <definedName name="LABOR_CATEGORY_CODE">#REF!</definedName>
    <definedName name="LABOR_CATEGORY_SUMMARY">#REF!,#REF!</definedName>
    <definedName name="Labor_Cats">#REF!</definedName>
    <definedName name="Labor_Grade">#REF!</definedName>
    <definedName name="Labor_Grade_Rate">#REF!</definedName>
    <definedName name="Labor_Rates_Escalation_Class">'[1]Labor Rates'!$J$2:$J$3</definedName>
    <definedName name="Labor_Rates_Escalation_Rate">'[1]Labor Rates'!$K$2:$N$3</definedName>
    <definedName name="Labor_Rates_Escalation_Year">'[1]Labor Rates'!$K$4:$N$4</definedName>
    <definedName name="Labor_Rates_Labor_Category">'[1]Labor Rates'!$B$5:$B$41</definedName>
    <definedName name="Labor_Rates_Location">'[1]Labor Rates'!$F$5:$F$41</definedName>
    <definedName name="Labor_Rates_Rates">'[1]Labor Rates'!$J$5:$N$41</definedName>
    <definedName name="Labor_Rates_WC_Code">'[1]Labor Rates'!$I$5:$I$41</definedName>
    <definedName name="Labor_Rates_Year">'[1]Labor Rates'!$J$4:$N$4</definedName>
    <definedName name="LaborClassifications">#REF!</definedName>
    <definedName name="LaborESC">#REF!</definedName>
    <definedName name="LaborStatusList">#REF!</definedName>
    <definedName name="LBU_Base_Test" localSheetId="2">'Sample TOP Labor Build-up CLIN1'!#REF!</definedName>
    <definedName name="LBU_Base_Test" localSheetId="4">'Year 2 Labor Build-up CLIN 1'!#REF!</definedName>
    <definedName name="LBU_Base_Test" localSheetId="5">'Year 3 Labor Build-up CLIN 1'!#REF!</definedName>
    <definedName name="LBU_Base_Test" localSheetId="6">'Year 4 Labor Build-up CLIN 1'!#REF!</definedName>
    <definedName name="LBU_Base_Test" localSheetId="7">'Year 5 Labor Build-up CLIN 1'!#REF!</definedName>
    <definedName name="LBU_Base_Test">'Base Year Labor Build-up CLIN 1'!#REF!</definedName>
    <definedName name="LBU_BOE_Hours" localSheetId="2">'Sample TOP Labor Build-up CLIN1'!$L$3:$L$303</definedName>
    <definedName name="LBU_BOE_Hours" localSheetId="4">'Year 2 Labor Build-up CLIN 1'!$L$3:$L$303</definedName>
    <definedName name="LBU_BOE_Hours" localSheetId="5">'Year 3 Labor Build-up CLIN 1'!$L$3:$L$303</definedName>
    <definedName name="LBU_BOE_Hours" localSheetId="6">'Year 4 Labor Build-up CLIN 1'!$L$3:$L$303</definedName>
    <definedName name="LBU_BOE_Hours" localSheetId="7">'Year 5 Labor Build-up CLIN 1'!$L$3:$L$303</definedName>
    <definedName name="LBU_BOE_Hours">'Base Year Labor Build-up CLIN 1'!$L$3:$L$303</definedName>
    <definedName name="LBU_Company" localSheetId="2">'Sample TOP Labor Build-up CLIN1'!$K$3:$K$303</definedName>
    <definedName name="LBU_Company" localSheetId="4">'Year 2 Labor Build-up CLIN 1'!$K$3:$K$303</definedName>
    <definedName name="LBU_Company" localSheetId="5">'Year 3 Labor Build-up CLIN 1'!$K$3:$K$303</definedName>
    <definedName name="LBU_Company" localSheetId="6">'Year 4 Labor Build-up CLIN 1'!$K$3:$K$303</definedName>
    <definedName name="LBU_Company" localSheetId="7">'Year 5 Labor Build-up CLIN 1'!$K$3:$K$303</definedName>
    <definedName name="LBU_Company">'Base Year Labor Build-up CLIN 1'!$K$3:$K$303</definedName>
    <definedName name="LBU_Fee" localSheetId="2">'Sample TOP Labor Build-up CLIN1'!$X$3:$X$303</definedName>
    <definedName name="LBU_Fee" localSheetId="4">'Year 2 Labor Build-up CLIN 1'!$X$3:$X$303</definedName>
    <definedName name="LBU_Fee" localSheetId="5">'Year 3 Labor Build-up CLIN 1'!$X$3:$X$303</definedName>
    <definedName name="LBU_Fee" localSheetId="6">'Year 4 Labor Build-up CLIN 1'!$X$3:$X$303</definedName>
    <definedName name="LBU_Fee" localSheetId="7">'Year 5 Labor Build-up CLIN 1'!$X$3:$X$303</definedName>
    <definedName name="LBU_Fee">'Base Year Labor Build-up CLIN 1'!$X$3:$X$303</definedName>
    <definedName name="LBU_Fringe_Cost" localSheetId="2">'Sample TOP Labor Build-up CLIN1'!$S$3:$S$303</definedName>
    <definedName name="LBU_Fringe_Cost" localSheetId="4">'Year 2 Labor Build-up CLIN 1'!$S$3:$S$303</definedName>
    <definedName name="LBU_Fringe_Cost" localSheetId="5">'Year 3 Labor Build-up CLIN 1'!$S$3:$S$303</definedName>
    <definedName name="LBU_Fringe_Cost" localSheetId="6">'Year 4 Labor Build-up CLIN 1'!$S$3:$S$303</definedName>
    <definedName name="LBU_Fringe_Cost" localSheetId="7">'Year 5 Labor Build-up CLIN 1'!$S$3:$S$303</definedName>
    <definedName name="LBU_Fringe_Cost">'Base Year Labor Build-up CLIN 1'!$S$3:$S$303</definedName>
    <definedName name="LBU_FT_PT" localSheetId="2">'Sample TOP Labor Build-up CLIN1'!$F$3:$F$303</definedName>
    <definedName name="LBU_FT_PT" localSheetId="4">'Year 2 Labor Build-up CLIN 1'!$F$3:$F$303</definedName>
    <definedName name="LBU_FT_PT" localSheetId="5">'Year 3 Labor Build-up CLIN 1'!$F$3:$F$303</definedName>
    <definedName name="LBU_FT_PT" localSheetId="6">'Year 4 Labor Build-up CLIN 1'!$F$3:$F$303</definedName>
    <definedName name="LBU_FT_PT" localSheetId="7">'Year 5 Labor Build-up CLIN 1'!$F$3:$F$303</definedName>
    <definedName name="LBU_FT_PT">'Base Year Labor Build-up CLIN 1'!$F$3:$F$303</definedName>
    <definedName name="LBU_FTEs" localSheetId="2">'Sample TOP Labor Build-up CLIN1'!$N$3:$N$303</definedName>
    <definedName name="LBU_FTEs" localSheetId="4">'Year 2 Labor Build-up CLIN 1'!$N$3:$N$303</definedName>
    <definedName name="LBU_FTEs" localSheetId="5">'Year 3 Labor Build-up CLIN 1'!$N$3:$N$303</definedName>
    <definedName name="LBU_FTEs" localSheetId="6">'Year 4 Labor Build-up CLIN 1'!$N$3:$N$303</definedName>
    <definedName name="LBU_FTEs" localSheetId="7">'Year 5 Labor Build-up CLIN 1'!$N$3:$N$303</definedName>
    <definedName name="LBU_FTEs">'Base Year Labor Build-up CLIN 1'!$N$3:$N$303</definedName>
    <definedName name="LBU_GNAD_Cost" localSheetId="2">'Sample TOP Labor Build-up CLIN1'!$U$3:$U$303</definedName>
    <definedName name="LBU_GNAD_Cost" localSheetId="4">'Year 2 Labor Build-up CLIN 1'!$U$3:$U$303</definedName>
    <definedName name="LBU_GNAD_Cost" localSheetId="5">'Year 3 Labor Build-up CLIN 1'!$U$3:$U$303</definedName>
    <definedName name="LBU_GNAD_Cost" localSheetId="6">'Year 4 Labor Build-up CLIN 1'!$U$3:$U$303</definedName>
    <definedName name="LBU_GNAD_Cost" localSheetId="7">'Year 5 Labor Build-up CLIN 1'!$U$3:$U$303</definedName>
    <definedName name="LBU_GNAD_Cost">'Base Year Labor Build-up CLIN 1'!$U$3:$U$303</definedName>
    <definedName name="LBU_Labor_Category" localSheetId="2">'Sample TOP Labor Build-up CLIN1'!$D$3:$D$303</definedName>
    <definedName name="LBU_Labor_Category" localSheetId="4">'Year 2 Labor Build-up CLIN 1'!$D$3:$D$303</definedName>
    <definedName name="LBU_Labor_Category" localSheetId="5">'Year 3 Labor Build-up CLIN 1'!$D$3:$D$303</definedName>
    <definedName name="LBU_Labor_Category" localSheetId="6">'Year 4 Labor Build-up CLIN 1'!$D$3:$D$303</definedName>
    <definedName name="LBU_Labor_Category" localSheetId="7">'Year 5 Labor Build-up CLIN 1'!$D$3:$D$303</definedName>
    <definedName name="LBU_Labor_Category">'Base Year Labor Build-up CLIN 1'!$D$3:$D$303</definedName>
    <definedName name="LBU_Labor_Rate" localSheetId="2">'Sample TOP Labor Build-up CLIN1'!$O$3:$O$303</definedName>
    <definedName name="LBU_Labor_Rate" localSheetId="4">'Year 2 Labor Build-up CLIN 1'!$O$3:$O$303</definedName>
    <definedName name="LBU_Labor_Rate" localSheetId="5">'Year 3 Labor Build-up CLIN 1'!$O$3:$O$303</definedName>
    <definedName name="LBU_Labor_Rate" localSheetId="6">'Year 4 Labor Build-up CLIN 1'!$O$3:$O$303</definedName>
    <definedName name="LBU_Labor_Rate" localSheetId="7">'Year 5 Labor Build-up CLIN 1'!$O$3:$O$303</definedName>
    <definedName name="LBU_Labor_Rate">'Base Year Labor Build-up CLIN 1'!$O$3:$O$303</definedName>
    <definedName name="LBU_Loaded_Cost" localSheetId="2">'Sample TOP Labor Build-up CLIN1'!$Y$3:$Y$303</definedName>
    <definedName name="LBU_Loaded_Cost" localSheetId="4">'Year 2 Labor Build-up CLIN 1'!$Y$3:$Y$303</definedName>
    <definedName name="LBU_Loaded_Cost" localSheetId="5">'Year 3 Labor Build-up CLIN 1'!$Y$3:$Y$303</definedName>
    <definedName name="LBU_Loaded_Cost" localSheetId="6">'Year 4 Labor Build-up CLIN 1'!$Y$3:$Y$303</definedName>
    <definedName name="LBU_Loaded_Cost" localSheetId="7">'Year 5 Labor Build-up CLIN 1'!$Y$3:$Y$303</definedName>
    <definedName name="LBU_Loaded_Cost">'Base Year Labor Build-up CLIN 1'!$Y$3:$Y$303</definedName>
    <definedName name="LBU_Loaded_Labor_Cost" localSheetId="2">'Sample TOP Labor Build-up CLIN1'!$Y$3:$Y$303</definedName>
    <definedName name="LBU_Loaded_Labor_Cost" localSheetId="4">'Year 2 Labor Build-up CLIN 1'!$Y$3:$Y$303</definedName>
    <definedName name="LBU_Loaded_Labor_Cost" localSheetId="5">'Year 3 Labor Build-up CLIN 1'!$Y$3:$Y$303</definedName>
    <definedName name="LBU_Loaded_Labor_Cost" localSheetId="6">'Year 4 Labor Build-up CLIN 1'!$Y$3:$Y$303</definedName>
    <definedName name="LBU_Loaded_Labor_Cost" localSheetId="7">'Year 5 Labor Build-up CLIN 1'!$Y$3:$Y$303</definedName>
    <definedName name="LBU_Loaded_Labor_Cost">'Base Year Labor Build-up CLIN 1'!$Y$3:$Y$303</definedName>
    <definedName name="LBU_Location" localSheetId="2">'Sample TOP Labor Build-up CLIN1'!$I$3:$I$303</definedName>
    <definedName name="LBU_Location" localSheetId="4">'Year 2 Labor Build-up CLIN 1'!$I$3:$I$303</definedName>
    <definedName name="LBU_Location" localSheetId="5">'Year 3 Labor Build-up CLIN 1'!$I$3:$I$303</definedName>
    <definedName name="LBU_Location" localSheetId="6">'Year 4 Labor Build-up CLIN 1'!$I$3:$I$303</definedName>
    <definedName name="LBU_Location" localSheetId="7">'Year 5 Labor Build-up CLIN 1'!$I$3:$I$303</definedName>
    <definedName name="LBU_Location">'Base Year Labor Build-up CLIN 1'!$I$3:$I$303</definedName>
    <definedName name="LBU_OH_Cost" localSheetId="2">'Sample TOP Labor Build-up CLIN1'!$T$3:$T$303</definedName>
    <definedName name="LBU_OH_Cost" localSheetId="4">'Year 2 Labor Build-up CLIN 1'!$T$3:$T$303</definedName>
    <definedName name="LBU_OH_Cost" localSheetId="5">'Year 3 Labor Build-up CLIN 1'!$T$3:$T$303</definedName>
    <definedName name="LBU_OH_Cost" localSheetId="6">'Year 4 Labor Build-up CLIN 1'!$T$3:$T$303</definedName>
    <definedName name="LBU_OH_Cost" localSheetId="7">'Year 5 Labor Build-up CLIN 1'!$T$3:$T$303</definedName>
    <definedName name="LBU_OH_Cost">'Base Year Labor Build-up CLIN 1'!$T$3:$T$303</definedName>
    <definedName name="LBU_OT_Hours" localSheetId="2">'Sample TOP Labor Build-up CLIN1'!$M$3:$M$303</definedName>
    <definedName name="LBU_OT_Hours" localSheetId="4">'Year 2 Labor Build-up CLIN 1'!$M$3:$M$303</definedName>
    <definedName name="LBU_OT_Hours" localSheetId="5">'Year 3 Labor Build-up CLIN 1'!$M$3:$M$303</definedName>
    <definedName name="LBU_OT_Hours" localSheetId="6">'Year 4 Labor Build-up CLIN 1'!$M$3:$M$303</definedName>
    <definedName name="LBU_OT_Hours" localSheetId="7">'Year 5 Labor Build-up CLIN 1'!$M$3:$M$303</definedName>
    <definedName name="LBU_OT_Hours">'Base Year Labor Build-up CLIN 1'!$M$3:$M$303</definedName>
    <definedName name="LBU_Period" localSheetId="2">'Sample TOP Labor Build-up CLIN1'!$C$3:$C$303</definedName>
    <definedName name="LBU_Period" localSheetId="4">'Year 2 Labor Build-up CLIN 1'!$C$3:$C$303</definedName>
    <definedName name="LBU_Period" localSheetId="5">'Year 3 Labor Build-up CLIN 1'!$C$3:$C$303</definedName>
    <definedName name="LBU_Period" localSheetId="6">'Year 4 Labor Build-up CLIN 1'!$C$3:$C$303</definedName>
    <definedName name="LBU_Period" localSheetId="7">'Year 5 Labor Build-up CLIN 1'!$C$3:$C$303</definedName>
    <definedName name="LBU_Period">'Base Year Labor Build-up CLIN 1'!$C$3:$C$303</definedName>
    <definedName name="LBU_Prod_Wages" localSheetId="2">'Sample TOP Labor Build-up CLIN1'!$P$3:$P$303</definedName>
    <definedName name="LBU_Prod_Wages" localSheetId="4">'Year 2 Labor Build-up CLIN 1'!$P$3:$P$303</definedName>
    <definedName name="LBU_Prod_Wages" localSheetId="5">'Year 3 Labor Build-up CLIN 1'!$P$3:$P$303</definedName>
    <definedName name="LBU_Prod_Wages" localSheetId="6">'Year 4 Labor Build-up CLIN 1'!$P$3:$P$303</definedName>
    <definedName name="LBU_Prod_Wages" localSheetId="7">'Year 5 Labor Build-up CLIN 1'!$P$3:$P$303</definedName>
    <definedName name="LBU_Prod_Wages">'Base Year Labor Build-up CLIN 1'!$P$3:$P$303</definedName>
    <definedName name="LBU_Prod_Wages_Total" localSheetId="2">'Sample TOP Labor Build-up CLIN1'!$R$3:$R$303</definedName>
    <definedName name="LBU_Prod_Wages_Total" localSheetId="4">'Year 2 Labor Build-up CLIN 1'!$R$3:$R$303</definedName>
    <definedName name="LBU_Prod_Wages_Total" localSheetId="5">'Year 3 Labor Build-up CLIN 1'!$R$3:$R$303</definedName>
    <definedName name="LBU_Prod_Wages_Total" localSheetId="6">'Year 4 Labor Build-up CLIN 1'!$R$3:$R$303</definedName>
    <definedName name="LBU_Prod_Wages_Total" localSheetId="7">'Year 5 Labor Build-up CLIN 1'!$R$3:$R$303</definedName>
    <definedName name="LBU_Prod_Wages_Total">'Base Year Labor Build-up CLIN 1'!$R$3:$R$303</definedName>
    <definedName name="leroy" hidden="1">{#N/A,#N/A,FALSE,"Bakersfield PCs";#N/A,#N/A,FALSE,"Bremer PCs";#N/A,#N/A,FALSE,"Bakersfield Notebooks"}</definedName>
    <definedName name="leroy2" hidden="1">{#N/A,#N/A,FALSE,"Bakersfield PCs";#N/A,#N/A,FALSE,"Bremer PCs";#N/A,#N/A,FALSE,"Bakersfield Notebooks"}</definedName>
    <definedName name="lia">#REF!</definedName>
    <definedName name="limcount" hidden="1">1</definedName>
    <definedName name="List_LCAT">#REF!</definedName>
    <definedName name="List_Location">#REF!</definedName>
    <definedName name="List_SR">#REF!</definedName>
    <definedName name="ListOffset" hidden="1">1</definedName>
    <definedName name="lixj" hidden="1">#REF!</definedName>
    <definedName name="lkj" hidden="1">#REF!</definedName>
    <definedName name="ll" hidden="1">{"'SIVA Pricing Model'!$A$1:$F$39"}</definedName>
    <definedName name="Location">#REF!</definedName>
    <definedName name="Locations">#REF!</definedName>
    <definedName name="Locator">#REF!</definedName>
    <definedName name="LogStaff">#REF!</definedName>
    <definedName name="Long">#REF!</definedName>
    <definedName name="Lowest_WBSs">#REF!</definedName>
    <definedName name="lstHols">#REF!</definedName>
    <definedName name="luy" hidden="1">#REF!</definedName>
    <definedName name="LY_Cur_Per_Actv_Amt17" hidden="1">#REF!</definedName>
    <definedName name="LY_Cur_Per_Actv_Amt21" hidden="1">#REF!</definedName>
    <definedName name="LY_P1_Actv_Amt17" hidden="1">#REF!</definedName>
    <definedName name="LY_P1_Actv_Amt21" hidden="1">#REF!</definedName>
    <definedName name="LY_P10_Actv_Amt17" hidden="1">#REF!</definedName>
    <definedName name="LY_P10_Actv_Amt21" hidden="1">#REF!</definedName>
    <definedName name="LY_P11_Actv_Amt17" hidden="1">#REF!</definedName>
    <definedName name="LY_P11_Actv_Amt21" hidden="1">#REF!</definedName>
    <definedName name="LY_P12_Actv_Amt17" hidden="1">#REF!</definedName>
    <definedName name="LY_P12_Actv_Amt21" hidden="1">#REF!</definedName>
    <definedName name="LY_P2_Actv_Amt17" hidden="1">#REF!</definedName>
    <definedName name="LY_P2_Actv_Amt21" hidden="1">#REF!</definedName>
    <definedName name="LY_P3_Actv_Amt17" hidden="1">#REF!</definedName>
    <definedName name="LY_P3_Actv_Amt21" hidden="1">#REF!</definedName>
    <definedName name="LY_P4_Actv_Amt17" hidden="1">#REF!</definedName>
    <definedName name="LY_P4_Actv_Amt21" hidden="1">#REF!</definedName>
    <definedName name="LY_P5_Actv_Amt17" hidden="1">#REF!</definedName>
    <definedName name="LY_P5_Actv_Amt21" hidden="1">#REF!</definedName>
    <definedName name="LY_P6_Actv_Amt17" hidden="1">#REF!</definedName>
    <definedName name="LY_P6_Actv_Amt21" hidden="1">#REF!</definedName>
    <definedName name="LY_P7_Actv_Amt17" hidden="1">#REF!</definedName>
    <definedName name="LY_P7_Actv_Amt21" hidden="1">#REF!</definedName>
    <definedName name="LY_P8_Actv_Amt17" hidden="1">#REF!</definedName>
    <definedName name="LY_P8_Actv_Amt21" hidden="1">#REF!</definedName>
    <definedName name="LY_P9_Actv_Amt17" hidden="1">#REF!</definedName>
    <definedName name="LY_P9_Actv_Amt21" hidden="1">#REF!</definedName>
    <definedName name="LY_Qtr1_Actv_Amt17" hidden="1">#REF!</definedName>
    <definedName name="LY_Qtr1_Actv_Amt18" hidden="1">#REF!</definedName>
    <definedName name="LY_Qtr1_Actv_Amt19" hidden="1">#REF!</definedName>
    <definedName name="LY_Qtr1_Actv_Amt2" hidden="1">#REF!</definedName>
    <definedName name="LY_Qtr1_Actv_Amt20" hidden="1">#REF!</definedName>
    <definedName name="LY_Qtr1_Actv_Amt21" hidden="1">#REF!</definedName>
    <definedName name="LY_Qtr1_Actv_Amt22" hidden="1">#REF!</definedName>
    <definedName name="LY_Qtr1_Actv_Amt23" hidden="1">#REF!</definedName>
    <definedName name="LY_Qtr2_Actv_Amt17" hidden="1">#REF!</definedName>
    <definedName name="LY_Qtr2_Actv_Amt18" hidden="1">#REF!</definedName>
    <definedName name="LY_Qtr2_Actv_Amt19" hidden="1">#REF!</definedName>
    <definedName name="LY_Qtr2_Actv_Amt2" hidden="1">#REF!</definedName>
    <definedName name="LY_Qtr2_Actv_Amt20" hidden="1">#REF!</definedName>
    <definedName name="LY_Qtr2_Actv_Amt21" hidden="1">#REF!</definedName>
    <definedName name="LY_Qtr2_Actv_Amt22" hidden="1">#REF!</definedName>
    <definedName name="LY_Qtr2_Actv_Amt23" hidden="1">#REF!</definedName>
    <definedName name="LY_Qtr3_Actv_Amt17" hidden="1">#REF!</definedName>
    <definedName name="LY_Qtr3_Actv_Amt18" hidden="1">#REF!</definedName>
    <definedName name="LY_Qtr3_Actv_Amt19" hidden="1">#REF!</definedName>
    <definedName name="LY_Qtr3_Actv_Amt2" hidden="1">#REF!</definedName>
    <definedName name="LY_Qtr3_Actv_Amt20" hidden="1">#REF!</definedName>
    <definedName name="LY_Qtr3_Actv_Amt21" hidden="1">#REF!</definedName>
    <definedName name="LY_Qtr3_Actv_Amt22" hidden="1">#REF!</definedName>
    <definedName name="LY_Qtr3_Actv_Amt23" hidden="1">#REF!</definedName>
    <definedName name="LY_Qtr4_Actv_Amt17" hidden="1">#REF!</definedName>
    <definedName name="LY_Qtr4_Actv_Amt18" hidden="1">#REF!</definedName>
    <definedName name="LY_Qtr4_Actv_Amt19" hidden="1">#REF!</definedName>
    <definedName name="LY_Qtr4_Actv_Amt2" hidden="1">#REF!</definedName>
    <definedName name="LY_Qtr4_Actv_Amt20" hidden="1">#REF!</definedName>
    <definedName name="LY_Qtr4_Actv_Amt21" hidden="1">#REF!</definedName>
    <definedName name="LY_Qtr4_Actv_Amt22" hidden="1">#REF!</definedName>
    <definedName name="LY_Qtr4_Actv_Amt23" hidden="1">#REF!</definedName>
    <definedName name="LY_Yr_End_Actv_Amt17" hidden="1">#REF!</definedName>
    <definedName name="LY_Yr_End_Actv_Amt19" hidden="1">#REF!</definedName>
    <definedName name="LY_Yr_End_Actv_Amt2" hidden="1">#REF!</definedName>
    <definedName name="LY_Yr_End_Actv_Amt20" hidden="1">#REF!</definedName>
    <definedName name="LY_Yr_End_Actv_Amt21" hidden="1">#REF!</definedName>
    <definedName name="LY_Yr_End_Actv_Amt22" hidden="1">#REF!</definedName>
    <definedName name="LY_Yr_End_Actv_Amt23" hidden="1">#REF!</definedName>
    <definedName name="LYTD_Actv_Amt17" hidden="1">#REF!</definedName>
    <definedName name="LYTD_Actv_Amt21" hidden="1">#REF!</definedName>
    <definedName name="M_A" hidden="1">{#N/A,#N/A,FALSE,"Rev Grwth";#N/A,#N/A,FALSE,"Op Inc Grwth";#N/A,#N/A,FALSE,"Net Grwth";#N/A,#N/A,FALSE,"EPS Growth"}</definedName>
    <definedName name="M_PlaceofPath" hidden="1">"F:\ABARBER\apb\VBA Models\jnj_vdf.xls"</definedName>
    <definedName name="Mac">#REF!</definedName>
    <definedName name="MandS">#REF!</definedName>
    <definedName name="Mar00" hidden="1">{"Statement of Income",#N/A,TRUE,"Mar99";"Balance Sheet",#N/A,TRUE,"Mar99"}</definedName>
    <definedName name="Mar00TB" hidden="1">{"Statement of Income",#N/A,TRUE,"Mar99";"Balance Sheet",#N/A,TRUE,"Mar99"}</definedName>
    <definedName name="mar00tb1" hidden="1">{"Statement of Income",#N/A,TRUE,"Mar99";"Balance Sheet",#N/A,TRUE,"Mar99"}</definedName>
    <definedName name="March" hidden="1">{"'SIVA Pricing Model'!$A$1:$F$39"}</definedName>
    <definedName name="MFR_DATE">#REF!</definedName>
    <definedName name="miop">#REF!</definedName>
    <definedName name="mku" hidden="1">#REF!</definedName>
    <definedName name="mm" hidden="1">{"'SIVA Pricing Model'!$A$1:$F$39"}</definedName>
    <definedName name="model" hidden="1">{#N/A,#N/A,FALSE,"Rev Grwth";#N/A,#N/A,FALSE,"Op Inc Grwth";#N/A,#N/A,FALSE,"Net Grwth";#N/A,#N/A,FALSE,"EPS Growth"}</definedName>
    <definedName name="model2" hidden="1">{#N/A,#N/A,FALSE,"Rev Grwth";#N/A,#N/A,FALSE,"Op Inc Grwth";#N/A,#N/A,FALSE,"Net Grwth";#N/A,#N/A,FALSE,"EPS Growth"}</definedName>
    <definedName name="Modification.Time" hidden="1">"12/30/99 14:40:33"</definedName>
    <definedName name="MON">#REF!</definedName>
    <definedName name="Mon_Yr_Name17" hidden="1">#REF!</definedName>
    <definedName name="Mon_Yr_Name18" hidden="1">#REF!</definedName>
    <definedName name="Mon_Yr_Name19" hidden="1">#REF!</definedName>
    <definedName name="Mon_Yr_Name20" hidden="1">#REF!</definedName>
    <definedName name="Mon_Yr_Name21" hidden="1">#REF!</definedName>
    <definedName name="Mon_Yr_Name22" hidden="1">#REF!</definedName>
    <definedName name="month">#REF!</definedName>
    <definedName name="Month_End">#REF!</definedName>
    <definedName name="Month_Lookup">#REF!</definedName>
    <definedName name="Month_Quarter">#REF!</definedName>
    <definedName name="Month_text_lookup">#REF!</definedName>
    <definedName name="month01">#REF!</definedName>
    <definedName name="monthly">#REF!</definedName>
    <definedName name="Months">#REF!</definedName>
    <definedName name="months01">#REF!</definedName>
    <definedName name="months02">#REF!</definedName>
    <definedName name="months1">#REF!</definedName>
    <definedName name="months1a">#REF!</definedName>
    <definedName name="MonthsO">#REF!</definedName>
    <definedName name="monthsv">#REF!</definedName>
    <definedName name="MOVED" hidden="1">{"CHART",#N/A,FALSE,"Arch Communications"}</definedName>
    <definedName name="msgHelp">IF(valShowHelp,grpHelp,#REF!)</definedName>
    <definedName name="n" hidden="1">#REF!</definedName>
    <definedName name="NA" hidden="1">{"'SIVA Pricing Model'!$A$1:$F$39"}</definedName>
    <definedName name="Nada">#REF!</definedName>
    <definedName name="Name">#REF!</definedName>
    <definedName name="NASA_SLC">#REF!</definedName>
    <definedName name="NatWest1">#REF!</definedName>
    <definedName name="new" hidden="1">{#N/A,#N/A,FALSE,"Aging Summary";#N/A,#N/A,FALSE,"Ratio Analysis";#N/A,#N/A,FALSE,"Test 120 Day Accts";#N/A,#N/A,FALSE,"Tickmarks"}</definedName>
    <definedName name="new_hire_costs">#REF!</definedName>
    <definedName name="New_Subs">#REF!</definedName>
    <definedName name="Newaccount">#REF!</definedName>
    <definedName name="Newbalance">#REF!</definedName>
    <definedName name="newchanges">#REF!</definedName>
    <definedName name="newhireperiod">#REF!</definedName>
    <definedName name="Next_run_date">#REF!</definedName>
    <definedName name="nfgn" hidden="1">#REF!</definedName>
    <definedName name="nn" hidden="1">{"'SIVA Pricing Model'!$A$1:$F$39"}</definedName>
    <definedName name="NO">#REF!</definedName>
    <definedName name="none" hidden="1">{#N/A,#N/A,FALSE,"ManLoading"}</definedName>
    <definedName name="nonsubbook">#REF!</definedName>
    <definedName name="NOOFFFSEGMENTS1">#REF!</definedName>
    <definedName name="NOOFFFSEGMENTS2">#REF!</definedName>
    <definedName name="NOOFFFSEGMENTS3">#REF!</definedName>
    <definedName name="NOOFFFSEGMENTS4">#REF!</definedName>
    <definedName name="NOOFFFSEGMENTS5">#REF!</definedName>
    <definedName name="NOOFFFSEGMENTS6">#REF!</definedName>
    <definedName name="Nov">#REF!</definedName>
    <definedName name="Nov00" hidden="1">{"Statement of Income",#N/A,TRUE,"Mar99";"Balance Sheet",#N/A,TRUE,"Mar99"}</definedName>
    <definedName name="Nov00TB" hidden="1">{"Statement of Income",#N/A,TRUE,"Mar99";"Balance Sheet",#N/A,TRUE,"Mar99"}</definedName>
    <definedName name="NUMBEROFDETAILFIELDS1">#REF!</definedName>
    <definedName name="NUMBEROFDETAILFIELDS2">#REF!</definedName>
    <definedName name="NUMBEROFDETAILFIELDS3">#REF!</definedName>
    <definedName name="NUMBEROFDETAILFIELDS4">#REF!</definedName>
    <definedName name="NUMBEROFDETAILFIELDS5">#REF!</definedName>
    <definedName name="NUMBEROFDETAILFIELDS6">#REF!</definedName>
    <definedName name="NUMBEROFHEADERFIELDS1">#REF!</definedName>
    <definedName name="NUMBEROFHEADERFIELDS2">#REF!</definedName>
    <definedName name="NUMBEROFHEADERFIELDS3">#REF!</definedName>
    <definedName name="NUMBEROFHEADERFIELDS4">#REF!</definedName>
    <definedName name="NUMBEROFHEADERFIELDS5">#REF!</definedName>
    <definedName name="NUMBEROFHEADERFIELDS6">#REF!</definedName>
    <definedName name="NvsASD">"V2001-07-31"</definedName>
    <definedName name="NvsAutoDrillOk">"VN"</definedName>
    <definedName name="NvsElapsedTime">0.00143900463444879</definedName>
    <definedName name="NvsEndDate">TODAY()</definedName>
    <definedName name="NvsEndTime">37126.4591289352</definedName>
    <definedName name="NvsInstSpec">"%,FDEPTID,TDEPARTMENTS_1,NWW_SALES"</definedName>
    <definedName name="NvsLayoutType">"M3"</definedName>
    <definedName name="NvsNplSpec">"%,X,RPF..,CPF.."</definedName>
    <definedName name="NvsPanelEffdt">"V1999-03-18"</definedName>
    <definedName name="NvsPanelSetid">"VNAMER"</definedName>
    <definedName name="NvsReqBU">"VNAMER"</definedName>
    <definedName name="NvsReqBUOnly">"VN"</definedName>
    <definedName name="NvsTransLed">"VN"</definedName>
    <definedName name="NvsTreeASD">"V2001-07-31"</definedName>
    <definedName name="NvsValTbl.ACCOUNT">"GL_ACCOUNT_TBL"</definedName>
    <definedName name="NvsValTbl.BUSINESS_UNIT">"BUS_UNIT_TBL_GL"</definedName>
    <definedName name="NvsValTbl.CURRENCY_CD">"CURRENCY_CD_TBL"</definedName>
    <definedName name="NvsValTbl.STATISTICS_CODE">"STAT_TBL"</definedName>
    <definedName name="Obdin" hidden="1">{"'SIVA Pricing Model'!$A$1:$F$39"}</definedName>
    <definedName name="Obdin1" hidden="1">{"'SIVA Pricing Model'!$A$1:$F$39"}</definedName>
    <definedName name="Oct00" hidden="1">{"Statement of Income",#N/A,TRUE,"Mar99";"Balance Sheet",#N/A,TRUE,"Mar99"}</definedName>
    <definedName name="Oct00TB" hidden="1">{"Statement of Income",#N/A,TRUE,"Mar99";"Balance Sheet",#N/A,TRUE,"Mar99"}</definedName>
    <definedName name="Octob00" hidden="1">{"Statement of Income",#N/A,TRUE,"Mar99";"Balance Sheet",#N/A,TRUE,"Mar99"}</definedName>
    <definedName name="Octob00TB" hidden="1">{"Statement of Income",#N/A,TRUE,"Mar99";"Balance Sheet",#N/A,TRUE,"Mar99"}</definedName>
    <definedName name="ODC_CAP">'[1]ODC Summary'!$C$13:$C$17</definedName>
    <definedName name="ODC_CAP_GnA">'[1]ODC Summary'!$D$13:$D$17</definedName>
    <definedName name="ODC_CAP_Period">'[1]ODC Summary'!$A$13:$A$17</definedName>
    <definedName name="ODC_Govt_Amount">'[1]ODC Summary'!$C$3:$C$7</definedName>
    <definedName name="ODC_Govt_GnA_Amount">'[1]ODC Summary'!$D$3:$D$7</definedName>
    <definedName name="ODC_Govt_Period">'[1]ODC Summary'!$A$3:$A$7</definedName>
    <definedName name="Ohd_ContrBase">#REF!</definedName>
    <definedName name="Ohd_ContrOpt1">#REF!</definedName>
    <definedName name="Ohd_ContrOpt2">#REF!</definedName>
    <definedName name="Ohd_ContrOpt3">#REF!</definedName>
    <definedName name="Ohd_ContrOpt4">#REF!</definedName>
    <definedName name="Ohd_GovtBase">#REF!</definedName>
    <definedName name="Ohd_GovtOpt1">#REF!</definedName>
    <definedName name="Ohd_GovtOpt2">#REF!</definedName>
    <definedName name="Ohd_GovtOpt3">#REF!</definedName>
    <definedName name="Ohd_GovtOpt4">#REF!</definedName>
    <definedName name="ok">#REF!</definedName>
    <definedName name="okay" hidden="1">{#N/A,#N/A,FALSE,"Admin";#N/A,#N/A,FALSE,"Other"}</definedName>
    <definedName name="oldkey1" hidden="1">#REF!</definedName>
    <definedName name="oldsort" hidden="1">#REF!</definedName>
    <definedName name="on" hidden="1">{"TOTAL",#N/A,FALSE,"A";"FISCAL94",#N/A,FALSE,"A";"FISCAL95",#N/A,FALSE,"A";"FISCAL96",#N/A,FALSE,"A";"misc page",#N/A,FALSE,"A"}</definedName>
    <definedName name="oo" hidden="1">{"'SIVA Pricing Model'!$A$1:$F$39"}</definedName>
    <definedName name="open">#REF!</definedName>
    <definedName name="Opentable">#REF!</definedName>
    <definedName name="opexcomp2">#REF!</definedName>
    <definedName name="opexcomp3">#REF!</definedName>
    <definedName name="opexdrop">#REF!</definedName>
    <definedName name="opexnon">#REF!</definedName>
    <definedName name="OPSBOE">#REF!</definedName>
    <definedName name="OPSBOE_COL">#REF!</definedName>
    <definedName name="OPSBOE_REF">#REF!</definedName>
    <definedName name="OPSCost_Data">#REF!</definedName>
    <definedName name="OPSCost_Type">#REF!</definedName>
    <definedName name="OPSCost_Year">#REF!</definedName>
    <definedName name="Order2" hidden="1">255</definedName>
    <definedName name="Output">#REF!</definedName>
    <definedName name="Overhead">#REF!</definedName>
    <definedName name="p">#REF!</definedName>
    <definedName name="P1_Actv_Amt17" hidden="1">#REF!</definedName>
    <definedName name="P1_Actv_Amt19" hidden="1">#REF!</definedName>
    <definedName name="P1_Actv_Amt20" hidden="1">#REF!</definedName>
    <definedName name="P1_Actv_Amt21" hidden="1">#REF!</definedName>
    <definedName name="P10_Actv_Amt17" hidden="1">#REF!</definedName>
    <definedName name="P10_Actv_Amt19" hidden="1">#REF!</definedName>
    <definedName name="P10_Actv_Amt20" hidden="1">#REF!</definedName>
    <definedName name="P10_Actv_Amt21" hidden="1">#REF!</definedName>
    <definedName name="P11_Actv_Amt17" hidden="1">#REF!</definedName>
    <definedName name="P11_Actv_Amt21" hidden="1">#REF!</definedName>
    <definedName name="P12_Actv_Amt17" hidden="1">#REF!</definedName>
    <definedName name="P12_Actv_Amt21" hidden="1">#REF!</definedName>
    <definedName name="P12_Bal_Amt1" hidden="1">#REF!</definedName>
    <definedName name="P2_Actv_Amt17" hidden="1">#REF!</definedName>
    <definedName name="P2_Actv_Amt21" hidden="1">#REF!</definedName>
    <definedName name="P3_Actv_Amt17" hidden="1">#REF!</definedName>
    <definedName name="P3_Actv_Amt21" hidden="1">#REF!</definedName>
    <definedName name="P3_Bal_Amt1" hidden="1">#REF!</definedName>
    <definedName name="P4_Actv_Amt17" hidden="1">#REF!</definedName>
    <definedName name="P4_Actv_Amt21" hidden="1">#REF!</definedName>
    <definedName name="P5_Actv_Amt17" hidden="1">#REF!</definedName>
    <definedName name="P5_Actv_Amt21" hidden="1">#REF!</definedName>
    <definedName name="P6_Actv_Amt17" hidden="1">#REF!</definedName>
    <definedName name="P6_Actv_Amt21" hidden="1">#REF!</definedName>
    <definedName name="P6_Bal_Amt1" hidden="1">#REF!</definedName>
    <definedName name="P7_Actv_Amt17" hidden="1">#REF!</definedName>
    <definedName name="P7_Actv_Amt18" hidden="1">#REF!</definedName>
    <definedName name="P7_Actv_Amt19" hidden="1">#REF!</definedName>
    <definedName name="P7_Actv_Amt20" hidden="1">#REF!</definedName>
    <definedName name="P7_Actv_Amt21" hidden="1">#REF!</definedName>
    <definedName name="P8_Actv_Amt17" hidden="1">#REF!</definedName>
    <definedName name="P8_Actv_Amt18" hidden="1">#REF!</definedName>
    <definedName name="P8_Actv_Amt19" hidden="1">#REF!</definedName>
    <definedName name="P8_Actv_Amt20" hidden="1">#REF!</definedName>
    <definedName name="P8_Actv_Amt21" hidden="1">#REF!</definedName>
    <definedName name="P9_Actv_Amt17" hidden="1">#REF!</definedName>
    <definedName name="P9_Actv_Amt18" hidden="1">#REF!</definedName>
    <definedName name="P9_Actv_Amt20" hidden="1">#REF!</definedName>
    <definedName name="P9_Actv_Amt21" hidden="1">#REF!</definedName>
    <definedName name="P9_Bal_Amt1" hidden="1">#REF!</definedName>
    <definedName name="PAGE4" hidden="1">{"actuals_1",#N/A,FALSE,"CO 1 YRS";"burden_1",#N/A,FALSE,"CO 1 YRS";"input",#N/A,FALSE,"INPUT"}</definedName>
    <definedName name="Pay">#REF!</definedName>
    <definedName name="Payment">#REF!</definedName>
    <definedName name="Payment_system">#REF!</definedName>
    <definedName name="Payment_type">#REF!</definedName>
    <definedName name="payment01">#REF!</definedName>
    <definedName name="payment02">#REF!</definedName>
    <definedName name="Payments">#REF!</definedName>
    <definedName name="paymentv">#REF!</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OPLESOFT">#REF!</definedName>
    <definedName name="Period">#REF!</definedName>
    <definedName name="Period_From">#REF!</definedName>
    <definedName name="Period_To">#REF!</definedName>
    <definedName name="PERIODSETNAME1">#REF!</definedName>
    <definedName name="PERIODSETNAME2">#REF!</definedName>
    <definedName name="PERIODSETNAME3">#REF!</definedName>
    <definedName name="PERIODSETNAME4">#REF!</definedName>
    <definedName name="PERIODSETNAME5">#REF!</definedName>
    <definedName name="PERIODSETNAME6">#REF!</definedName>
    <definedName name="PeriodsInYear">#REF!</definedName>
    <definedName name="pick">#REF!</definedName>
    <definedName name="pkg.gom" hidden="1">{"2000PPE",#N/A,FALSE,"PPE 2000";"2000DD",#N/A,FALSE,"DrydocksOther"}</definedName>
    <definedName name="PL_Line_Name17" hidden="1">#REF!</definedName>
    <definedName name="PL_Line_Name18" hidden="1">#REF!</definedName>
    <definedName name="Pl_Line_Nbr_Desc16" hidden="1">#REF!</definedName>
    <definedName name="Pl_Line_Nbr16" hidden="1">#REF!</definedName>
    <definedName name="PL_Line_Nbr17" hidden="1">#REF!</definedName>
    <definedName name="PL_Line_Nbr18" hidden="1">#REF!</definedName>
    <definedName name="PLAssump" hidden="1">{"'SIVA Pricing Model'!$A$1:$F$39"}</definedName>
    <definedName name="PLAssump2" hidden="1">{"'SIVA Pricing Model'!$A$1:$F$39"}</definedName>
    <definedName name="PLAssump3" hidden="1">{"'SIVA Pricing Model'!$A$1:$F$39"}</definedName>
    <definedName name="plassumpw" hidden="1">{"'SIVA Pricing Model'!$A$1:$F$39"}</definedName>
    <definedName name="PO_Payments">#REF!</definedName>
    <definedName name="Points">#REF!</definedName>
    <definedName name="POSTERRORSTOSUSP1">#REF!</definedName>
    <definedName name="POSTERRORSTOSUSP2">#REF!</definedName>
    <definedName name="POSTERRORSTOSUSP3">#REF!</definedName>
    <definedName name="POSTERRORSTOSUSP4">#REF!</definedName>
    <definedName name="POSTERRORSTOSUSP5">#REF!</definedName>
    <definedName name="POSTERRORSTOSUSP6">#REF!</definedName>
    <definedName name="pp" hidden="1">{"'SIVA Pricing Model'!$A$1:$F$39"}</definedName>
    <definedName name="PrepaidOther">#REF!</definedName>
    <definedName name="Prepayment">#REF!</definedName>
    <definedName name="Prev_Per_Actv_Amt17" hidden="1">#REF!</definedName>
    <definedName name="Price">#REF!</definedName>
    <definedName name="PriceRange" hidden="1">OFFSET(#REF!,5,0,COUNTA(#REF!)-COUNTA(#REF!),1)</definedName>
    <definedName name="PriceRangeMain" hidden="1">#REF!</definedName>
    <definedName name="Prime_Indirect_Rates">#REF!</definedName>
    <definedName name="PrimeSublist">#REF!</definedName>
    <definedName name="Print">#REF!</definedName>
    <definedName name="Print_Area_MI">#REF!</definedName>
    <definedName name="print10">#REF!</definedName>
    <definedName name="print2">#REF!</definedName>
    <definedName name="print4">#REF!</definedName>
    <definedName name="print5">#REF!</definedName>
    <definedName name="print6">#REF!</definedName>
    <definedName name="print7">#REF!</definedName>
    <definedName name="print8">#REF!</definedName>
    <definedName name="PROB">#REF!</definedName>
    <definedName name="Prod_Hours_Empl_Class">'[1]Productive Hours'!$B$8:$B$23</definedName>
    <definedName name="Prod_Hours_Hours">'[1]Productive Hours'!$C$8:$G$23</definedName>
    <definedName name="Prod_Hours_Period">'[1]Productive Hours'!$C$2:$G$2</definedName>
    <definedName name="Prod_Hours_Type">'[1]Productive Hours'!$A$8:$A$23</definedName>
    <definedName name="Product_Code1" hidden="1">#REF!</definedName>
    <definedName name="Product_Code17" hidden="1">#REF!</definedName>
    <definedName name="Product_Code18" hidden="1">#REF!</definedName>
    <definedName name="Product_Code19" hidden="1">#REF!</definedName>
    <definedName name="Product_Code2" hidden="1">#REF!</definedName>
    <definedName name="Product_Code20" hidden="1">#REF!</definedName>
    <definedName name="Product_Code21" hidden="1">#REF!</definedName>
    <definedName name="Product_Code22" hidden="1">#REF!</definedName>
    <definedName name="Product_Desc20" hidden="1">#REF!</definedName>
    <definedName name="Product_Desc21" hidden="1">#REF!</definedName>
    <definedName name="Product_Desc22" hidden="1">#REF!</definedName>
    <definedName name="productivity">#REF!</definedName>
    <definedName name="ProgramAllocations">#REF!</definedName>
    <definedName name="ProjectName">{"Client Name or Project Name"}</definedName>
    <definedName name="proposed" hidden="1">{#N/A,#N/A,FALSE,"ManLoading"}</definedName>
    <definedName name="pto">#REF!</definedName>
    <definedName name="PY" hidden="1">{#N/A,#N/A,TRUE,"PY1, PY2, PY3, &amp; PY4"}</definedName>
    <definedName name="Py1_Qtr1_Pl_Amt16" hidden="1">#REF!</definedName>
    <definedName name="Py1_Qtr2_Pl_Amt16" hidden="1">#REF!</definedName>
    <definedName name="Py1_Qtr3_Pl_Amt16" hidden="1">#REF!</definedName>
    <definedName name="Py1_Qtr4_Pl_Amt16" hidden="1">#REF!</definedName>
    <definedName name="q" hidden="1">{"FCB_ALL",#N/A,FALSE,"FCB"}</definedName>
    <definedName name="q3renewals">#REF!</definedName>
    <definedName name="qaedf">#REF!</definedName>
    <definedName name="QLGC" hidden="1">{"CHART",#N/A,FALSE,"Arch Communications"}</definedName>
    <definedName name="qq" hidden="1">{"'SIVA Pricing Model'!$A$1:$F$39"}</definedName>
    <definedName name="QRYCOLS1" hidden="1">#REF!</definedName>
    <definedName name="QRYCOLS16" hidden="1">#REF!</definedName>
    <definedName name="QRYCOLS17" hidden="1">#REF!</definedName>
    <definedName name="QRYCOLS18" hidden="1">#REF!</definedName>
    <definedName name="QRYCOLS19" hidden="1">#REF!</definedName>
    <definedName name="QRYCOLS2" hidden="1">#REF!</definedName>
    <definedName name="QRYCOLS20" hidden="1">#REF!</definedName>
    <definedName name="QRYCOLS21" hidden="1">#REF!</definedName>
    <definedName name="QRYCOLS22" hidden="1">#REF!</definedName>
    <definedName name="QRYCOUNT" hidden="1">0</definedName>
    <definedName name="QRYDATA1" hidden="1">#REF!</definedName>
    <definedName name="QRYDATA16" hidden="1">#REF!</definedName>
    <definedName name="QRYDATA17" hidden="1">#REF!</definedName>
    <definedName name="QRYDATA18" hidden="1">#REF!</definedName>
    <definedName name="QRYDATA19" hidden="1">#REF!</definedName>
    <definedName name="QRYDATA2" hidden="1">#REF!</definedName>
    <definedName name="QRYDATA20" hidden="1">#REF!</definedName>
    <definedName name="QRYDATA21" hidden="1">#REF!</definedName>
    <definedName name="QRYDATA22" hidden="1">#REF!</definedName>
    <definedName name="QRYNAME1" hidden="1">"Qlimberg"</definedName>
    <definedName name="QRYNAME2" hidden="1">"Qlimbergdivision"</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EP Dtl for OI Var OUS"</definedName>
    <definedName name="QRYNAME30" hidden="1">"bqEPOPPlanHK"</definedName>
    <definedName name="QRYNAME4" hidden="1">"BQ WWAcctspayable"</definedName>
    <definedName name="QRYNAME5" hidden="1">"BQ OI Var BU99998"</definedName>
    <definedName name="QRYNAME6" hidden="1">"BQ Hdct"</definedName>
    <definedName name="QRYNEXT" hidden="1">1</definedName>
    <definedName name="QRYSOURCE1" hidden="1">"EXCELRANGE-EXPAND-BQ"</definedName>
    <definedName name="QRYSOURCE16" hidden="1">"IW P&amp;L Data"</definedName>
    <definedName name="QRYSOURCE2" hidden="1">"EXCELRANGE-EXPAND-BQ"</definedName>
    <definedName name="QRYSOURCE20" hidden="1">"EXCELRANGE-EXPAND"</definedName>
    <definedName name="QRYSOURCE22" hidden="1">"EXCELRANGE-EXPAND-BQ"</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WKS1" hidden="1">0</definedName>
    <definedName name="QRYWKS16" hidden="1">#REF!</definedName>
    <definedName name="QRYWKS17" hidden="1">#REF!</definedName>
    <definedName name="QRYWKS18" hidden="1">#REF!</definedName>
    <definedName name="QRYWKS19" hidden="1">#REF!</definedName>
    <definedName name="QRYWKS2" hidden="1">#REF!</definedName>
    <definedName name="QRYWKS20" hidden="1">#REF!</definedName>
    <definedName name="QRYWKS21" hidden="1">#REF!</definedName>
    <definedName name="QRYWKS22" hidden="1">#REF!</definedName>
    <definedName name="qtr">#REF!</definedName>
    <definedName name="Qtr_lookup">#REF!</definedName>
    <definedName name="Qtr_MO_Lookup">#REF!</definedName>
    <definedName name="Qtr1_Actv_Amt1" hidden="1">#REF!</definedName>
    <definedName name="Qtr1_Actv_Amt17" hidden="1">#REF!</definedName>
    <definedName name="Qtr1_Actv_Amt18" hidden="1">#REF!</definedName>
    <definedName name="Qtr1_Actv_Amt19" hidden="1">#REF!</definedName>
    <definedName name="Qtr1_Actv_Amt2" hidden="1">#REF!</definedName>
    <definedName name="Qtr1_Actv_Amt20" hidden="1">#REF!</definedName>
    <definedName name="Qtr1_Actv_Amt21" hidden="1">#REF!</definedName>
    <definedName name="Qtr1_Actv_Amt22" hidden="1">#REF!</definedName>
    <definedName name="Qtr2_Actv_Amt1" hidden="1">#REF!</definedName>
    <definedName name="Qtr2_Actv_Amt17" hidden="1">#REF!</definedName>
    <definedName name="Qtr2_Actv_Amt18" hidden="1">#REF!</definedName>
    <definedName name="Qtr2_Actv_Amt19" hidden="1">#REF!</definedName>
    <definedName name="Qtr2_Actv_Amt2" hidden="1">#REF!</definedName>
    <definedName name="Qtr2_Actv_Amt20" hidden="1">#REF!</definedName>
    <definedName name="Qtr2_Actv_Amt21" hidden="1">#REF!</definedName>
    <definedName name="Qtr2_Actv_Amt22" hidden="1">#REF!</definedName>
    <definedName name="Qtr3_Actv_Amt1" hidden="1">#REF!</definedName>
    <definedName name="Qtr3_Actv_Amt17" hidden="1">#REF!</definedName>
    <definedName name="Qtr3_Actv_Amt19" hidden="1">#REF!</definedName>
    <definedName name="Qtr3_Actv_Amt2" hidden="1">#REF!</definedName>
    <definedName name="Qtr3_Actv_Amt20" hidden="1">#REF!</definedName>
    <definedName name="Qtr3_Actv_Amt21" hidden="1">#REF!</definedName>
    <definedName name="Qtr3_Actv_Amt22" hidden="1">#REF!</definedName>
    <definedName name="Qtr4_Actv_Amt1" hidden="1">#REF!</definedName>
    <definedName name="Qtr4_Actv_Amt17" hidden="1">#REF!</definedName>
    <definedName name="Qtr4_Actv_Amt19" hidden="1">#REF!</definedName>
    <definedName name="Qtr4_Actv_Amt2" hidden="1">#REF!</definedName>
    <definedName name="Qtr4_Actv_Amt20" hidden="1">#REF!</definedName>
    <definedName name="Qtr4_Actv_Amt21" hidden="1">#REF!</definedName>
    <definedName name="Qtr4_Actv_Amt22" hidden="1">#REF!</definedName>
    <definedName name="quarter">#REF!</definedName>
    <definedName name="ramp">#REF!</definedName>
    <definedName name="range_excluding_eps">#REF!</definedName>
    <definedName name="range_including_eps">#REF!</definedName>
    <definedName name="Rate_per_100_of_Coverage">#REF!</definedName>
    <definedName name="RATE_REF">#REF!</definedName>
    <definedName name="RATE_YEAR">#REF!</definedName>
    <definedName name="RATES">#REF!</definedName>
    <definedName name="Rates_Table_Foreign_Medical">'[3]Rates Table'!$B$25:$B$25</definedName>
    <definedName name="Rates_Table_FUTA_Limit">'[1]Rates Table'!$D$14:$H$14</definedName>
    <definedName name="Rates_Table_FUTA_Rate">'[1]Rates Table'!$D$13:$H$13</definedName>
    <definedName name="Rates_Table_HandW_Empl_Class">'[1]Rates Table'!$B$3:$B$4</definedName>
    <definedName name="Rates_Table_HandW_Rates">'[1]Rates Table'!$D$3:$H$4</definedName>
    <definedName name="Rates_Table_Medicare_Rate">'[1]Rates Table'!$D$12:$H$12</definedName>
    <definedName name="Rates_Table_Period">'[1]Rates Table'!$D$2:$H$2</definedName>
    <definedName name="Rates_Table_SS_Limit">'[1]Rates Table'!$D$11:$H$11</definedName>
    <definedName name="Rates_Table_SS_Rate">'[1]Rates Table'!$D$10:$H$10</definedName>
    <definedName name="Rates_Table_SUTA_Limit">'[1]Rates Table'!$D$16:$H$16</definedName>
    <definedName name="Rates_Table_SUTA_Rate">'[1]Rates Table'!$D$15:$H$15</definedName>
    <definedName name="Rates_Table_WC_Code">'[1]Rates Table'!$B$21:$B$31</definedName>
    <definedName name="Rates_Table_WC_Rates">'[1]Rates Table'!$D$21:$H$31</definedName>
    <definedName name="RD">#REF!</definedName>
    <definedName name="Renew_Subs">#REF!</definedName>
    <definedName name="renewalassump">#REF!</definedName>
    <definedName name="renewalbilled">#REF!</definedName>
    <definedName name="rent">#REF!</definedName>
    <definedName name="rentcalc">#REF!</definedName>
    <definedName name="REPBY">#REF!</definedName>
    <definedName name="REPNAME">#REF!</definedName>
    <definedName name="REPNAME1">#REF!</definedName>
    <definedName name="REPNAME3">#REF!</definedName>
    <definedName name="ReportGroup" hidden="1">6</definedName>
    <definedName name="Reporting_Date">#REF!</definedName>
    <definedName name="RESOURCE_REF">#REF!</definedName>
    <definedName name="RESOURCE_YEAR">#REF!</definedName>
    <definedName name="Resources">#REF!</definedName>
    <definedName name="RESPONSIBILITYAPPLICATIONID1">#REF!</definedName>
    <definedName name="RESPONSIBILITYAPPLICATIONID2">#REF!</definedName>
    <definedName name="RESPONSIBILITYAPPLICATIONID3">#REF!</definedName>
    <definedName name="RESPONSIBILITYAPPLICATIONID4">#REF!</definedName>
    <definedName name="RESPONSIBILITYAPPLICATIONID5">#REF!</definedName>
    <definedName name="RESPONSIBILITYAPPLICATIONID6">#REF!</definedName>
    <definedName name="RESPONSIBILITYID1">#REF!</definedName>
    <definedName name="RESPONSIBILITYID2">#REF!</definedName>
    <definedName name="RESPONSIBILITYID3">#REF!</definedName>
    <definedName name="RESPONSIBILITYID4">#REF!</definedName>
    <definedName name="RESPONSIBILITYID5">#REF!</definedName>
    <definedName name="RESPONSIBILITYID6">#REF!</definedName>
    <definedName name="RESPONSIBILITYNAME1">#REF!</definedName>
    <definedName name="RESPONSIBILITYNAME2">#REF!</definedName>
    <definedName name="RESPONSIBILITYNAME3">#REF!</definedName>
    <definedName name="RESPONSIBILITYNAME4">#REF!</definedName>
    <definedName name="RESPONSIBILITYNAME5">#REF!</definedName>
    <definedName name="RESPONSIBILITYNAME6">#REF!</definedName>
    <definedName name="RestatedActuals" hidden="1">{#N/A,#N/A,FALSE,"Aging Summary";#N/A,#N/A,FALSE,"Ratio Analysis";#N/A,#N/A,FALSE,"Test 120 Day Accts";#N/A,#N/A,FALSE,"Tickmarks"}</definedName>
    <definedName name="Rev_GAAP_Adjust">#REF!</definedName>
    <definedName name="revcomp">#REF!</definedName>
    <definedName name="RM" hidden="1">#REF!</definedName>
    <definedName name="rngPickValues" hidden="1">#REF!</definedName>
    <definedName name="ROWSTOUPLOAD1">#REF!</definedName>
    <definedName name="ROWSTOUPLOAD2">#REF!</definedName>
    <definedName name="ROWSTOUPLOAD3">#REF!</definedName>
    <definedName name="ROWSTOUPLOAD4">#REF!</definedName>
    <definedName name="ROWSTOUPLOAD5">#REF!</definedName>
    <definedName name="ROWSTOUPLOAD6">#REF!</definedName>
    <definedName name="RPTCOUNT" hidden="1">1</definedName>
    <definedName name="RPTDATACELL1" hidden="1">#REF!</definedName>
    <definedName name="RPTDATACELL10" hidden="1">#REF!</definedName>
    <definedName name="RPTDATACELL11" hidden="1">#REF!</definedName>
    <definedName name="RPTDATACELL12" hidden="1">#REF!</definedName>
    <definedName name="RPTDATACELL13" hidden="1">#REF!</definedName>
    <definedName name="RPTDATACELL14" hidden="1">#REF!</definedName>
    <definedName name="RPTDATACELL15" hidden="1">#REF!</definedName>
    <definedName name="RPTDATACELL16" hidden="1">#REF!</definedName>
    <definedName name="RPTDATACELL17" hidden="1">#REF!</definedName>
    <definedName name="RPTDATACELL18" hidden="1">#REF!</definedName>
    <definedName name="RPTDATACELL19" hidden="1">#REF!</definedName>
    <definedName name="RPTDATACELL2" hidden="1">#REF!</definedName>
    <definedName name="RPTDATACELL20" hidden="1">#REF!</definedName>
    <definedName name="RPTDATACELL21" hidden="1">#REF!</definedName>
    <definedName name="RPTDATACELL22" hidden="1">#REF!</definedName>
    <definedName name="RPTDATACELL23" hidden="1">#REF!</definedName>
    <definedName name="RPTDATACELL24" hidden="1">#REF!</definedName>
    <definedName name="RPTDATACELL25" hidden="1">#REF!</definedName>
    <definedName name="RPTDATACELL26" hidden="1">#REF!</definedName>
    <definedName name="RPTDATACELL27" hidden="1">#REF!</definedName>
    <definedName name="RPTDATACELL28" hidden="1">#REF!</definedName>
    <definedName name="RPTDATACELL29" hidden="1">#REF!</definedName>
    <definedName name="RPTDATACELL3" hidden="1">#REF!</definedName>
    <definedName name="RPTDATACELL30" hidden="1">#REF!</definedName>
    <definedName name="RPTDATACELL31" hidden="1">#REF!</definedName>
    <definedName name="RPTDATACELL32" hidden="1">#REF!</definedName>
    <definedName name="RPTDATACELL33" hidden="1">#REF!</definedName>
    <definedName name="RPTDATACELL34" hidden="1">#REF!</definedName>
    <definedName name="RPTDATACELL35" hidden="1">#REF!</definedName>
    <definedName name="RPTDATACELL36" hidden="1">#REF!</definedName>
    <definedName name="RPTDATACELL37" hidden="1">#REF!</definedName>
    <definedName name="RPTDATACELL38" hidden="1">#REF!</definedName>
    <definedName name="RPTDATACELL39" hidden="1">#REF!</definedName>
    <definedName name="RPTDATACELL4" hidden="1">#REF!</definedName>
    <definedName name="RPTDATACELL40" hidden="1">#REF!</definedName>
    <definedName name="RPTDATACELL41" hidden="1">#REF!</definedName>
    <definedName name="RPTDATACELL42" hidden="1">#REF!</definedName>
    <definedName name="RPTDATACELL43" hidden="1">#REF!</definedName>
    <definedName name="RPTDATACELL44" hidden="1">#REF!</definedName>
    <definedName name="RPTDATACELL45" hidden="1">#REF!</definedName>
    <definedName name="RPTDATACELL46" hidden="1">#REF!</definedName>
    <definedName name="RPTDATACELL47" hidden="1">#REF!</definedName>
    <definedName name="RPTDATACELL48" hidden="1">#REF!</definedName>
    <definedName name="RPTDATACELL5" hidden="1">#REF!</definedName>
    <definedName name="RPTDATACELL50" hidden="1">#REF!</definedName>
    <definedName name="RPTDATACELL51" hidden="1">#REF!</definedName>
    <definedName name="RPTDATACELL52" hidden="1">#REF!</definedName>
    <definedName name="RPTDATACELL53" hidden="1">#REF!</definedName>
    <definedName name="RPTDATACELL54" hidden="1">#REF!</definedName>
    <definedName name="RPTDATACELL55" hidden="1">#REF!</definedName>
    <definedName name="RPTDATACELL56" hidden="1">#REF!</definedName>
    <definedName name="RPTDATACELL57" hidden="1">#REF!</definedName>
    <definedName name="RPTDATACELL58" hidden="1">#REF!</definedName>
    <definedName name="RPTDATACELL59" hidden="1">#REF!</definedName>
    <definedName name="RPTDATACELL6" hidden="1">#REF!</definedName>
    <definedName name="RPTDATACELL60" hidden="1">#REF!</definedName>
    <definedName name="RPTDATACELL61" hidden="1">#REF!</definedName>
    <definedName name="RPTDATACELL62" hidden="1">#REF!</definedName>
    <definedName name="RPTDATACELL63" hidden="1">#REF!</definedName>
    <definedName name="RPTDATACELL66" hidden="1">#REF!</definedName>
    <definedName name="RPTDATACELL67" hidden="1">#REF!</definedName>
    <definedName name="RPTDATACELL68" hidden="1">#REF!</definedName>
    <definedName name="RPTDATACELL69" hidden="1">#REF!</definedName>
    <definedName name="RPTDATACELL7" hidden="1">#REF!</definedName>
    <definedName name="RPTDATACELL72" hidden="1">#REF!</definedName>
    <definedName name="RPTDATACELL8" hidden="1">#REF!</definedName>
    <definedName name="RPTDATACELL9" hidden="1">#REF!</definedName>
    <definedName name="RPTID" hidden="1">0</definedName>
    <definedName name="RPTNEXT" hidden="1">2</definedName>
    <definedName name="RPTQRY1" hidden="1">1</definedName>
    <definedName name="RPTQRY10" hidden="1">"sRptNo"</definedName>
    <definedName name="RPTQRY11" hidden="1">5</definedName>
    <definedName name="RPTQRY12" hidden="1">6</definedName>
    <definedName name="RPTQRY13" hidden="1">16</definedName>
    <definedName name="RPTQRY14" hidden="1">22</definedName>
    <definedName name="RPTQRY15" hidden="1">18</definedName>
    <definedName name="RPTQRY16" hidden="1">18</definedName>
    <definedName name="RPTQRY17" hidden="1">19</definedName>
    <definedName name="RPTQRY18" hidden="1">17</definedName>
    <definedName name="RPTQRY19" hidden="1">17</definedName>
    <definedName name="RPTQRY2" hidden="1">2</definedName>
    <definedName name="RPTQRY20" hidden="1">17</definedName>
    <definedName name="RPTQRY21" hidden="1">17</definedName>
    <definedName name="RPTQRY22" hidden="1">17</definedName>
    <definedName name="RPTQRY23" hidden="1">17</definedName>
    <definedName name="RPTQRY24" hidden="1">17</definedName>
    <definedName name="RPTQRY25" hidden="1">17</definedName>
    <definedName name="RPTQRY26" hidden="1">17</definedName>
    <definedName name="RPTQRY27" hidden="1">" "</definedName>
    <definedName name="RPTQRY28" hidden="1">17</definedName>
    <definedName name="RPTQRY29" hidden="1">17</definedName>
    <definedName name="RPTQRY3" hidden="1">2</definedName>
    <definedName name="RPTQRY30" hidden="1">17</definedName>
    <definedName name="RPTQRY31" hidden="1">17</definedName>
    <definedName name="RPTQRY32" hidden="1">17</definedName>
    <definedName name="RPTQRY33" hidden="1">20</definedName>
    <definedName name="RPTQRY34" hidden="1">17</definedName>
    <definedName name="RPTQRY35" hidden="1">20</definedName>
    <definedName name="RPTQRY36" hidden="1">20</definedName>
    <definedName name="RPTQRY37" hidden="1">22</definedName>
    <definedName name="RPTQRY38" hidden="1">22</definedName>
    <definedName name="RPTQRY39" hidden="1">22</definedName>
    <definedName name="RPTQRY4" hidden="1">2</definedName>
    <definedName name="RPTQRY40" hidden="1">22</definedName>
    <definedName name="RPTQRY41" hidden="1">22</definedName>
    <definedName name="RPTQRY42" hidden="1">23</definedName>
    <definedName name="RPTQRY43" hidden="1">23</definedName>
    <definedName name="RPTQRY44" hidden="1">23</definedName>
    <definedName name="RPTQRY45" hidden="1">22</definedName>
    <definedName name="RPTQRY46" hidden="1">24</definedName>
    <definedName name="RPTQRY47" hidden="1">22</definedName>
    <definedName name="RPTQRY48" hidden="1">22</definedName>
    <definedName name="RPTQRY49" hidden="1">22</definedName>
    <definedName name="RPTQRY5" hidden="1">3</definedName>
    <definedName name="RPTQRY50" hidden="1">20</definedName>
    <definedName name="RPTQRY51" hidden="1">20</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3</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2</definedName>
    <definedName name="RPTQRY70" hidden="1">25</definedName>
    <definedName name="RPTQRY71" hidden="1">24</definedName>
    <definedName name="RPTQRY72" hidden="1">29</definedName>
    <definedName name="RPTQRY8" hidden="1">1</definedName>
    <definedName name="RPTQRY9" hidden="1">4</definedName>
    <definedName name="RPTWKS1" hidden="1">#REF!</definedName>
    <definedName name="RPTWKS10" hidden="1">#REF!</definedName>
    <definedName name="RPTWKS11" hidden="1">#REF!</definedName>
    <definedName name="RPTWKS12" hidden="1">#REF!</definedName>
    <definedName name="RPTWKS13" hidden="1">#REF!</definedName>
    <definedName name="RPTWKS14" hidden="1">#REF!</definedName>
    <definedName name="RPTWKS15" hidden="1">#REF!</definedName>
    <definedName name="RPTWKS16" hidden="1">#REF!</definedName>
    <definedName name="RPTWKS17" hidden="1">#REF!</definedName>
    <definedName name="RPTWKS18" hidden="1">#REF!</definedName>
    <definedName name="RPTWKS19" hidden="1">#REF!</definedName>
    <definedName name="RPTWKS2" hidden="1">#REF!</definedName>
    <definedName name="RPTWKS20" hidden="1">#REF!</definedName>
    <definedName name="RPTWKS21" hidden="1">#REF!</definedName>
    <definedName name="RPTWKS22" hidden="1">#REF!</definedName>
    <definedName name="RPTWKS23" hidden="1">#REF!</definedName>
    <definedName name="RPTWKS24" hidden="1">#REF!</definedName>
    <definedName name="RPTWKS25" hidden="1">#REF!</definedName>
    <definedName name="RPTWKS26" hidden="1">#REF!</definedName>
    <definedName name="RPTWKS27" hidden="1">#REF!</definedName>
    <definedName name="RPTWKS28" hidden="1">#REF!</definedName>
    <definedName name="RPTWKS29" hidden="1">#REF!</definedName>
    <definedName name="RPTWKS3" hidden="1">#REF!</definedName>
    <definedName name="RPTWKS30" hidden="1">#REF!</definedName>
    <definedName name="RPTWKS31" hidden="1">#REF!</definedName>
    <definedName name="RPTWKS32" hidden="1">#REF!</definedName>
    <definedName name="RPTWKS33" hidden="1">#REF!</definedName>
    <definedName name="RPTWKS34" hidden="1">#REF!</definedName>
    <definedName name="RPTWKS35" hidden="1">#REF!</definedName>
    <definedName name="RPTWKS36" hidden="1">#REF!</definedName>
    <definedName name="RPTWKS37" hidden="1">#REF!</definedName>
    <definedName name="RPTWKS38" hidden="1">#REF!</definedName>
    <definedName name="RPTWKS39" hidden="1">#REF!</definedName>
    <definedName name="RPTWKS4" hidden="1">#REF!</definedName>
    <definedName name="RPTWKS40" hidden="1">#REF!</definedName>
    <definedName name="RPTWKS41" hidden="1">#REF!</definedName>
    <definedName name="RPTWKS42" hidden="1">#REF!</definedName>
    <definedName name="RPTWKS43" hidden="1">#REF!</definedName>
    <definedName name="RPTWKS44" hidden="1">#REF!</definedName>
    <definedName name="RPTWKS45" hidden="1">#REF!</definedName>
    <definedName name="RPTWKS46" hidden="1">#REF!</definedName>
    <definedName name="RPTWKS47" hidden="1">#REF!</definedName>
    <definedName name="RPTWKS48" hidden="1">#REF!</definedName>
    <definedName name="RPTWKS5" hidden="1">#REF!</definedName>
    <definedName name="RPTWKS50" hidden="1">#REF!</definedName>
    <definedName name="RPTWKS51" hidden="1">#REF!</definedName>
    <definedName name="RPTWKS52" hidden="1">#REF!</definedName>
    <definedName name="RPTWKS53" hidden="1">#REF!</definedName>
    <definedName name="RPTWKS54" hidden="1">#REF!</definedName>
    <definedName name="RPTWKS55" hidden="1">#REF!</definedName>
    <definedName name="RPTWKS56" hidden="1">#REF!</definedName>
    <definedName name="RPTWKS57" hidden="1">#REF!</definedName>
    <definedName name="RPTWKS58" hidden="1">#REF!</definedName>
    <definedName name="RPTWKS59" hidden="1">#REF!</definedName>
    <definedName name="RPTWKS6" hidden="1">#REF!</definedName>
    <definedName name="RPTWKS60" hidden="1">#REF!</definedName>
    <definedName name="RPTWKS61" hidden="1">#REF!</definedName>
    <definedName name="RPTWKS62" hidden="1">#REF!</definedName>
    <definedName name="RPTWKS63" hidden="1">#REF!</definedName>
    <definedName name="RPTWKS66" hidden="1">#REF!</definedName>
    <definedName name="RPTWKS67" hidden="1">#REF!</definedName>
    <definedName name="RPTWKS68" hidden="1">#REF!</definedName>
    <definedName name="RPTWKS69" hidden="1">#REF!</definedName>
    <definedName name="RPTWKS7" hidden="1">#REF!</definedName>
    <definedName name="RPTWKS72" hidden="1">#REF!</definedName>
    <definedName name="RPTWKS8" hidden="1">#REF!</definedName>
    <definedName name="RPTWKS9" hidden="1">#REF!</definedName>
    <definedName name="rr" hidden="1">{"'SIVA Pricing Model'!$A$1:$F$39"}</definedName>
    <definedName name="RUNBY">#REF!</definedName>
    <definedName name="RUNDATE">#REF!</definedName>
    <definedName name="RUNDATE1">#REF!</definedName>
    <definedName name="rw\" hidden="1">#REF!</definedName>
    <definedName name="rwr\" hidden="1">#REF!</definedName>
    <definedName name="RYUK" hidden="1">{"PAGE1",#N/A,FALSE,"CPFFMSTR";"PAGE2",#N/A,FALSE,"CPFFMSTR"}</definedName>
    <definedName name="s" hidden="1">{"'subnets'!$A$1:$F$20"}</definedName>
    <definedName name="sad" hidden="1">#REF!</definedName>
    <definedName name="Safing">#REF!</definedName>
    <definedName name="Sales">#REF!</definedName>
    <definedName name="Sales_Type_Lookup">#REF!</definedName>
    <definedName name="salmin">#REF!</definedName>
    <definedName name="SAPBEXdnldView" hidden="1">"4UXKFLF6QG0P57Q3B9VDXXQ1X"</definedName>
    <definedName name="SAPBEXrevision" hidden="1">109</definedName>
    <definedName name="SAPBEXsysID" hidden="1">"PB1"</definedName>
    <definedName name="SAPBEXwbID" hidden="1">"3OG5XO59A03Q2CMBLN132L4WB"</definedName>
    <definedName name="SCRAP" hidden="1">{"'subnets'!$A$1:$F$20"}</definedName>
    <definedName name="sdas" hidden="1">{"Total",#N/A,FALSE,"Six Fields";"PDP",#N/A,FALSE,"Six Fields";"PNP",#N/A,FALSE,"Six Fields";"PUD",#N/A,FALSE,"Six Fields";"Prob",#N/A,FALSE,"Six Fields"}</definedName>
    <definedName name="sdf" hidden="1">#REF!</definedName>
    <definedName name="sdfg" hidden="1">{"PAGE1",#N/A,FALSE,"CPFFMSTR";"PAGE2",#N/A,FALSE,"CPFFMSTR"}</definedName>
    <definedName name="sdw" hidden="1">{#N/A,#N/A,FALSE,"Admin";#N/A,#N/A,FALSE,"Other"}</definedName>
    <definedName name="second">#REF!</definedName>
    <definedName name="secondaries" hidden="1">{#N/A,#N/A,FALSE,"Summary";#N/A,#N/A,FALSE,"Pending";#N/A,#N/A,FALSE,"Oct'97";#N/A,#N/A,FALSE,"Sept'97";#N/A,#N/A,FALSE,"Aug'97";#N/A,#N/A,FALSE,"Jul'97";#N/A,#N/A,FALSE,"Jun'97";#N/A,#N/A,FALSE,"May'97";#N/A,#N/A,FALSE,"Apr'97";#N/A,#N/A,FALSE,"Mar'97";#N/A,#N/A,FALSE,"Feb'97";#N/A,#N/A,FALSE,"Jan'97"}</definedName>
    <definedName name="SEGGEOTYPECL">#REF!</definedName>
    <definedName name="Segment">#REF!</definedName>
    <definedName name="SEGTYPEMTB">#REF!</definedName>
    <definedName name="SEGTYPEMTV">#REF!</definedName>
    <definedName name="sencount" hidden="1">1</definedName>
    <definedName name="SETOFBOOKSID1">#REF!</definedName>
    <definedName name="SETOFBOOKSID2">#REF!</definedName>
    <definedName name="SETOFBOOKSID3">#REF!</definedName>
    <definedName name="SETOFBOOKSID4">#REF!</definedName>
    <definedName name="SETOFBOOKSID5">#REF!</definedName>
    <definedName name="SETOFBOOKSID6">#REF!</definedName>
    <definedName name="SETOFBOOKSNAME1">#REF!</definedName>
    <definedName name="SETOFBOOKSNAME2">#REF!</definedName>
    <definedName name="SETOFBOOKSNAME3">#REF!</definedName>
    <definedName name="SETOFBOOKSNAME4">#REF!</definedName>
    <definedName name="SETOFBOOKSNAME5">#REF!</definedName>
    <definedName name="SETOFBOOKSNAME6">#REF!</definedName>
    <definedName name="SF_ACT">#REF!</definedName>
    <definedName name="SFG" hidden="1">{"PAGE1",#N/A,FALSE,"CPFFMSTR";"PAGE2",#N/A,FALSE,"CPFFMSTR"}</definedName>
    <definedName name="sfrgs" hidden="1">#REF!</definedName>
    <definedName name="Signatory_level">#REF!</definedName>
    <definedName name="Sim" hidden="1">{#N/A,#N/A,FALSE,"FAC_RATE.XLS";#N/A,#N/A,FALSE,"TFC";#N/A,#N/A,FALSE,"SETA";#N/A,#N/A,FALSE,"ESC";#N/A,#N/A,FALSE,"MHX.XLS";#N/A,#N/A,FALSE,"DOM_G&amp;A"}</definedName>
    <definedName name="SkTbl">#REF!</definedName>
    <definedName name="solver_adj" hidden="1">#REF!</definedName>
    <definedName name="solver_corr" hidden="1">1</definedName>
    <definedName name="solver_ctp1" hidden="1">0</definedName>
    <definedName name="solver_ctp2" hidden="1">0</definedName>
    <definedName name="solver_cvg" hidden="1">0.001</definedName>
    <definedName name="solver_disp" hidden="1">0</definedName>
    <definedName name="solver_drv" hidden="1">1</definedName>
    <definedName name="solver_est" hidden="1">1</definedName>
    <definedName name="solver_eval" hidden="1">0</definedName>
    <definedName name="solver_itr" hidden="1">100</definedName>
    <definedName name="solver_lcens" hidden="1">-1E+30</definedName>
    <definedName name="solver_lcut" hidden="1">-1E+30</definedName>
    <definedName name="solver_lhs1" hidden="1">#REF!</definedName>
    <definedName name="solver_lin" hidden="1">0</definedName>
    <definedName name="solver_neg" hidden="1">2</definedName>
    <definedName name="solver_nsim" hidden="1">1</definedName>
    <definedName name="solver_nssim" hidden="1">-1</definedName>
    <definedName name="solver_ntri" hidden="1">1000</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hidden="1">0.15</definedName>
    <definedName name="solver_rsmp" hidden="1">2</definedName>
    <definedName name="solver_scl" hidden="1">2</definedName>
    <definedName name="solver_seed" hidden="1">0</definedName>
    <definedName name="solver_sho" hidden="1">2</definedName>
    <definedName name="solver_sthr" hidden="1">0</definedName>
    <definedName name="solver_tim" hidden="1">100</definedName>
    <definedName name="solver_tmp" hidden="1">0.15</definedName>
    <definedName name="solver_tol" hidden="1">0.05</definedName>
    <definedName name="solver_typ" hidden="1">3</definedName>
    <definedName name="solver_ucens" hidden="1">1E+30</definedName>
    <definedName name="solver_ucut" hidden="1">1E+30</definedName>
    <definedName name="solver_val" hidden="1">0</definedName>
    <definedName name="sort2" hidden="1">#REF!</definedName>
    <definedName name="SOWODCRATE">#REF!</definedName>
    <definedName name="SOWODCs">#REF!</definedName>
    <definedName name="Spec">#REF!</definedName>
    <definedName name="spread">#REF!</definedName>
    <definedName name="ss" hidden="1">{"'SIVA Pricing Model'!$A$1:$F$39"}</definedName>
    <definedName name="sss" hidden="1">{"'08-14'!$A$3:$I$112"}</definedName>
    <definedName name="STARTJOURNALIMPORT1">#REF!</definedName>
    <definedName name="STARTJOURNALIMPORT2">#REF!</definedName>
    <definedName name="STARTJOURNALIMPORT3">#REF!</definedName>
    <definedName name="STARTJOURNALIMPORT4">#REF!</definedName>
    <definedName name="STARTJOURNALIMPORT5">#REF!</definedName>
    <definedName name="STARTJOURNALIMPORT6">#REF!</definedName>
    <definedName name="Status">#REF!</definedName>
    <definedName name="StatusFields">#REF!</definedName>
    <definedName name="steve" hidden="1">{#N/A,#N/A,FALSE,"Bakersfield PCs";#N/A,#N/A,FALSE,"Bremer PCs";#N/A,#N/A,FALSE,"Bakersfield Notebooks"}</definedName>
    <definedName name="steve2" hidden="1">{#N/A,#N/A,FALSE,"Bakersfield PCs";#N/A,#N/A,FALSE,"Bremer PCs";#N/A,#N/A,FALSE,"Bakersfield Notebooks"}</definedName>
    <definedName name="sthts" hidden="1">#REF!</definedName>
    <definedName name="stjuyr" hidden="1">#REF!</definedName>
    <definedName name="stse" hidden="1">#REF!</definedName>
    <definedName name="stuff" hidden="1">{"TOTAL",#N/A,FALSE,"A";"FISCAL94",#N/A,FALSE,"A";"FISCAL95",#N/A,FALSE,"A";"FISCAL96",#N/A,FALSE,"A";"misc page",#N/A,FALSE,"A"}</definedName>
    <definedName name="stuffs" hidden="1">{"TOTAL",#N/A,FALSE,"A";"FISCAL94",#N/A,FALSE,"A";"FISCAL95",#N/A,FALSE,"A";"FISCAL96",#N/A,FALSE,"A";"misc page",#N/A,FALSE,"A"}</definedName>
    <definedName name="Sub_1">#REF!</definedName>
    <definedName name="Sub_10">#REF!</definedName>
    <definedName name="Sub_11">#REF!</definedName>
    <definedName name="Sub_2">#REF!</definedName>
    <definedName name="Sub_3">#REF!</definedName>
    <definedName name="Sub_4">#REF!</definedName>
    <definedName name="Sub_5">#REF!</definedName>
    <definedName name="Sub_6">#REF!</definedName>
    <definedName name="Sub_7">#REF!</definedName>
    <definedName name="Sub_8">#REF!</definedName>
    <definedName name="Sub_9">#REF!</definedName>
    <definedName name="Sub_Cost_Labor_Category">'[1]Subcontractor Cost'!$E$3:$E$56</definedName>
    <definedName name="Sub_Cost_Loaded_Cost_Total">'[1]Subcontractor Cost'!$Q$3:$Q$56</definedName>
    <definedName name="Sub_Cost_Loaded_Rate">'[1]Subcontractor Cost'!$L$3:$L$56</definedName>
    <definedName name="Sub_Cost_Location">'[1]Subcontractor Cost'!$I$3:$I$56</definedName>
    <definedName name="Sub_Cost_Period">'[1]Subcontractor Cost'!$A$3:$A$56</definedName>
    <definedName name="Subcontractor_size">#REF!</definedName>
    <definedName name="Subcontractor_small_business_class">#REF!</definedName>
    <definedName name="Subcontractors">#REF!</definedName>
    <definedName name="SubcontractorSize">#REF!</definedName>
    <definedName name="SubcontractorType">#REF!</definedName>
    <definedName name="SubMatBase">#REF!</definedName>
    <definedName name="SubMatOpt1">#REF!</definedName>
    <definedName name="SubMatOpt2">#REF!</definedName>
    <definedName name="SubMatOpt3">#REF!</definedName>
    <definedName name="SubMatOpt4">#REF!</definedName>
    <definedName name="subt1">#REF!</definedName>
    <definedName name="suck" hidden="1">#REF!</definedName>
    <definedName name="sucker" hidden="1">#REF!</definedName>
    <definedName name="Super_Area_Name17" hidden="1">#REF!</definedName>
    <definedName name="Super_Area_Name18" hidden="1">#REF!</definedName>
    <definedName name="Super_Area_Name19" hidden="1">#REF!</definedName>
    <definedName name="Super_Area_Name20" hidden="1">#REF!</definedName>
    <definedName name="Super_Area_Name21" hidden="1">#REF!</definedName>
    <definedName name="Super_Area_Name22" hidden="1">#REF!</definedName>
    <definedName name="Super_Area_Name23" hidden="1">#REF!</definedName>
    <definedName name="Supplierageing">#REF!</definedName>
    <definedName name="SUTAL">#REF!</definedName>
    <definedName name="SUTAR">#REF!</definedName>
    <definedName name="t">#REF!</definedName>
    <definedName name="TableFive">#REF!</definedName>
    <definedName name="TableFour">#REF!</definedName>
    <definedName name="TableName">"Dummy"</definedName>
    <definedName name="TableThree">#REF!</definedName>
    <definedName name="TableTwo">#REF!</definedName>
    <definedName name="TAx">#REF!</definedName>
    <definedName name="TECHNICAL_RATINGS">#REF!</definedName>
    <definedName name="TechnicalRatings">#REF!</definedName>
    <definedName name="Technology">#REF!</definedName>
    <definedName name="temp" hidden="1">{#N/A,#N/A,FALSE,"Bakersfield PCs";#N/A,#N/A,FALSE,"Bremer PCs";#N/A,#N/A,FALSE,"Bakersfield Notebooks"}</definedName>
    <definedName name="temp3" hidden="1">{#N/A,#N/A,FALSE,"Bakersfield PCs";#N/A,#N/A,FALSE,"Bremer PCs";#N/A,#N/A,FALSE,"Bakersfield Notebooks"}</definedName>
    <definedName name="TEMPLATENUMBER1">#REF!</definedName>
    <definedName name="TEMPLATENUMBER2">#REF!</definedName>
    <definedName name="TEMPLATENUMBER3">#REF!</definedName>
    <definedName name="TEMPLATENUMBER4">#REF!</definedName>
    <definedName name="TEMPLATENUMBER5">#REF!</definedName>
    <definedName name="TEMPLATENUMBER6">#REF!</definedName>
    <definedName name="TEMPLATESTYLE1">#REF!</definedName>
    <definedName name="TEMPLATESTYLE2">#REF!</definedName>
    <definedName name="TEMPLATESTYLE3">#REF!</definedName>
    <definedName name="TEMPLATESTYLE4">#REF!</definedName>
    <definedName name="TEMPLATESTYLE5">#REF!</definedName>
    <definedName name="TEMPLATESTYLE6">#REF!</definedName>
    <definedName name="TEMPLATETYPE1">#REF!</definedName>
    <definedName name="TEMPLATETYPE2">#REF!</definedName>
    <definedName name="TEMPLATETYPE3">#REF!</definedName>
    <definedName name="TEMPLATETYPE4">#REF!</definedName>
    <definedName name="TEMPLATETYPE5">#REF!</definedName>
    <definedName name="TEMPLATETYPE6">#REF!</definedName>
    <definedName name="tes">#REF!</definedName>
    <definedName name="Test" hidden="1">{"'SIVA Pricing Model'!$A$1:$F$39"}</definedName>
    <definedName name="TEST0">#REF!</definedName>
    <definedName name="Test1" hidden="1">{"'SIVA Pricing Model'!$A$1:$F$39"}</definedName>
    <definedName name="test2" hidden="1">{"'SIVA Pricing Model'!$A$1:$F$39"}</definedName>
    <definedName name="test22" hidden="1">{"'SIVA Pricing Model'!$A$1:$F$39"}</definedName>
    <definedName name="test222" hidden="1">{"'SIVA Pricing Model'!$A$1:$F$39"}</definedName>
    <definedName name="test3" hidden="1">{"'SIVA Pricing Model'!$A$1:$F$39"}</definedName>
    <definedName name="test4w" hidden="1">{"'SIVA Pricing Model'!$A$1:$F$39"}</definedName>
    <definedName name="Test5" hidden="1">{"'SIVA Pricing Model'!$A$1:$F$39"}</definedName>
    <definedName name="TESTHKEY">#REF!</definedName>
    <definedName name="TESTKEYS">#REF!</definedName>
    <definedName name="tests" hidden="1">{"'SIVA Pricing Model'!$A$1:$F$39"}</definedName>
    <definedName name="TEsts6" hidden="1">{"'SIVA Pricing Model'!$A$1:$F$39"}</definedName>
    <definedName name="testss" hidden="1">{"'SIVA Pricing Model'!$A$1:$F$39"}</definedName>
    <definedName name="testsss" hidden="1">{"'SIVA Pricing Model'!$A$1:$F$39"}</definedName>
    <definedName name="testsw" hidden="1">{"'SIVA Pricing Model'!$A$1:$F$39"}</definedName>
    <definedName name="TESTVKEY">#REF!</definedName>
    <definedName name="testw" hidden="1">{"'SIVA Pricing Model'!$A$1:$F$39"}</definedName>
    <definedName name="testww" hidden="1">{"'SIVA Pricing Model'!$A$1:$F$39"}</definedName>
    <definedName name="testwww" hidden="1">{"'SIVA Pricing Model'!$A$1:$F$39"}</definedName>
    <definedName name="text">#REF!</definedName>
    <definedName name="TextRefCopy11">#REF!</definedName>
    <definedName name="TextRefCopy4">#REF!</definedName>
    <definedName name="TextRefCopyRangeCount" hidden="1">10</definedName>
    <definedName name="Theatre">#REF!</definedName>
    <definedName name="TO_1">#REF!</definedName>
    <definedName name="TO_2">#REF!</definedName>
    <definedName name="TO_3">#REF!</definedName>
    <definedName name="TO_4">#REF!</definedName>
    <definedName name="TO_5">#REF!</definedName>
    <definedName name="TO_6">#REF!</definedName>
    <definedName name="TO_7">#REF!</definedName>
    <definedName name="ToAcct">#REF!</definedName>
    <definedName name="today">#REF!</definedName>
    <definedName name="togobill">#REF!</definedName>
    <definedName name="TOJRNL">#REF!</definedName>
    <definedName name="TOPRD">#REF!</definedName>
    <definedName name="TOT">#REF!</definedName>
    <definedName name="Tot_RadLabDol">#REF!</definedName>
    <definedName name="Tot_RadLabthruOVH">#REF!</definedName>
    <definedName name="TOTAL">#N/A</definedName>
    <definedName name="Total_Liabilities">#REF!</definedName>
    <definedName name="TotalODCs">#REF!</definedName>
    <definedName name="TotalTravel">#REF!</definedName>
    <definedName name="TOTRNDT">#REF!</definedName>
    <definedName name="TOTRNREF">#REF!</definedName>
    <definedName name="tre" hidden="1">#REF!</definedName>
    <definedName name="TRIALBALANCE">#REF!</definedName>
    <definedName name="trsty" hidden="1">{"PAGE1",#N/A,FALSE,"CPFFMSTR";"PAGE2",#N/A,FALSE,"CPFFMSTR"}</definedName>
    <definedName name="trsyh" hidden="1">#REF!</definedName>
    <definedName name="tt" hidden="1">{"'SIVA Pricing Model'!$A$1:$F$39"}</definedName>
    <definedName name="ttt" hidden="1">{#N/A,#N/A,TRUE,"Total";#N/A,#N/A,TRUE,"U.S. Devl.";#N/A,#N/A,TRUE,"U.S. Headcount"}</definedName>
    <definedName name="tttt" hidden="1">{#N/A,#N/A,FALSE,"COVER";#N/A,#N/A,FALSE,"Key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ype">#REF!</definedName>
    <definedName name="UFPrn20090730150259">#REF!</definedName>
    <definedName name="uhtru" hidden="1">#REF!</definedName>
    <definedName name="uktgj" hidden="1">#REF!</definedName>
    <definedName name="ULI">#REF!</definedName>
    <definedName name="UNALLOW2" hidden="1">{#N/A,#N/A,FALSE,"FAC_RATE.XLS";#N/A,#N/A,FALSE,"TFC";#N/A,#N/A,FALSE,"SETA";#N/A,#N/A,FALSE,"ESC";#N/A,#N/A,FALSE,"MHX.XLS";#N/A,#N/A,FALSE,"DOM_G&amp;A"}</definedName>
    <definedName name="unbilledsumm">#REF!</definedName>
    <definedName name="unexpected">#REF!</definedName>
    <definedName name="Upgrade">#REF!</definedName>
    <definedName name="US_OUS_Name17" hidden="1">#REF!</definedName>
    <definedName name="US_OUS_Name19" hidden="1">#REF!</definedName>
    <definedName name="US_OUS_Name20" hidden="1">#REF!</definedName>
    <definedName name="US_OUS_Name21" hidden="1">#REF!</definedName>
    <definedName name="US_OUS_Name22" hidden="1">#REF!</definedName>
    <definedName name="uu" hidden="1">{"'SIVA Pricing Model'!$A$1:$F$39"}</definedName>
    <definedName name="Valid_Date">#REF!</definedName>
    <definedName name="VALIDDATA">#REF!</definedName>
    <definedName name="valpDurs">#REF!</definedName>
    <definedName name="valpStarts">#REF!</definedName>
    <definedName name="valShowAct">#REF!</definedName>
    <definedName name="valShowBoth">#REF!</definedName>
    <definedName name="valShowHelp">#REF!</definedName>
    <definedName name="valShowPlan">#REF!</definedName>
    <definedName name="valStart">#REF!</definedName>
    <definedName name="vaT">#REF!</definedName>
    <definedName name="Version" hidden="1">1.45</definedName>
    <definedName name="von">#REF!</definedName>
    <definedName name="VRates_Names">#REF!</definedName>
    <definedName name="VRates_Prem">#REF!</definedName>
    <definedName name="vv" hidden="1">{"'SIVA Pricing Model'!$A$1:$F$39"}</definedName>
    <definedName name="vvv" hidden="1">{"'SIVA Pricing Model'!$A$1:$F$39"}</definedName>
    <definedName name="WBSBYNAME">#REF!</definedName>
    <definedName name="WC">#REF!</definedName>
    <definedName name="WD_Code">#REF!</definedName>
    <definedName name="WD_Code_AK">#REF!</definedName>
    <definedName name="WD_La_Paz_Rate">#REF!</definedName>
    <definedName name="WD_Rate_AK">#REF!</definedName>
    <definedName name="WD_Rates_Rates">'[1]WD Rates'!$C$9:$F$401</definedName>
    <definedName name="WD_Rates_WD_Code">'[1]WD Rates'!$A$9:$A$401</definedName>
    <definedName name="WD_Rates_WD_Number">'[1]WD Rates'!$C$4:$F$4</definedName>
    <definedName name="WD_Rates_WD_Title">'[1]WD Rates'!$B$9:$B$401</definedName>
    <definedName name="WD_Yuma_Rate">#REF!</definedName>
    <definedName name="we" hidden="1">#REF!</definedName>
    <definedName name="WERT" hidden="1">{"PAGE1",#N/A,FALSE,"CPFFMSTR";"PAGE2",#N/A,FALSE,"CPFFMSTR"}</definedName>
    <definedName name="WHtax">#REF!</definedName>
    <definedName name="willie" hidden="1">{#N/A,#N/A,FALSE,"Bakersfield PCs";#N/A,#N/A,FALSE,"Bremer PCs";#N/A,#N/A,FALSE,"Bakersfield Notebooks"}</definedName>
    <definedName name="work_type">#REF!</definedName>
    <definedName name="Working_Area">#REF!</definedName>
    <definedName name="wrn" hidden="1">{"FCB_ALL",#N/A,FALSE,"FCB"}</definedName>
    <definedName name="wrn.1998._.IPO._.Update." hidden="1">{#N/A,#N/A,FALSE,"Summary";#N/A,#N/A,FALSE,"Pending";#N/A,#N/A,FALSE,"Aug'98";#N/A,#N/A,FALSE,"July'98";#N/A,#N/A,FALSE,"June'98";#N/A,#N/A,FALSE,"May'98";#N/A,#N/A,FALSE,"Apr'98";#N/A,#N/A,FALSE,"Mar'98";#N/A,#N/A,FALSE,"Feb'98";#N/A,#N/A,FALSE,"Jan'98"}</definedName>
    <definedName name="wrn.2000._.Package._.GOM." hidden="1">{"2000PPE",#N/A,FALSE,"PPE 2000";"2000DD",#N/A,FALSE,"DrydocksOther"}</definedName>
    <definedName name="wrn.95PROV." hidden="1">{#N/A,#N/A,FALSE,"Taxblinc";#N/A,#N/A,FALSE,"Rsvsacls"}</definedName>
    <definedName name="wrn.96_Finan." hidden="1">{"Finan_96",#N/A,FALSE,"proforma"}</definedName>
    <definedName name="wrn.97_Finan." hidden="1">{"Finan_97",#N/A,FALSE,"proforma"}</definedName>
    <definedName name="wrn.ACC_Cars_125K_Co1." hidden="1">{"ACC_Cars_125K_PA",#N/A,FALSE,"ACC Cars Co1 125K ";"ACC_Cars_125K_Prop",#N/A,FALSE,"ACC Cars Co1 125K "}</definedName>
    <definedName name="wrn.ACC_Cars_400K_Co1." hidden="1">{"ACC_Cars_400K_PA",#N/A,FALSE,"ACC Cars Co1 400K";"ACC_Cars_400K_Prop",#N/A,FALSE,"ACC Cars Co1 400K"}</definedName>
    <definedName name="wrn.ACC_Cars_Travel_125K." hidden="1">{"PAGE1",#N/A,FALSE,"ACC_CARS Travel 125K";"PAGE2",#N/A,FALSE,"ACC_CARS Travel 125K"}</definedName>
    <definedName name="wrn.ACC_CARS_Travel_400K." hidden="1">{"Page1",#N/A,FALSE,"ACC_CARS Travel 400K";"Page2",#N/A,FALSE,"ACC_CARS Travel 400K"}</definedName>
    <definedName name="wrn.Accretion." hidden="1">{"Accretion",#N/A,FALSE,"Assum"}</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all." hidden="1">{#N/A,#N/A,TRUE,"Title_Page";#N/A,#N/A,TRUE,"Tax_Income_Sum";#N/A,#N/A,TRUE,"GL_Mgmt_Rec";#N/A,#N/A,TRUE,"Long_Term_Accrual";#N/A,#N/A,TRUE,"Reserves";#N/A,#N/A,TRUE,"Contributions";#N/A,#N/A,TRUE,"R&amp;D Credit";#N/A,#N/A,TRUE,"Unicap";#N/A,#N/A,TRUE,"Other_Income";#N/A,#N/A,TRUE,"Other_Deduction";#N/A,#N/A,TRUE,"Increase_RE";#N/A,#N/A,TRUE,"Decrease_RE";#N/A,#N/A,TRUE,"Cafe_Subsidy";#N/A,#N/A,TRUE,"Std. Reclass Adjstmnts";#N/A,#N/A,TRUE,"LT Accruals BT-1A";#N/A,#N/A,TRUE,"Sch. M-1 Adjstmnts"}</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Pages." hidden="1">{#N/A,#N/A,FALSE,"Summary";#N/A,#N/A,FALSE,"Fed.State Prov";#N/A,#N/A,FALSE,"Foreign Prov";#N/A,#N/A,FALSE,"Thera Fgrn";#N/A,#N/A,FALSE,"CCD Fgrn";#N/A,#N/A,FALSE,"Biocine Fgrn";#N/A,#N/A,FALSE,"Vision Fgrn";#N/A,#N/A,FALSE,"Frgn vs Dom"}</definedName>
    <definedName name="wrn.all._.print." hidden="1">{#N/A,#N/A,FALSE,"Summary";#N/A,#N/A,FALSE,"Edit";#N/A,#N/A,FALSE,"MedProf";#N/A,#N/A,FALSE,"Proj Mgt";#N/A,#N/A,FALSE,"Creat Svc";#N/A,#N/A,FALSE,"Meet Svc";#N/A,#N/A,FALSE,"Non-OCC";#N/A,#N/A,FALSE,"Client Svc";#N/A,#N/A,FALSE,"Bus Dev";#N/A,#N/A,FALSE,"Indirect"}</definedName>
    <definedName name="wrn.All._.Sheets." hidden="1">{#N/A,#N/A,FALSE,"TOTAL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wrn.All._.Sites." hidden="1">{#N/A,#N/A,FALSE,"Bakersfield PCs";#N/A,#N/A,FALSE,"Bremer PCs";#N/A,#N/A,FALSE,"Bakersfield Notebooks"}</definedName>
    <definedName name="wrn.ALL._.STAFFING." hidden="1">{"STAFFING CHART","STAFFING FOR ALL DISCIPLINES",TRUE,"SUMMARY";"PROJECT STAFFING","STAFFING FOR ALL DISCIPLINES",TRUE,"SUMMARY"}</definedName>
    <definedName name="wrn.All._.Statements." hidden="1">{"Income Statement",#N/A,FALSE,"Income Statement";"Balance Sheet",#N/A,FALSE,"Balance Sheet";"Cash Flow",#N/A,FALSE,"Cash Flow";"Ratios",#N/A,FALSE,"Ratios"}</definedName>
    <definedName name="wrn.ALL_MONTHLY.FS." hidden="1">{"Laconia_BS",#N/A,FALSE,"Laconia";"Laconia_IS",#N/A,FALSE,"Laconia";"Santa_A_BS",#N/A,FALSE,"Santa Ana";"Santa_A_IS",#N/A,FALSE,"Santa Ana";"Singapore_IS",#N/A,FALSE,"Singapore";"Singapore_BS",#N/A,FALSE,"Singapore";"Franklin_IS",#N/A,FALSE,"Franklin";"Franklin_BS",#N/A,FALSE,"Franklin";"Laconia_IS",#N/A,FALSE,"Taiwan";"Taiwan_BS",#N/A,FALSE,"Taiwan";"Canada_BS",#N/A,FALSE,"Canada";"Canada_IS",#N/A,FALSE,"Canada";"Manchester_BS",#N/A,FALSE,"Manchester";"Manchester_IS",#N/A,FALSE,"Manchester";"China_BS",#N/A,FALSE,"China";"China_IS",#N/A,FALSE,"China";"UK_BS",#N/A,FALSE,"UK";"UK_IS",#N/A,FALSE,"UK";"Texas_BS",#N/A,FALSE,"Texas";"Texas_IS",#N/A,FALSE,"Texas"}</definedName>
    <definedName name="wrn.AMTNOL." hidden="1">{#N/A,#N/A,TRUE,"91AMTNOL";#N/A,#N/A,TRUE,"92AMTNOL";#N/A,#N/A,TRUE,"93AMTNOL"}</definedName>
    <definedName name="wrn.April._.Financials." hidden="1">{"Statement of Income",#N/A,TRUE,"Mar99";"Balance Sheet",#N/A,TRUE,"Mar99"}</definedName>
    <definedName name="wrn.Assumptions." hidden="1">{"Assumptions",#N/A,FALSE,"Assum"}</definedName>
    <definedName name="wrn.audit._.adjustments." hidden="1">{#N/A,#N/A,TRUE,"Summary";#N/A,#N/A,TRUE,"Amort.";#N/A,#N/A,TRUE,"93TAX";#N/A,#N/A,TRUE,"93NOLCB";#N/A,#N/A,TRUE,"92TAX";#N/A,#N/A,TRUE,"92NOLCB";#N/A,#N/A,TRUE,"91TAX";#N/A,#N/A,TRUE,"91NOLCB";#N/A,#N/A,TRUE,"92AMTNOL";#N/A,#N/A,TRUE,"921120X"}</definedName>
    <definedName name="wrn.Backup." hidden="1">{#N/A,#N/A,FALSE,"Balance";#N/A,#N/A,FALSE,"TDFX";#N/A,#N/A,FALSE,"TDDDF";#N/A,#N/A,FALSE,"ADI";#N/A,#N/A,FALSE,"CUBE";#N/A,#N/A,FALSE,"DIMD";#N/A,#N/A,FALSE,"ZRAN";#N/A,#N/A,FALSE,"GNMC"}</definedName>
    <definedName name="wrn.Balance._.Sheet." hidden="1">{"Balance Sheet",#N/A,FALSE,"Balance Sheet"}</definedName>
    <definedName name="wrn.Balance._.Sheet._.Qtr._.Workbook." hidden="1">{#N/A,#N/A,FALSE,"Checklist";#N/A,#N/A,FALSE,"Balance Sheet";#N/A,#N/A,FALSE,"COC - Quarterly";#N/A,#N/A,FALSE,"COC - Year-To-Date";#N/A,#N/A,FALSE,"AR Aging";#N/A,#N/A,FALSE,"Other AR";#N/A,#N/A,FALSE,"Fixed Assets";#N/A,#N/A,FALSE,"Inventory_LC";#N/A,#N/A,FALSE,"Inventory_Units";#N/A,#N/A,FALSE,"Income Tax Schedule";#N/A,#N/A,FALSE,"Interco. Detail";#N/A,#N/A,FALSE,"Interco. Summary";#N/A,#N/A,FALSE,"Interco. Sales &amp; GP";#N/A,#N/A,FALSE,"Due dates";#N/A,#N/A,FALSE,"Policies"}</definedName>
    <definedName name="wrn.BARB." hidden="1">{#N/A,#N/A,FALSE,"FAC_RATE.XLS";#N/A,#N/A,FALSE,"TFC";#N/A,#N/A,FALSE,"SETA";#N/A,#N/A,FALSE,"ESC";#N/A,#N/A,FALSE,"MHX.XLS";#N/A,#N/A,FALSE,"DOM_G&amp;A"}</definedName>
    <definedName name="WRN.BARB1" hidden="1">{#N/A,#N/A,FALSE,"FAC_RATE.XLS";#N/A,#N/A,FALSE,"TFC";#N/A,#N/A,FALSE,"SETA";#N/A,#N/A,FALSE,"ESC";#N/A,#N/A,FALSE,"MHX.XLS";#N/A,#N/A,FALSE,"DOM_G&amp;A"}</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Canada_SET." hidden="1">{"Canada_BS",#N/A,FALSE,"Canada";"Canada_IS",#N/A,FALSE,"Canada"}</definedName>
    <definedName name="wrn.Cash._.Flow." hidden="1">{"Cash Flow",#N/A,FALSE,"Cash Flow"}</definedName>
    <definedName name="wrn.CCB_JDISS." hidden="1">{"Pre_CCB",#N/A,FALSE,"Pre CCB Pkg ";"CCB_Memb_Notbk",#N/A,FALSE,"CCB_Memb_Notebk";"CCB_Handouts",#N/A,FALSE,"Handouts";"JDISS_Brochure",#N/A,FALSE,"JDISS_Brochure";"JDISS_Minutes",#N/A,FALSE,"JDISS_Minutes";"Total_JDISS",#N/A,FALSE,"Total JDISS"}</definedName>
    <definedName name="wrn.CHART." hidden="1">{"CHART",#N/A,FALSE,"Arch Communications"}</definedName>
    <definedName name="wrn.chart._.1998" hidden="1">{#N/A,#N/A,FALSE,"Summary";#N/A,#N/A,FALSE,"Pending";#N/A,#N/A,FALSE,"Jan'98";#N/A,#N/A,FALSE,"Feb'98";#N/A,#N/A,FALSE,"Mar'98";#N/A,#N/A,FALSE,"Apr'98";#N/A,#N/A,FALSE,"May'98";#N/A,#N/A,FALSE,"June'98";#N/A,#N/A,FALSE,"July'98"}</definedName>
    <definedName name="wrn.CHINA_SET." hidden="1">{"China_BS",#N/A,FALSE,"China";"China_IS",#N/A,FALSE,"China"}</definedName>
    <definedName name="wrn.Chiron._.IRS._.Audit." hidden="1">{#N/A,#N/A,FALSE,"Summary";#N/A,#N/A,FALSE,"1991";#N/A,#N/A,FALSE,"91 AMT";#N/A,#N/A,FALSE,"1992";#N/A,#N/A,FALSE,"92 AMT";#N/A,#N/A,FALSE,"1993";#N/A,#N/A,FALSE,"93 AMT"}</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mmercial._.profit." hidden="1">{"commercial profit",#N/A,FALSE,"GA97"}</definedName>
    <definedName name="wrn.commercial._.rate._.calculation." hidden="1">{"commercial rate calculation",#N/A,FALSE,"GA97"}</definedName>
    <definedName name="wrn.Comp._.and._.Prices." hidden="1">{#N/A,#N/A,FALSE,"comp";#N/A,#N/A,FALSE,"Alpha";#N/A,#N/A,FALSE,"Hi";#N/A,#N/A,FALSE,"Lo";#N/A,#N/A,FALSE,"Mkt. Cap";#N/A,#N/A,FALSE,"Categ."}</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idated." hidden="1">{#N/A,#N/A,FALSE,"Cover";#N/A,#N/A,FALSE,"Key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top." hidden="1">{"ReportTop",#N/A,FALSE,"report top"}</definedName>
    <definedName name="wrn.COURSEWARE._.SHELL." hidden="1">{#N/A,#N/A,TRUE,"SUMMARY";#N/A,#N/A,TRUE,"FORMULAS";#N/A,#N/A,TRUE,"LSNLST";#N/A,#N/A,TRUE,"PANELS";#N/A,#N/A,TRUE,"PHIII"}</definedName>
    <definedName name="wrn.Daily." hidden="1">{#N/A,#N/A,FALSE,"Input";#N/A,#N/A,FALSE,"BBC";#N/A,#N/A,FALSE,"Sch A";#N/A,#N/A,FALSE,"Sch B";#N/A,#N/A,FALSE,"Ineligible"}</definedName>
    <definedName name="wrn.dcf." hidden="1">{"mgmt forecast",#N/A,FALSE,"Mgmt Forecast";"dcf table",#N/A,FALSE,"Mgmt Forecast";"sensitivity",#N/A,FALSE,"Mgmt Forecast";"table inputs",#N/A,FALSE,"Mgmt Forecast";"calculations",#N/A,FALSE,"Mgmt Forecast"}</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epreciation." hidden="1">{"DE_asfiled",#N/A,TRUE,"Amort.";"IRS_addl",#N/A,TRUE,"Amort."}</definedName>
    <definedName name="wrn.Dilution." hidden="1">{#N/A,#N/A,FALSE,"FY 1997 (NR)";#N/A,#N/A,FALSE,"FY 1998 (NR)";#N/A,#N/A,FALSE,"Balance";#N/A,#N/A,FALSE,"Matrix (NR)"}</definedName>
    <definedName name="wrn.divisional._.overhead._.entry." hidden="1">{#N/A,#N/A,FALSE,"GA97"}</definedName>
    <definedName name="wrn.Dolan_Co1." hidden="1">{"DolanCo1_PA",#N/A,FALSE,"Tina Dolan";"DolanCo1_Prop",#N/A,FALSE,"Tina Dolan"}</definedName>
    <definedName name="wrn.DRAFTING._.STAFFING." hidden="1">{"STAFFING CHART","STAFFING FOR DRAFTING",TRUE,"SUMMARY";"PROJECT STAFFING","STAFFING FOR DRAFTING",TRUE,"SUMMARY"}</definedName>
    <definedName name="wrn.Ebron_350K." hidden="1">{"Prop_350K",#N/A,FALSE,"Ebron-350K";"PA_350K",#N/A,FALSE,"Ebron-350K";"Ebron350KTrvl",#N/A,FALSE,"Ebrons Travel 350k"}</definedName>
    <definedName name="wrn.Ebron_Co1." hidden="1">{"EbronCo1_PA",#N/A,FALSE,"Ebrons Task Co1";"EbronCo1_Prop",#N/A,FALSE,"Ebrons Task Co1";"Ebron316KTrvl",#N/A,FALSE,"Ebrons Travel 316k"}</definedName>
    <definedName name="wrn.Ebron_Co5." hidden="1">{"EbronCo5_PA",#N/A,FALSE,"Ebrons Task Co5";"EbronCo5_Prop",#N/A,FALSE,"Ebrons Task Co5"}</definedName>
    <definedName name="wrn.ED." hidden="1">{"FAC_RATE",#N/A,FALSE,"FAC_RATE.XLS";#N/A,#N/A,FALSE,"SETA";#N/A,#N/A,FALSE,"SSC_SPA";#N/A,#N/A,FALSE,"SSC_NEMA";#N/A,#N/A,FALSE,"MHX.XLS";#N/A,#N/A,FALSE,"DOM_G&amp;A"}</definedName>
    <definedName name="WRN.ED2" hidden="1">{"FAC_RATE",#N/A,FALSE,"FAC_RATE.XLS";#N/A,#N/A,FALSE,"SETA";#N/A,#N/A,FALSE,"SSC_SPA";#N/A,#N/A,FALSE,"SSC_NEMA";#N/A,#N/A,FALSE,"MHX.XLS";#N/A,#N/A,FALSE,"DOM_G&amp;A"}</definedName>
    <definedName name="wrn.ENGINEERING._.STAFFING." hidden="1">{"STAFFING CHART","STAFFING FOR ENGINEERING",TRUE,"SUMMARY";"PROJECT STAFFING","STAFFING FOR ENGINEERING",TRUE,"SUMMARY"}</definedName>
    <definedName name="wrn.fcb" hidden="1">{"FCB_ALL",#N/A,FALSE,"FCB"}</definedName>
    <definedName name="wrn.FCB." hidden="1">{"FCB_ALL",#N/A,FALSE,"FCB"}</definedName>
    <definedName name="wrn.fcb2" hidden="1">{"FCB_ALL",#N/A,FALSE,"FCB"}</definedName>
    <definedName name="wrn.FERN." hidden="1">{#N/A,#N/A,FALSE,"FAC_RATE.XLS";#N/A,#N/A,FALSE,"ISC";#N/A,#N/A,FALSE,"SETA";#N/A,#N/A,FALSE,"MHX.XLS";#N/A,#N/A,FALSE,"DOM_G&amp;A"}</definedName>
    <definedName name="WRN.FERN2" hidden="1">{#N/A,#N/A,FALSE,"FAC_RATE.XLS";#N/A,#N/A,FALSE,"ISC";#N/A,#N/A,FALSE,"SETA";#N/A,#N/A,FALSE,"MHX.XLS";#N/A,#N/A,FALSE,"DOM_G&amp;A"}</definedName>
    <definedName name="wrn.Financials." hidden="1">{#N/A,#N/A,FALSE,"1996 Monthly Detail";#N/A,#N/A,FALSE,"1996 CashFlow";#N/A,#N/A,FALSE,"PNL By Dept";#N/A,#N/A,FALSE,"1997 Quarterly Detail";#N/A,#N/A,FALSE,"1998 Quarterly Detail";#N/A,#N/A,FALSE,"1997 Cash Flow";#N/A,#N/A,FALSE,"1998 Cash Flow"}</definedName>
    <definedName name="wrn.Followon._.1998" hidden="1">{#N/A,#N/A,FALSE,"Summary";#N/A,#N/A,FALSE,"Pending";#N/A,#N/A,FALSE,"Jan'98";#N/A,#N/A,FALSE,"Feb'98";#N/A,#N/A,FALSE,"Mar'98";#N/A,#N/A,FALSE,"Apr'98";#N/A,#N/A,FALSE,"May'98";#N/A,#N/A,FALSE,"June'98";#N/A,#N/A,FALSE,"July'98"}</definedName>
    <definedName name="wrn.formulas." hidden="1">{"formulas",#N/A,FALSE,"Key Indicators"}</definedName>
    <definedName name="wrn.Franklin_Set." hidden="1">{"Franklin_BS",#N/A,FALSE,"Franklin";"Franklin_IS",#N/A,FALSE,"Franklin"}</definedName>
    <definedName name="wrn.Freq_Res." hidden="1">{#N/A,#N/A,TRUE,"FR_HC";#N/A,#N/A,TRUE,"FR_REST";#N/A,#N/A,TRUE,"FR_RETA";#N/A,#N/A,TRUE,"FR_TECSOF";#N/A,#N/A,TRUE,"FR_NETTEC";#N/A,#N/A,TRUE,"FR_CLISER"}</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G._.A._.expense._.entry." hidden="1">{"G A expense entry",#N/A,FALSE,"GA97"}</definedName>
    <definedName name="wrn.government._.rate._.calculation." hidden="1">{"government rate calculation",#N/A,FALSE,"GA97"}</definedName>
    <definedName name="wrn.Growth." hidden="1">{#N/A,#N/A,FALSE,"Rev Grwth";#N/A,#N/A,FALSE,"Op Inc Grwth";#N/A,#N/A,FALSE,"Net Grwth";#N/A,#N/A,FALSE,"EPS Growth"}</definedName>
    <definedName name="wrn.gth." hidden="1">{#N/A,#N/A,FALSE,"Title Page";#N/A,#N/A,FALSE,"Summary Sheet"}</definedName>
    <definedName name="wrn.Heads_96." hidden="1">{"heads_96",#N/A,FALSE,"proforma"}</definedName>
    <definedName name="wrn.heads_97." hidden="1">{"heads_97",#N/A,FALSE,"proforma"}</definedName>
    <definedName name="wrn.hs_sum." hidden="1">{#N/A,#N/A,FALSE,"MEMO";#N/A,#N/A,FALSE,"ISSUES"}</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ncome._.Statement." hidden="1">{"Income Statement",#N/A,FALSE,"Income Statement"}</definedName>
    <definedName name="wrn.INVOICE." hidden="1">{"SF1034",#N/A,FALSE,"SF1034";"PAGE1",#N/A,FALSE,"SF1035-CO1-PG1";"PAGE2",#N/A,FALSE,"SF1035-CO1-PG2"}</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hidden="1">{#N/A,#N/A,FALSE,"Summary";#N/A,#N/A,FALSE,"Pending";#N/A,#N/A,FALSE,"Jan'98";#N/A,#N/A,FALSE,"Feb'98";#N/A,#N/A,FALSE,"Mar'98";#N/A,#N/A,FALSE,"Apr'98";#N/A,#N/A,FALSE,"May'98";#N/A,#N/A,FALSE,"June'98";#N/A,#N/A,FALSE,"July'98"}</definedName>
    <definedName name="wrn.IPO._.Analysis." hidden="1">{#N/A,#N/A,FALSE,"Summary";#N/A,#N/A,FALSE,"Pending";#N/A,#N/A,FALSE,"Oct'97";#N/A,#N/A,FALSE,"Sept'97";#N/A,#N/A,FALSE,"Aug'97";#N/A,#N/A,FALSE,"Jul'97";#N/A,#N/A,FALSE,"Jun'97";#N/A,#N/A,FALSE,"May'97";#N/A,#N/A,FALSE,"Apr'97";#N/A,#N/A,FALSE,"Mar'97";#N/A,#N/A,FALSE,"Feb'97";#N/A,#N/A,FALSE,"Jan'97"}</definedName>
    <definedName name="wrn.IVTI_Rep." hidden="1">{#N/A,#N/A,FALSE,"Title Page";#N/A,#N/A,FALSE,"Summary Sheet";#N/A,#N/A,FALSE,"Fiscal Year Income Statement";#N/A,#N/A,FALSE,"Valuation Summary";#N/A,#N/A,FALSE,"Comps with IVT";#N/A,#N/A,FALSE,"Comps without IVT"}</definedName>
    <definedName name="wrn.JANI._.REBATES." hidden="1">{"TOTAL",#N/A,FALSE,"A";"FISCAL94",#N/A,FALSE,"A";"FISCAL95",#N/A,FALSE,"A";"FISCAL96",#N/A,FALSE,"A";"misc page",#N/A,FALSE,"A"}</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DISS_Co1." hidden="1">{"JDISS_Co1",#N/A,FALSE,"JDISS_Co1";"JDISSCo1_PA",#N/A,FALSE,"JDISS_Co1"}</definedName>
    <definedName name="wrn.JODM._.Graphs." hidden="1">{"graph",#N/A,FALSE,"WWJU";"graph",#N/A,FALSE,"WWSEM";"graph",#N/A,FALSE,"GOMJU";"graph",#N/A,FALSE,"GOMSEM";"graph",#N/A,FALSE,"NSJU";"graph",#N/A,FALSE,"NSSEM";"graph",#N/A,FALSE,"WAJU";"graph",#N/A,FALSE,"STOCKPRI";"graph",#N/A,FALSE,"CFTEV";"graph",#N/A,FALSE,"NAV-RCV";"graph",#N/A,FALSE,"CRUDEWW"}</definedName>
    <definedName name="wrn.Just._.Sorts." hidden="1">{#N/A,#N/A,FALSE,"Hi";#N/A,#N/A,FALSE,"Lo";#N/A,#N/A,FALSE,"Mkt. Cap";#N/A,#N/A,FALSE,"Alpha"}</definedName>
    <definedName name="wrn.Laconia_SET." hidden="1">{"Laconia_BS",#N/A,FALSE,"Laconia";"Laconia_IS",#N/A,FALSE,"Laconia"}</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n._.Loading._.Sheet." hidden="1">{#N/A,#N/A,FALSE,"ManLoading"}</definedName>
    <definedName name="wrn.MANAGEMENT._.STAFFING." hidden="1">{"STAFFING CHART","STAFFING FOR MANAGEMENT",TRUE,"SUMMARY";"PROJECT STAFFING","STAFFING FOR MANAGEMENT",TRUE,"SUMMARY"}</definedName>
    <definedName name="wrn.Manchester_SET." hidden="1">{"Manchester_BS",#N/A,FALSE,"Manchester";"Manchester_IS",#N/A,FALSE,"Manchester"}</definedName>
    <definedName name="wrn.MARC." hidden="1">{#N/A,#N/A,FALSE,"FAC_RATE.XLS";#N/A,#N/A,FALSE,"EIA";#N/A,#N/A,FALSE,"FCC";#N/A,#N/A,FALSE,"SETA";#N/A,#N/A,FALSE,"MHX.XLS";#N/A,#N/A,FALSE,"DOM_G&amp;A"}</definedName>
    <definedName name="wrn.marc1." hidden="1">{#N/A,#N/A,FALSE,"FAC_RATE.XLS";#N/A,#N/A,FALSE,"EIA";#N/A,#N/A,FALSE,"FCC";#N/A,#N/A,FALSE,"SETA";#N/A,#N/A,FALSE,"MHX.XLS";#N/A,#N/A,FALSE,"DOM_G&amp;A"}</definedName>
    <definedName name="WRN.MARC2" hidden="1">{#N/A,#N/A,FALSE,"FAC_RATE.XLS";#N/A,#N/A,FALSE,"EIA";#N/A,#N/A,FALSE,"FCC";#N/A,#N/A,FALSE,"SETA";#N/A,#N/A,FALSE,"MHX.XLS";#N/A,#N/A,FALSE,"DOM_G&amp;A"}</definedName>
    <definedName name="wrn.March._.Financials." hidden="1">{"Statement of Income",#N/A,TRUE,"Mar99";"Balance Sheet",#N/A,TRUE,"Mar99"}</definedName>
    <definedName name="wrn.Margins." hidden="1">{#N/A,#N/A,FALSE,"Margins - GrossR&amp;D";#N/A,#N/A,FALSE,"Margins - sg&amp;a";#N/A,#N/A,FALSE,"Margins - Oper-net"}</definedName>
    <definedName name="wrn.Merger." hidden="1">{#N/A,#N/A,FALSE,"Overview";#N/A,#N/A,FALSE,"Summary";#N/A,#N/A,FALSE,"Unph Hist";#N/A,#N/A,FALSE,"Combination";#N/A,#N/A,FALSE,"IOC Proj Base";#N/A,#N/A,FALSE,"Bal";#N/A,#N/A,FALSE,"IOC Bal";#N/A,#N/A,FALSE,"IOC CF";#N/A,#N/A,FALSE,"UNPH Proj"}</definedName>
    <definedName name="wrn.N.O.L.." hidden="1">{#N/A,#N/A,FALSE,"91NOLCB";#N/A,#N/A,FALSE,"92NOLCB";#N/A,#N/A,FALSE,"93NOLCB"}</definedName>
    <definedName name="wrn.NONREC." hidden="1">{"NONREC",#N/A,FALSE,"ESTIMATE"}</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earson_Co1." hidden="1">{"PearsonCo1_Prop",#N/A,FALSE,"Pearsons Task Co1";"PearsonCo1_PA",#N/A,FALSE,"Pearsons Task Co1"}</definedName>
    <definedName name="wrn.Pearson_Co5." hidden="1">{"PearsonCo5_Prop",#N/A,FALSE,"Pearsons Task Co5";"PearsonCo5_PA",#N/A,FALSE,"Pearsons Task Co5"}</definedName>
    <definedName name="wrn.PETE." hidden="1">{#N/A,#N/A,FALSE,"FAC_RATE.XLS";#N/A,#N/A,FALSE,"TFC";#N/A,#N/A,FALSE,"ISC";#N/A,#N/A,FALSE,"ESC";#N/A,#N/A,FALSE,"EIA";#N/A,#N/A,FALSE,"FCC";#N/A,#N/A,FALSE,"SETA";#N/A,#N/A,FALSE,"MSC";#N/A,#N/A,FALSE,"SSC_SPA";#N/A,#N/A,FALSE,"SSC_NEMA";#N/A,#N/A,FALSE,"MHX.XLS";#N/A,#N/A,FALSE,"DOM_G&amp;A"}</definedName>
    <definedName name="WRN.PETE2" hidden="1">{#N/A,#N/A,FALSE,"FAC_RATE.XLS";#N/A,#N/A,FALSE,"TFC";#N/A,#N/A,FALSE,"ISC";#N/A,#N/A,FALSE,"ESC";#N/A,#N/A,FALSE,"EIA";#N/A,#N/A,FALSE,"FCC";#N/A,#N/A,FALSE,"SETA";#N/A,#N/A,FALSE,"MSC";#N/A,#N/A,FALSE,"SSC_SPA";#N/A,#N/A,FALSE,"SSC_NEMA";#N/A,#N/A,FALSE,"MHX.XLS";#N/A,#N/A,FALSE,"DOM_G&amp;A"}</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ce." hidden="1">{"PAGE1",#N/A,FALSE,"CPFFMSTR";"PAGE2",#N/A,FALSE,"CPFFMSTR"}</definedName>
    <definedName name="wrn.print." hidden="1">{#N/A,#N/A,TRUE,"MONTHLY PROJECTIONS";#N/A,#N/A,TRUE,"ANNUAL FINANCIALS";#N/A,#N/A,TRUE,"REVENUES AND GROSS PROFIT";#N/A,#N/A,TRUE,"PROJECTED OVERHEAD"}</definedName>
    <definedName name="wrn.PRINT._.ALL." hidden="1">{"ORIG",#N/A,FALSE,"Sheet1";"GOVT LABOR",#N/A,FALSE,"Sheet1";"INT LABOR",#N/A,FALSE,"Sheet1"}</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ojected._.revenue." hidden="1">{"projected revenue",#N/A,FALSE,"GA97"}</definedName>
    <definedName name="wrn.PY1." hidden="1">{#N/A,#N/A,TRUE,"PY1, PY2, PY3, &amp; PY4"}</definedName>
    <definedName name="wrn.Ratios." hidden="1">{"Ratios",#N/A,FALSE,"Ratios"}</definedName>
    <definedName name="wrn.REC." hidden="1">{"REC",#N/A,FALSE,"ESTIMATE"}</definedName>
    <definedName name="wrn.Report." hidden="1">{#N/A,#N/A,TRUE,"Status Report";#N/A,#N/A,TRUE,"Current Forecast";#N/A,#N/A,TRUE,"Last Forecast";#N/A,#N/A,TRUE,"BP";#N/A,#N/A,TRUE,"LY"}</definedName>
    <definedName name="wrn.Report1." hidden="1">{#N/A,#N/A,FALSE,"IS";#N/A,#N/A,FALSE,"BS";#N/A,#N/A,FALSE,"CF";#N/A,#N/A,FALSE,"CE";#N/A,#N/A,FALSE,"Depr";#N/A,#N/A,FALSE,"APAL"}</definedName>
    <definedName name="wrn.Roll._.Up._.Fields." hidden="1">{"Total",#N/A,FALSE,"Six Fields";"PDP",#N/A,FALSE,"Six Fields";"PNP",#N/A,FALSE,"Six Fields";"PUD",#N/A,FALSE,"Six Fields";"Prob",#N/A,FALSE,"Six Fields"}</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nta_A_SET." hidden="1">{"Santa_A_BS",#N/A,FALSE,"Santa Ana";"Santa_A_IS",#N/A,FALSE,"Santa Ana"}</definedName>
    <definedName name="wrn.SCOTT." hidden="1">{#N/A,#N/A,FALSE,"FAC_RATE.XLS";#N/A,#N/A,FALSE,"SETA";#N/A,#N/A,FALSE,"MSC";#N/A,#N/A,FALSE,"MHX.XLS"}</definedName>
    <definedName name="WRN.SCOTT2" hidden="1">{#N/A,#N/A,FALSE,"FAC_RATE.XLS";#N/A,#N/A,FALSE,"SETA";#N/A,#N/A,FALSE,"MSC";#N/A,#N/A,FALSE,"MHX.XLS"}</definedName>
    <definedName name="wrn.Seal._.Team._.J6." hidden="1">{"Seal Team J6 Sum",#N/A,FALSE,"Seal Team Summary";"Seal Team J6",#N/A,FALSE,"Seal Team ";"Seal Team ODC J6",#N/A,FALSE,"Seal Team ODCs";"Seal Team Trvl J6",#N/A,FALSE," Seal Team Trvl"}</definedName>
    <definedName name="wrn.SemiCap." hidden="1">{#N/A,#N/A,FALSE,"from high";#N/A,#N/A,FALSE,"from low";#N/A,#N/A,FALSE,"Market Cap";#N/A,#N/A,FALSE,"Alpha"}</definedName>
    <definedName name="wrn.Set." hidden="1">{#N/A,#N/A,FALSE,"High";#N/A,#N/A,FALSE,"Low";#N/A,#N/A,FALSE,"MarketCap";#N/A,#N/A,FALSE,"Alpha"}</definedName>
    <definedName name="wrn.Sheet1.Shhet8." hidden="1">{#N/A,#N/A,FALSE,"Sheet1"}</definedName>
    <definedName name="wrn.Singapore_SET." hidden="1">{"Singapore_BS",#N/A,FALSE,"Singapore";"Singapore_IS",#N/A,FALSE,"Singapore"}</definedName>
    <definedName name="wrn.Staffing."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ND_ALONE_BOTH." hidden="1">{"FCB_ALL",#N/A,FALSE,"FCB";"GREY_ALL",#N/A,FALSE,"GREY"}</definedName>
    <definedName name="wrn.Structure." hidden="1">{#N/A,#N/A,FALSE,"Structure";#N/A,#N/A,FALSE,"Proj-Cal";#N/A,#N/A,FALSE,"Market"}</definedName>
    <definedName name="wrn.SUMMARY." hidden="1">{"BS",#N/A,FALSE,"USA"}</definedName>
    <definedName name="wrn.Taiwan_SET." hidden="1">{"Taiwan_BS",#N/A,FALSE,"Taiwan";"Taiwan_IS",#N/A,FALSE,"Taiwan"}</definedName>
    <definedName name="wrn.TAMSCO._.STAFFING." hidden="1">{"STAFFING CHART","STAFFING FOR TAMSCO",TRUE,"SUMMARY";"PROJECT STAFFING","STAFFING FOR TAMSCO",TRUE,"SUMMARY"}</definedName>
    <definedName name="wrn.TECHNICIAN._.STAFFING." hidden="1">{"STAFFING CHART","STAFFING FOR TECHNICIANS",TRUE,"SUMMARY";"PROJECT STAFFING","STAFFING FOR TECHNICIANS",TRUE,"SUMMARY"}</definedName>
    <definedName name="wrn.TEST." hidden="1">{#N/A,#N/A,FALSE,"96SALAR2"}</definedName>
    <definedName name="wrn.TEXAS_SET." hidden="1">{"Texas_BS",#N/A,FALSE,"Texas";"Texas_IS",#N/A,FALSE,"Texas"}</definedName>
    <definedName name="wrn.TheWholeEnchilada." hidden="1">{"CSheet",#N/A,FALSE,"C";"SmCap",#N/A,FALSE,"VAL1";"GulfCoast",#N/A,FALSE,"VAL1";"nav",#N/A,FALSE,"NAV";"Summary",#N/A,FALSE,"NAV"}</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ranslation._.adjustment." hidden="1">{"Translation adjustment",#N/A,FALSE,"Sheet1"}</definedName>
    <definedName name="wrn.Trend._.Reports." hidden="1">{#N/A,#N/A,FALSE,"IncStmt_Trend_SmallFormat";#N/A,#N/A,FALSE,"Retail";#N/A,#N/A,FALSE,"AdminExcRest"}</definedName>
    <definedName name="wrn.UK_SET." hidden="1">{"UK_IS",#N/A,FALSE,"UK";"UK_BS",#N/A,FALSE,"UK"}</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ENDOR." hidden="1">{"VENDOR",#N/A,FALSE,"ESTIMATE"}</definedName>
    <definedName name="wrn.מאזן_בוחן_כללי." hidden="1">{#N/A,#N/A,FALSE,"מאזן בוחן";"כל_מאזן_בוחן",#N/A,FALSE,"מאזן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회의0104.XLS." hidden="1">{#N/A,#N/A,TRUE,"매출진척-1";#N/A,#N/A,TRUE,"매출진척-2";#N/A,#N/A,TRUE,"제품실적";#N/A,#N/A,TRUE,"RAC";#N/A,#N/A,TRUE,"PAC ";#N/A,#N/A,TRUE,"재고현황";#N/A,#N/A,TRUE,"공지사항"}</definedName>
    <definedName name="wrn1.price." hidden="1">{"PAGE1",#N/A,FALSE,"CPFFMSTR";"PAGE2",#N/A,FALSE,"CPFFMSTR"}</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{"'SIVA Pricing Model'!$A$1:$F$39"}</definedName>
    <definedName name="Wwpl_Corp_Grp_Code16" hidden="1">#REF!</definedName>
    <definedName name="x" hidden="1">#REF!</definedName>
    <definedName name="XFDTGH" hidden="1">{"PAGE1",#N/A,FALSE,"CPFFMSTR";"PAGE2",#N/A,FALSE,"CPFFMSTR"}</definedName>
    <definedName name="XGH" hidden="1">{"PAGE1",#N/A,FALSE,"CPFFMSTR";"PAGE2",#N/A,FALSE,"CPFFMSTR"}</definedName>
    <definedName name="XGHXF" hidden="1">{"PAGE1",#N/A,FALSE,"CPFFMSTR";"PAGE2",#N/A,FALSE,"CPFFMSTR"}</definedName>
    <definedName name="xjey1" hidden="1">#REF!</definedName>
    <definedName name="XLDW_UID" hidden="1">"us318357"</definedName>
    <definedName name="XLDW_VER" hidden="1">"Office 2000 2.0 with Query Builder"</definedName>
    <definedName name="XLIA_GLTransaction_Temp1" hidden="1">#REF!</definedName>
    <definedName name="XLIA_GLTransaction_Temp2" hidden="1">#REF!</definedName>
    <definedName name="XLIA_GLTransaction_Temp3" hidden="1">#REF!</definedName>
    <definedName name="XLIA_GLTransaction_Temp4" hidden="1">#REF!</definedName>
    <definedName name="XLIA_GLTransaction_Temp5" hidden="1">#REF!</definedName>
    <definedName name="XREF_COLUMN_1" hidden="1">#REF!</definedName>
    <definedName name="XREF_COLUMN_10" hidden="1">#REF!</definedName>
    <definedName name="XREF_COLUMN_11" hidden="1">#REF!</definedName>
    <definedName name="XREF_COLUMN_13" hidden="1">#REF!</definedName>
    <definedName name="XREF_COLUMN_14"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ActiveRow" hidden="1">#REF!</definedName>
    <definedName name="XRefColumnsCount" hidden="1">4</definedName>
    <definedName name="XRefCopy10Row" hidden="1">#REF!</definedName>
    <definedName name="XRefCopy11Row" hidden="1">#REF!</definedName>
    <definedName name="XRefCopy12Row" hidden="1">#REF!</definedName>
    <definedName name="XRefCopy13Row"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0" hidden="1">#REF!</definedName>
    <definedName name="XRefCopy20Row" hidden="1">#REF!</definedName>
    <definedName name="XRefCopy21" hidden="1">#REF!</definedName>
    <definedName name="XRefCopy21Row"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7" hidden="1">#REF!</definedName>
    <definedName name="XRefCopy28" hidden="1">#REF!</definedName>
    <definedName name="XRefCopy29" hidden="1">#REF!</definedName>
    <definedName name="XRefCopy3" hidden="1">#REF!</definedName>
    <definedName name="XRefCopy32" hidden="1">#REF!</definedName>
    <definedName name="XRefCopy32Row" hidden="1">#REF!</definedName>
    <definedName name="XRefCopy33" hidden="1">#REF!</definedName>
    <definedName name="XRefCopy37"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4" hidden="1">#REF!</definedName>
    <definedName name="XRefCopy44Row" hidden="1">#REF!</definedName>
    <definedName name="XRefCopy45" hidden="1">#REF!</definedName>
    <definedName name="XRefCopy46" hidden="1">#REF!</definedName>
    <definedName name="XRefCopy47" hidden="1">#REF!</definedName>
    <definedName name="XRefCopy48" hidden="1">#REF!</definedName>
    <definedName name="XRefCopy48Row" hidden="1">#REF!</definedName>
    <definedName name="XRefCopy49" hidden="1">#REF!</definedName>
    <definedName name="XRefCopy4Row" hidden="1">#REF!</definedName>
    <definedName name="XRefCopy5" hidden="1">#REF!</definedName>
    <definedName name="XRefCopy50" hidden="1">#REF!</definedName>
    <definedName name="XRefCopy51"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Row" hidden="1">#REF!</definedName>
    <definedName name="XRefCopyRangeCount" hidden="1">8</definedName>
    <definedName name="XRefPaste1" hidden="1">#REF!</definedName>
    <definedName name="XRefPaste10Row" hidden="1">#REF!</definedName>
    <definedName name="XRefPaste11Row" hidden="1">#REF!</definedName>
    <definedName name="XRefPaste12Row" hidden="1">#REF!</definedName>
    <definedName name="XRefPaste13Row" hidden="1">#REF!</definedName>
    <definedName name="XRefPaste14" hidden="1">#REF!</definedName>
    <definedName name="XRefPaste14Row" hidden="1">#REF!</definedName>
    <definedName name="XRefPaste15Row" hidden="1">#REF!</definedName>
    <definedName name="XRefPaste18" hidden="1">#REF!</definedName>
    <definedName name="XRefPaste1Row" hidden="1">#REF!</definedName>
    <definedName name="XRefPaste2" hidden="1">#REF!</definedName>
    <definedName name="XRefPaste21" hidden="1">#REF!</definedName>
    <definedName name="XRefPaste22" hidden="1">#REF!</definedName>
    <definedName name="XRefPaste23" hidden="1">#REF!</definedName>
    <definedName name="XRefPaste25" hidden="1">#REF!</definedName>
    <definedName name="XRefPaste27" hidden="1">#REF!</definedName>
    <definedName name="XRefPaste28" hidden="1">#REF!</definedName>
    <definedName name="XRefPaste29" hidden="1">#REF!</definedName>
    <definedName name="XRefPaste2Row" hidden="1">#REF!</definedName>
    <definedName name="XRefPaste30" hidden="1">#REF!</definedName>
    <definedName name="XRefPaste32" hidden="1">#REF!</definedName>
    <definedName name="XRefPaste32Row" hidden="1">#REF!</definedName>
    <definedName name="XRefPaste33" hidden="1">#REF!</definedName>
    <definedName name="XRefPaste34" hidden="1">#REF!</definedName>
    <definedName name="XRefPaste35"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40" hidden="1">#REF!</definedName>
    <definedName name="XRefPaste40Row" hidden="1">#REF!</definedName>
    <definedName name="XRefPaste6Row" hidden="1">#REF!</definedName>
    <definedName name="XRefPaste7Row" hidden="1">#REF!</definedName>
    <definedName name="XRefPaste8Row" hidden="1">#REF!</definedName>
    <definedName name="XRefPaste9" hidden="1">#REF!</definedName>
    <definedName name="XRefPaste9Row" hidden="1">#REF!</definedName>
    <definedName name="XRefPasteRangeCount" hidden="1">2</definedName>
    <definedName name="xsort2" hidden="1">#REF!</definedName>
    <definedName name="xvcb" hidden="1">{"PAGE1",#N/A,FALSE,"CPFFMSTR";"PAGE2",#N/A,FALSE,"CPFFMSTR"}</definedName>
    <definedName name="xx" hidden="1">{"'SIVA Pricing Model'!$A$1:$F$39"}</definedName>
    <definedName name="xxx" hidden="1">{"'SIVA Pricing Model'!$A$1:$F$39"}</definedName>
    <definedName name="xxx1" hidden="1">{"ACC_Cars_400K_PA",#N/A,FALSE,"ACC Cars Co1 400K";"ACC_Cars_400K_Prop",#N/A,FALSE,"ACC Cars Co1 400K"}</definedName>
    <definedName name="xxxx" hidden="1">{"'SIVA Pricing Model'!$A$1:$F$39"}</definedName>
    <definedName name="xyz" hidden="1">{#N/A,#N/A,TRUE,"Total";#N/A,#N/A,TRUE,"U.S. Devl.";#N/A,#N/A,TRUE,"U.S. Headcount"}</definedName>
    <definedName name="y">{"Client Name or Project Name"}</definedName>
    <definedName name="Year1lbr">#REF!</definedName>
    <definedName name="Year2LBR">#REF!</definedName>
    <definedName name="Year3LBR">#REF!</definedName>
    <definedName name="Year4LBR">#REF!</definedName>
    <definedName name="Year5LBR">#REF!</definedName>
    <definedName name="YEIndex">#REF!</definedName>
    <definedName name="yes" hidden="1">{#N/A,#N/A,FALSE,"Admin";#N/A,#N/A,FALSE,"Other"}</definedName>
    <definedName name="Yes_No">#REF!</definedName>
    <definedName name="yh">#REF!</definedName>
    <definedName name="YN">#REF!</definedName>
    <definedName name="YR0">#REF!</definedName>
    <definedName name="YR0C">#REF!</definedName>
    <definedName name="YR10C">#REF!</definedName>
    <definedName name="YR11C">#REF!</definedName>
    <definedName name="YR12C">#REF!</definedName>
    <definedName name="YR1C">#REF!</definedName>
    <definedName name="YR2C">#REF!</definedName>
    <definedName name="YR3C">#REF!</definedName>
    <definedName name="YR4C">#REF!</definedName>
    <definedName name="YR5C">#REF!</definedName>
    <definedName name="YR6C">#REF!</definedName>
    <definedName name="YR7C">#REF!</definedName>
    <definedName name="YR8C">#REF!</definedName>
    <definedName name="YR9C">#REF!</definedName>
    <definedName name="yrj" hidden="1">#REF!</definedName>
    <definedName name="Ytd_Actv_Amt17" hidden="1">#REF!</definedName>
    <definedName name="Ytd_Actv_Amt19" hidden="1">#REF!</definedName>
    <definedName name="Ytd_Actv_Amt20" hidden="1">#REF!</definedName>
    <definedName name="Ytd_Actv_Amt21" hidden="1">#REF!</definedName>
    <definedName name="YTDFF">#REF!</definedName>
    <definedName name="YTDPL">#REF!</definedName>
    <definedName name="ytr" hidden="1">#REF!</definedName>
    <definedName name="yuyt" hidden="1">#REF!</definedName>
    <definedName name="YYQQ_lookup">#REF!</definedName>
    <definedName name="z" hidden="1">#REF!</definedName>
    <definedName name="Z_870DA93B_C7EC_11D1_935A_00A0C95F1362_.wvu.PrintArea" hidden="1">#REF!</definedName>
    <definedName name="ZDFR" hidden="1">{"PAGE1",#N/A,FALSE,"CPFFMSTR";"PAGE2",#N/A,FALSE,"CPFFMSTR"}</definedName>
    <definedName name="zz" hidden="1">{"'SIVA Pricing Model'!$A$1:$F$39"}</definedName>
    <definedName name="zzz" hidden="1">{"'SIVA Pricing Model'!$A$1:$F$39"}</definedName>
    <definedName name="zzzz" hidden="1">{"'SIVA Pricing Model'!$A$1:$F$39"}</definedName>
    <definedName name="zzzzz" hidden="1">{"'SIVA Pricing Model'!$A$1:$F$39"}</definedName>
    <definedName name="אאא" hidden="1">{#N/A,#N/A,FALSE,"מאזן בוחן";"כל_מאזן_בוחן",#N/A,FALSE,"מאזן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חח" hidden="1">{#N/A,#N/A,FALSE,"מאזן בוחן";"כל_מאזן_בוחן",#N/A,FALSE,"מאזן בוחן"}</definedName>
    <definedName name="לל" hidden="1">{#N/A,#N/A,FALSE,"מאזן בוחן";"כל_מאזן_בוחן",#N/A,FALSE,"מאזן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ㄴㄴ">#REF!</definedName>
    <definedName name="ㄴㄴㄴㄴ">#REF!</definedName>
    <definedName name="대표자명_성명">#REF!</definedName>
    <definedName name="법_인_명_상_호">#REF!</definedName>
    <definedName name="법인등록번호">#REF!</definedName>
    <definedName name="사_업_년_도">#REF!</definedName>
    <definedName name="사업자등록번호">#REF!</definedName>
    <definedName name="소재지_사업장">#REF!</definedName>
    <definedName name="업_________태">#REF!</definedName>
    <definedName name="연봉">#REF!</definedName>
    <definedName name="전_화_번_호">#REF!</definedName>
    <definedName name="종_________목">#REF!</definedName>
    <definedName name="주____________소">#REF!</definedName>
    <definedName name="주민등록번호_대표자">#REF!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 i="2" l="1"/>
  <c r="V305" i="39"/>
  <c r="D11" i="33" s="1"/>
  <c r="W305" i="39"/>
  <c r="D12" i="33" s="1"/>
  <c r="D14" i="33"/>
  <c r="D10" i="33"/>
  <c r="D9" i="33"/>
  <c r="D8" i="33"/>
  <c r="D7" i="33"/>
  <c r="D6" i="33"/>
  <c r="U9" i="2"/>
  <c r="U8" i="2"/>
  <c r="U7" i="2"/>
  <c r="U6" i="2"/>
  <c r="U5" i="2"/>
  <c r="Q3" i="2"/>
  <c r="U3" i="2" s="1"/>
  <c r="E11" i="2"/>
  <c r="V305" i="37"/>
  <c r="W305" i="37"/>
  <c r="V305" i="36"/>
  <c r="W305" i="36"/>
  <c r="V305" i="35"/>
  <c r="W305" i="35"/>
  <c r="V305" i="34"/>
  <c r="W305" i="34"/>
  <c r="V305" i="32"/>
  <c r="W305" i="32"/>
  <c r="X305" i="39"/>
  <c r="U305" i="39"/>
  <c r="T305" i="39"/>
  <c r="S305" i="39"/>
  <c r="N305" i="39"/>
  <c r="M305" i="39"/>
  <c r="L305" i="39"/>
  <c r="Q302" i="39"/>
  <c r="P302" i="39"/>
  <c r="Q301" i="39"/>
  <c r="P301" i="39"/>
  <c r="R301" i="39" s="1"/>
  <c r="Y301" i="39" s="1"/>
  <c r="Q300" i="39"/>
  <c r="P300" i="39"/>
  <c r="Q299" i="39"/>
  <c r="P299" i="39"/>
  <c r="Q298" i="39"/>
  <c r="P298" i="39"/>
  <c r="Q297" i="39"/>
  <c r="P297" i="39"/>
  <c r="R297" i="39" s="1"/>
  <c r="Y297" i="39" s="1"/>
  <c r="Q296" i="39"/>
  <c r="P296" i="39"/>
  <c r="Q295" i="39"/>
  <c r="P295" i="39"/>
  <c r="R295" i="39" s="1"/>
  <c r="Y295" i="39" s="1"/>
  <c r="Q294" i="39"/>
  <c r="P294" i="39"/>
  <c r="Q293" i="39"/>
  <c r="P293" i="39"/>
  <c r="R293" i="39" s="1"/>
  <c r="Y293" i="39" s="1"/>
  <c r="Q292" i="39"/>
  <c r="P292" i="39"/>
  <c r="Q291" i="39"/>
  <c r="P291" i="39"/>
  <c r="R291" i="39" s="1"/>
  <c r="Y291" i="39" s="1"/>
  <c r="Q290" i="39"/>
  <c r="P290" i="39"/>
  <c r="Q289" i="39"/>
  <c r="P289" i="39"/>
  <c r="R289" i="39" s="1"/>
  <c r="Y289" i="39" s="1"/>
  <c r="Q288" i="39"/>
  <c r="P288" i="39"/>
  <c r="Q287" i="39"/>
  <c r="P287" i="39"/>
  <c r="R287" i="39" s="1"/>
  <c r="Y287" i="39" s="1"/>
  <c r="Q286" i="39"/>
  <c r="P286" i="39"/>
  <c r="Q285" i="39"/>
  <c r="P285" i="39"/>
  <c r="R285" i="39" s="1"/>
  <c r="Y285" i="39" s="1"/>
  <c r="Q284" i="39"/>
  <c r="P284" i="39"/>
  <c r="Q283" i="39"/>
  <c r="P283" i="39"/>
  <c r="R283" i="39" s="1"/>
  <c r="Y283" i="39" s="1"/>
  <c r="Q282" i="39"/>
  <c r="P282" i="39"/>
  <c r="Q281" i="39"/>
  <c r="P281" i="39"/>
  <c r="R281" i="39" s="1"/>
  <c r="Y281" i="39" s="1"/>
  <c r="Q280" i="39"/>
  <c r="P280" i="39"/>
  <c r="Q279" i="39"/>
  <c r="P279" i="39"/>
  <c r="R279" i="39" s="1"/>
  <c r="Y279" i="39" s="1"/>
  <c r="Q278" i="39"/>
  <c r="P278" i="39"/>
  <c r="Q277" i="39"/>
  <c r="P277" i="39"/>
  <c r="R277" i="39" s="1"/>
  <c r="Y277" i="39" s="1"/>
  <c r="Q276" i="39"/>
  <c r="P276" i="39"/>
  <c r="Q275" i="39"/>
  <c r="P275" i="39"/>
  <c r="R275" i="39" s="1"/>
  <c r="Y275" i="39" s="1"/>
  <c r="Q274" i="39"/>
  <c r="P274" i="39"/>
  <c r="Q273" i="39"/>
  <c r="P273" i="39"/>
  <c r="R273" i="39" s="1"/>
  <c r="Y273" i="39" s="1"/>
  <c r="Q272" i="39"/>
  <c r="P272" i="39"/>
  <c r="Q271" i="39"/>
  <c r="P271" i="39"/>
  <c r="R271" i="39" s="1"/>
  <c r="Y271" i="39" s="1"/>
  <c r="Q270" i="39"/>
  <c r="P270" i="39"/>
  <c r="Q269" i="39"/>
  <c r="P269" i="39"/>
  <c r="R269" i="39" s="1"/>
  <c r="Y269" i="39" s="1"/>
  <c r="Q268" i="39"/>
  <c r="P268" i="39"/>
  <c r="Q267" i="39"/>
  <c r="P267" i="39"/>
  <c r="R267" i="39" s="1"/>
  <c r="Y267" i="39" s="1"/>
  <c r="Q266" i="39"/>
  <c r="P266" i="39"/>
  <c r="Q265" i="39"/>
  <c r="P265" i="39"/>
  <c r="R265" i="39" s="1"/>
  <c r="Y265" i="39" s="1"/>
  <c r="Q264" i="39"/>
  <c r="P264" i="39"/>
  <c r="Q263" i="39"/>
  <c r="P263" i="39"/>
  <c r="R263" i="39" s="1"/>
  <c r="Y263" i="39" s="1"/>
  <c r="Q262" i="39"/>
  <c r="P262" i="39"/>
  <c r="Q261" i="39"/>
  <c r="P261" i="39"/>
  <c r="R261" i="39" s="1"/>
  <c r="Y261" i="39" s="1"/>
  <c r="Q260" i="39"/>
  <c r="P260" i="39"/>
  <c r="Q259" i="39"/>
  <c r="P259" i="39"/>
  <c r="R259" i="39" s="1"/>
  <c r="Y259" i="39" s="1"/>
  <c r="Q258" i="39"/>
  <c r="P258" i="39"/>
  <c r="Q257" i="39"/>
  <c r="P257" i="39"/>
  <c r="R257" i="39" s="1"/>
  <c r="Y257" i="39" s="1"/>
  <c r="Q256" i="39"/>
  <c r="P256" i="39"/>
  <c r="Q255" i="39"/>
  <c r="P255" i="39"/>
  <c r="R255" i="39" s="1"/>
  <c r="Y255" i="39" s="1"/>
  <c r="Q254" i="39"/>
  <c r="P254" i="39"/>
  <c r="Q253" i="39"/>
  <c r="P253" i="39"/>
  <c r="R253" i="39" s="1"/>
  <c r="Y253" i="39" s="1"/>
  <c r="Q252" i="39"/>
  <c r="P252" i="39"/>
  <c r="Q251" i="39"/>
  <c r="P251" i="39"/>
  <c r="R251" i="39" s="1"/>
  <c r="Y251" i="39" s="1"/>
  <c r="Q250" i="39"/>
  <c r="P250" i="39"/>
  <c r="Q249" i="39"/>
  <c r="P249" i="39"/>
  <c r="R249" i="39" s="1"/>
  <c r="Y249" i="39" s="1"/>
  <c r="Q248" i="39"/>
  <c r="P248" i="39"/>
  <c r="Q247" i="39"/>
  <c r="P247" i="39"/>
  <c r="R247" i="39" s="1"/>
  <c r="Y247" i="39" s="1"/>
  <c r="Q246" i="39"/>
  <c r="P246" i="39"/>
  <c r="Q245" i="39"/>
  <c r="P245" i="39"/>
  <c r="R245" i="39" s="1"/>
  <c r="Y245" i="39" s="1"/>
  <c r="Q244" i="39"/>
  <c r="P244" i="39"/>
  <c r="Q243" i="39"/>
  <c r="P243" i="39"/>
  <c r="R243" i="39" s="1"/>
  <c r="Y243" i="39" s="1"/>
  <c r="Q242" i="39"/>
  <c r="P242" i="39"/>
  <c r="Q241" i="39"/>
  <c r="P241" i="39"/>
  <c r="R241" i="39" s="1"/>
  <c r="Y241" i="39" s="1"/>
  <c r="Q240" i="39"/>
  <c r="P240" i="39"/>
  <c r="Q239" i="39"/>
  <c r="P239" i="39"/>
  <c r="R239" i="39" s="1"/>
  <c r="Y239" i="39" s="1"/>
  <c r="Q238" i="39"/>
  <c r="P238" i="39"/>
  <c r="Q237" i="39"/>
  <c r="P237" i="39"/>
  <c r="R237" i="39" s="1"/>
  <c r="Y237" i="39" s="1"/>
  <c r="Q236" i="39"/>
  <c r="P236" i="39"/>
  <c r="Q235" i="39"/>
  <c r="P235" i="39"/>
  <c r="R235" i="39" s="1"/>
  <c r="Y235" i="39" s="1"/>
  <c r="Q234" i="39"/>
  <c r="P234" i="39"/>
  <c r="Q233" i="39"/>
  <c r="P233" i="39"/>
  <c r="R233" i="39" s="1"/>
  <c r="Y233" i="39" s="1"/>
  <c r="Q232" i="39"/>
  <c r="P232" i="39"/>
  <c r="Q231" i="39"/>
  <c r="P231" i="39"/>
  <c r="R231" i="39" s="1"/>
  <c r="Y231" i="39" s="1"/>
  <c r="Q230" i="39"/>
  <c r="P230" i="39"/>
  <c r="Q229" i="39"/>
  <c r="P229" i="39"/>
  <c r="R229" i="39" s="1"/>
  <c r="Y229" i="39" s="1"/>
  <c r="Q228" i="39"/>
  <c r="P228" i="39"/>
  <c r="Q227" i="39"/>
  <c r="P227" i="39"/>
  <c r="R227" i="39" s="1"/>
  <c r="Y227" i="39" s="1"/>
  <c r="Q226" i="39"/>
  <c r="P226" i="39"/>
  <c r="Q225" i="39"/>
  <c r="P225" i="39"/>
  <c r="R225" i="39" s="1"/>
  <c r="Y225" i="39" s="1"/>
  <c r="Q224" i="39"/>
  <c r="P224" i="39"/>
  <c r="Q223" i="39"/>
  <c r="P223" i="39"/>
  <c r="R223" i="39" s="1"/>
  <c r="Y223" i="39" s="1"/>
  <c r="Q222" i="39"/>
  <c r="P222" i="39"/>
  <c r="Q221" i="39"/>
  <c r="P221" i="39"/>
  <c r="R221" i="39" s="1"/>
  <c r="Y221" i="39" s="1"/>
  <c r="Q220" i="39"/>
  <c r="P220" i="39"/>
  <c r="Q219" i="39"/>
  <c r="P219" i="39"/>
  <c r="R219" i="39" s="1"/>
  <c r="Y219" i="39" s="1"/>
  <c r="Q218" i="39"/>
  <c r="P218" i="39"/>
  <c r="Q217" i="39"/>
  <c r="P217" i="39"/>
  <c r="R217" i="39" s="1"/>
  <c r="Y217" i="39" s="1"/>
  <c r="Q216" i="39"/>
  <c r="P216" i="39"/>
  <c r="Q215" i="39"/>
  <c r="P215" i="39"/>
  <c r="R215" i="39" s="1"/>
  <c r="Y215" i="39" s="1"/>
  <c r="Q214" i="39"/>
  <c r="P214" i="39"/>
  <c r="Q213" i="39"/>
  <c r="P213" i="39"/>
  <c r="R213" i="39" s="1"/>
  <c r="Y213" i="39" s="1"/>
  <c r="Q212" i="39"/>
  <c r="P212" i="39"/>
  <c r="Q211" i="39"/>
  <c r="P211" i="39"/>
  <c r="R211" i="39" s="1"/>
  <c r="Y211" i="39" s="1"/>
  <c r="Q210" i="39"/>
  <c r="P210" i="39"/>
  <c r="Q209" i="39"/>
  <c r="P209" i="39"/>
  <c r="R209" i="39" s="1"/>
  <c r="Y209" i="39" s="1"/>
  <c r="Q208" i="39"/>
  <c r="P208" i="39"/>
  <c r="Q207" i="39"/>
  <c r="P207" i="39"/>
  <c r="R207" i="39" s="1"/>
  <c r="Y207" i="39" s="1"/>
  <c r="Q206" i="39"/>
  <c r="P206" i="39"/>
  <c r="Q205" i="39"/>
  <c r="P205" i="39"/>
  <c r="R205" i="39" s="1"/>
  <c r="Y205" i="39" s="1"/>
  <c r="Q204" i="39"/>
  <c r="P204" i="39"/>
  <c r="Q203" i="39"/>
  <c r="P203" i="39"/>
  <c r="R203" i="39" s="1"/>
  <c r="Y203" i="39" s="1"/>
  <c r="Q202" i="39"/>
  <c r="P202" i="39"/>
  <c r="R202" i="39" s="1"/>
  <c r="Y202" i="39" s="1"/>
  <c r="Q201" i="39"/>
  <c r="P201" i="39"/>
  <c r="R201" i="39" s="1"/>
  <c r="Y201" i="39" s="1"/>
  <c r="Q200" i="39"/>
  <c r="P200" i="39"/>
  <c r="Q199" i="39"/>
  <c r="P199" i="39"/>
  <c r="R199" i="39" s="1"/>
  <c r="Y199" i="39" s="1"/>
  <c r="Q198" i="39"/>
  <c r="P198" i="39"/>
  <c r="R198" i="39" s="1"/>
  <c r="Y198" i="39" s="1"/>
  <c r="Q197" i="39"/>
  <c r="P197" i="39"/>
  <c r="R197" i="39" s="1"/>
  <c r="Y197" i="39" s="1"/>
  <c r="Q196" i="39"/>
  <c r="P196" i="39"/>
  <c r="Q195" i="39"/>
  <c r="P195" i="39"/>
  <c r="R195" i="39" s="1"/>
  <c r="Y195" i="39" s="1"/>
  <c r="Q194" i="39"/>
  <c r="P194" i="39"/>
  <c r="R194" i="39" s="1"/>
  <c r="Y194" i="39" s="1"/>
  <c r="Q193" i="39"/>
  <c r="P193" i="39"/>
  <c r="R193" i="39" s="1"/>
  <c r="Y193" i="39" s="1"/>
  <c r="Q192" i="39"/>
  <c r="P192" i="39"/>
  <c r="Q191" i="39"/>
  <c r="P191" i="39"/>
  <c r="R191" i="39" s="1"/>
  <c r="Y191" i="39" s="1"/>
  <c r="Q190" i="39"/>
  <c r="P190" i="39"/>
  <c r="R190" i="39" s="1"/>
  <c r="Y190" i="39" s="1"/>
  <c r="Q189" i="39"/>
  <c r="P189" i="39"/>
  <c r="R189" i="39" s="1"/>
  <c r="Y189" i="39" s="1"/>
  <c r="Q188" i="39"/>
  <c r="P188" i="39"/>
  <c r="Q187" i="39"/>
  <c r="P187" i="39"/>
  <c r="R187" i="39" s="1"/>
  <c r="Y187" i="39" s="1"/>
  <c r="Q186" i="39"/>
  <c r="P186" i="39"/>
  <c r="R186" i="39" s="1"/>
  <c r="Y186" i="39" s="1"/>
  <c r="Q185" i="39"/>
  <c r="P185" i="39"/>
  <c r="R185" i="39" s="1"/>
  <c r="Y185" i="39" s="1"/>
  <c r="Q184" i="39"/>
  <c r="P184" i="39"/>
  <c r="Q183" i="39"/>
  <c r="P183" i="39"/>
  <c r="Q182" i="39"/>
  <c r="P182" i="39"/>
  <c r="R182" i="39" s="1"/>
  <c r="Y182" i="39" s="1"/>
  <c r="Q181" i="39"/>
  <c r="P181" i="39"/>
  <c r="R181" i="39" s="1"/>
  <c r="Y181" i="39" s="1"/>
  <c r="Q180" i="39"/>
  <c r="P180" i="39"/>
  <c r="Q179" i="39"/>
  <c r="P179" i="39"/>
  <c r="Q178" i="39"/>
  <c r="P178" i="39"/>
  <c r="R178" i="39" s="1"/>
  <c r="Y178" i="39" s="1"/>
  <c r="Q177" i="39"/>
  <c r="P177" i="39"/>
  <c r="R176" i="39"/>
  <c r="Y176" i="39" s="1"/>
  <c r="Q176" i="39"/>
  <c r="P176" i="39"/>
  <c r="Q175" i="39"/>
  <c r="P175" i="39"/>
  <c r="Q174" i="39"/>
  <c r="P174" i="39"/>
  <c r="Q173" i="39"/>
  <c r="P173" i="39"/>
  <c r="R173" i="39" s="1"/>
  <c r="Y173" i="39" s="1"/>
  <c r="Q172" i="39"/>
  <c r="P172" i="39"/>
  <c r="Q171" i="39"/>
  <c r="P171" i="39"/>
  <c r="Q170" i="39"/>
  <c r="P170" i="39"/>
  <c r="Q169" i="39"/>
  <c r="P169" i="39"/>
  <c r="Q168" i="39"/>
  <c r="P168" i="39"/>
  <c r="Q167" i="39"/>
  <c r="P167" i="39"/>
  <c r="Q166" i="39"/>
  <c r="P166" i="39"/>
  <c r="R166" i="39" s="1"/>
  <c r="Y166" i="39" s="1"/>
  <c r="Q165" i="39"/>
  <c r="P165" i="39"/>
  <c r="Q164" i="39"/>
  <c r="R164" i="39" s="1"/>
  <c r="Y164" i="39" s="1"/>
  <c r="P164" i="39"/>
  <c r="Q163" i="39"/>
  <c r="P163" i="39"/>
  <c r="Q162" i="39"/>
  <c r="P162" i="39"/>
  <c r="R162" i="39" s="1"/>
  <c r="Y162" i="39" s="1"/>
  <c r="Q161" i="39"/>
  <c r="P161" i="39"/>
  <c r="R160" i="39"/>
  <c r="Y160" i="39" s="1"/>
  <c r="Q160" i="39"/>
  <c r="P160" i="39"/>
  <c r="Q159" i="39"/>
  <c r="P159" i="39"/>
  <c r="R159" i="39" s="1"/>
  <c r="Y159" i="39" s="1"/>
  <c r="Q158" i="39"/>
  <c r="R158" i="39" s="1"/>
  <c r="Y158" i="39" s="1"/>
  <c r="P158" i="39"/>
  <c r="Q157" i="39"/>
  <c r="P157" i="39"/>
  <c r="R157" i="39" s="1"/>
  <c r="Y157" i="39" s="1"/>
  <c r="Q156" i="39"/>
  <c r="P156" i="39"/>
  <c r="R156" i="39" s="1"/>
  <c r="Y156" i="39" s="1"/>
  <c r="Q155" i="39"/>
  <c r="P155" i="39"/>
  <c r="R155" i="39" s="1"/>
  <c r="Y155" i="39" s="1"/>
  <c r="Q154" i="39"/>
  <c r="P154" i="39"/>
  <c r="Q153" i="39"/>
  <c r="P153" i="39"/>
  <c r="Q152" i="39"/>
  <c r="P152" i="39"/>
  <c r="R152" i="39" s="1"/>
  <c r="Y152" i="39" s="1"/>
  <c r="Q151" i="39"/>
  <c r="P151" i="39"/>
  <c r="R151" i="39" s="1"/>
  <c r="Y151" i="39" s="1"/>
  <c r="R150" i="39"/>
  <c r="Y150" i="39" s="1"/>
  <c r="Q150" i="39"/>
  <c r="P150" i="39"/>
  <c r="Q149" i="39"/>
  <c r="P149" i="39"/>
  <c r="Q148" i="39"/>
  <c r="P148" i="39"/>
  <c r="Q147" i="39"/>
  <c r="P147" i="39"/>
  <c r="Q146" i="39"/>
  <c r="P146" i="39"/>
  <c r="Q145" i="39"/>
  <c r="P145" i="39"/>
  <c r="Q144" i="39"/>
  <c r="R144" i="39" s="1"/>
  <c r="Y144" i="39" s="1"/>
  <c r="P144" i="39"/>
  <c r="Q143" i="39"/>
  <c r="P143" i="39"/>
  <c r="R143" i="39" s="1"/>
  <c r="Y143" i="39" s="1"/>
  <c r="Q142" i="39"/>
  <c r="R142" i="39" s="1"/>
  <c r="Y142" i="39" s="1"/>
  <c r="P142" i="39"/>
  <c r="Q141" i="39"/>
  <c r="P141" i="39"/>
  <c r="Q140" i="39"/>
  <c r="P140" i="39"/>
  <c r="Q139" i="39"/>
  <c r="P139" i="39"/>
  <c r="R139" i="39" s="1"/>
  <c r="Y139" i="39" s="1"/>
  <c r="Q138" i="39"/>
  <c r="P138" i="39"/>
  <c r="Q137" i="39"/>
  <c r="R137" i="39" s="1"/>
  <c r="Y137" i="39" s="1"/>
  <c r="P137" i="39"/>
  <c r="Q136" i="39"/>
  <c r="P136" i="39"/>
  <c r="Q135" i="39"/>
  <c r="P135" i="39"/>
  <c r="R134" i="39"/>
  <c r="Y134" i="39" s="1"/>
  <c r="Q134" i="39"/>
  <c r="P134" i="39"/>
  <c r="Q133" i="39"/>
  <c r="P133" i="39"/>
  <c r="Q132" i="39"/>
  <c r="R132" i="39" s="1"/>
  <c r="Y132" i="39" s="1"/>
  <c r="P132" i="39"/>
  <c r="Q131" i="39"/>
  <c r="P131" i="39"/>
  <c r="Q130" i="39"/>
  <c r="P130" i="39"/>
  <c r="R130" i="39" s="1"/>
  <c r="Y130" i="39" s="1"/>
  <c r="Q129" i="39"/>
  <c r="P129" i="39"/>
  <c r="Q128" i="39"/>
  <c r="R128" i="39" s="1"/>
  <c r="Y128" i="39" s="1"/>
  <c r="P128" i="39"/>
  <c r="Q127" i="39"/>
  <c r="R127" i="39" s="1"/>
  <c r="Y127" i="39" s="1"/>
  <c r="P127" i="39"/>
  <c r="Q126" i="39"/>
  <c r="R126" i="39" s="1"/>
  <c r="Y126" i="39" s="1"/>
  <c r="P126" i="39"/>
  <c r="Q125" i="39"/>
  <c r="P125" i="39"/>
  <c r="Q124" i="39"/>
  <c r="P124" i="39"/>
  <c r="R124" i="39" s="1"/>
  <c r="Y124" i="39" s="1"/>
  <c r="Q123" i="39"/>
  <c r="R123" i="39" s="1"/>
  <c r="Y123" i="39" s="1"/>
  <c r="P123" i="39"/>
  <c r="Q122" i="39"/>
  <c r="R122" i="39" s="1"/>
  <c r="Y122" i="39" s="1"/>
  <c r="P122" i="39"/>
  <c r="Q121" i="39"/>
  <c r="R121" i="39" s="1"/>
  <c r="Y121" i="39" s="1"/>
  <c r="P121" i="39"/>
  <c r="R120" i="39"/>
  <c r="Y120" i="39" s="1"/>
  <c r="Q120" i="39"/>
  <c r="P120" i="39"/>
  <c r="Q119" i="39"/>
  <c r="R119" i="39" s="1"/>
  <c r="Y119" i="39" s="1"/>
  <c r="P119" i="39"/>
  <c r="Q118" i="39"/>
  <c r="P118" i="39"/>
  <c r="R118" i="39" s="1"/>
  <c r="Y118" i="39" s="1"/>
  <c r="Q117" i="39"/>
  <c r="R117" i="39" s="1"/>
  <c r="Y117" i="39" s="1"/>
  <c r="P117" i="39"/>
  <c r="R116" i="39"/>
  <c r="Y116" i="39" s="1"/>
  <c r="Q116" i="39"/>
  <c r="P116" i="39"/>
  <c r="Q115" i="39"/>
  <c r="P115" i="39"/>
  <c r="R114" i="39"/>
  <c r="Y114" i="39" s="1"/>
  <c r="Q114" i="39"/>
  <c r="P114" i="39"/>
  <c r="Q113" i="39"/>
  <c r="R113" i="39" s="1"/>
  <c r="Y113" i="39" s="1"/>
  <c r="P113" i="39"/>
  <c r="Q112" i="39"/>
  <c r="P112" i="39"/>
  <c r="R112" i="39" s="1"/>
  <c r="Y112" i="39" s="1"/>
  <c r="Q111" i="39"/>
  <c r="R111" i="39" s="1"/>
  <c r="Y111" i="39" s="1"/>
  <c r="P111" i="39"/>
  <c r="R110" i="39"/>
  <c r="Y110" i="39" s="1"/>
  <c r="Q110" i="39"/>
  <c r="P110" i="39"/>
  <c r="Q109" i="39"/>
  <c r="P109" i="39"/>
  <c r="Y108" i="39"/>
  <c r="R108" i="39"/>
  <c r="Q108" i="39"/>
  <c r="P108" i="39"/>
  <c r="Q107" i="39"/>
  <c r="P107" i="39"/>
  <c r="Q106" i="39"/>
  <c r="P106" i="39"/>
  <c r="R106" i="39" s="1"/>
  <c r="Y106" i="39" s="1"/>
  <c r="Q105" i="39"/>
  <c r="R105" i="39" s="1"/>
  <c r="Y105" i="39" s="1"/>
  <c r="P105" i="39"/>
  <c r="Q104" i="39"/>
  <c r="P104" i="39"/>
  <c r="R104" i="39" s="1"/>
  <c r="Y104" i="39" s="1"/>
  <c r="Q103" i="39"/>
  <c r="P103" i="39"/>
  <c r="R102" i="39"/>
  <c r="Y102" i="39" s="1"/>
  <c r="Q102" i="39"/>
  <c r="P102" i="39"/>
  <c r="Q101" i="39"/>
  <c r="P101" i="39"/>
  <c r="Q100" i="39"/>
  <c r="R100" i="39" s="1"/>
  <c r="Y100" i="39" s="1"/>
  <c r="P100" i="39"/>
  <c r="Q99" i="39"/>
  <c r="P99" i="39"/>
  <c r="Q98" i="39"/>
  <c r="P98" i="39"/>
  <c r="R98" i="39" s="1"/>
  <c r="Y98" i="39" s="1"/>
  <c r="Q97" i="39"/>
  <c r="P97" i="39"/>
  <c r="Q96" i="39"/>
  <c r="R96" i="39" s="1"/>
  <c r="Y96" i="39" s="1"/>
  <c r="P96" i="39"/>
  <c r="Q95" i="39"/>
  <c r="R95" i="39" s="1"/>
  <c r="Y95" i="39" s="1"/>
  <c r="P95" i="39"/>
  <c r="Q94" i="39"/>
  <c r="R94" i="39" s="1"/>
  <c r="Y94" i="39" s="1"/>
  <c r="P94" i="39"/>
  <c r="Q93" i="39"/>
  <c r="P93" i="39"/>
  <c r="Q92" i="39"/>
  <c r="P92" i="39"/>
  <c r="R92" i="39" s="1"/>
  <c r="Y92" i="39" s="1"/>
  <c r="Q91" i="39"/>
  <c r="R91" i="39" s="1"/>
  <c r="Y91" i="39" s="1"/>
  <c r="P91" i="39"/>
  <c r="Q90" i="39"/>
  <c r="R90" i="39" s="1"/>
  <c r="Y90" i="39" s="1"/>
  <c r="P90" i="39"/>
  <c r="Q89" i="39"/>
  <c r="R89" i="39" s="1"/>
  <c r="Y89" i="39" s="1"/>
  <c r="P89" i="39"/>
  <c r="R88" i="39"/>
  <c r="Y88" i="39" s="1"/>
  <c r="Q88" i="39"/>
  <c r="P88" i="39"/>
  <c r="Q87" i="39"/>
  <c r="R87" i="39" s="1"/>
  <c r="Y87" i="39" s="1"/>
  <c r="P87" i="39"/>
  <c r="Q86" i="39"/>
  <c r="P86" i="39"/>
  <c r="R86" i="39" s="1"/>
  <c r="Y86" i="39" s="1"/>
  <c r="Q85" i="39"/>
  <c r="R85" i="39" s="1"/>
  <c r="Y85" i="39" s="1"/>
  <c r="P85" i="39"/>
  <c r="R84" i="39"/>
  <c r="Y84" i="39" s="1"/>
  <c r="Q84" i="39"/>
  <c r="P84" i="39"/>
  <c r="Q83" i="39"/>
  <c r="P83" i="39"/>
  <c r="R82" i="39"/>
  <c r="Y82" i="39" s="1"/>
  <c r="Q82" i="39"/>
  <c r="P82" i="39"/>
  <c r="Q81" i="39"/>
  <c r="R81" i="39" s="1"/>
  <c r="Y81" i="39" s="1"/>
  <c r="P81" i="39"/>
  <c r="Q80" i="39"/>
  <c r="P80" i="39"/>
  <c r="R80" i="39" s="1"/>
  <c r="Y80" i="39" s="1"/>
  <c r="Q79" i="39"/>
  <c r="R79" i="39" s="1"/>
  <c r="Y79" i="39" s="1"/>
  <c r="P79" i="39"/>
  <c r="R78" i="39"/>
  <c r="Y78" i="39" s="1"/>
  <c r="Q78" i="39"/>
  <c r="P78" i="39"/>
  <c r="Q77" i="39"/>
  <c r="P77" i="39"/>
  <c r="Y76" i="39"/>
  <c r="R76" i="39"/>
  <c r="Q76" i="39"/>
  <c r="P76" i="39"/>
  <c r="Q75" i="39"/>
  <c r="P75" i="39"/>
  <c r="Q74" i="39"/>
  <c r="P74" i="39"/>
  <c r="R74" i="39" s="1"/>
  <c r="Y74" i="39" s="1"/>
  <c r="Q73" i="39"/>
  <c r="R73" i="39" s="1"/>
  <c r="Y73" i="39" s="1"/>
  <c r="P73" i="39"/>
  <c r="Q72" i="39"/>
  <c r="P72" i="39"/>
  <c r="R72" i="39" s="1"/>
  <c r="Y72" i="39" s="1"/>
  <c r="Q71" i="39"/>
  <c r="P71" i="39"/>
  <c r="R70" i="39"/>
  <c r="Y70" i="39" s="1"/>
  <c r="Q70" i="39"/>
  <c r="P70" i="39"/>
  <c r="Q69" i="39"/>
  <c r="P69" i="39"/>
  <c r="Q68" i="39"/>
  <c r="P68" i="39"/>
  <c r="R68" i="39" s="1"/>
  <c r="Y68" i="39" s="1"/>
  <c r="Q67" i="39"/>
  <c r="P67" i="39"/>
  <c r="Q66" i="39"/>
  <c r="P66" i="39"/>
  <c r="R66" i="39" s="1"/>
  <c r="Y66" i="39" s="1"/>
  <c r="Q65" i="39"/>
  <c r="P65" i="39"/>
  <c r="Q64" i="39"/>
  <c r="R64" i="39" s="1"/>
  <c r="Y64" i="39" s="1"/>
  <c r="P64" i="39"/>
  <c r="Q63" i="39"/>
  <c r="R63" i="39" s="1"/>
  <c r="Y63" i="39" s="1"/>
  <c r="P63" i="39"/>
  <c r="Q62" i="39"/>
  <c r="P62" i="39"/>
  <c r="R62" i="39" s="1"/>
  <c r="Y62" i="39" s="1"/>
  <c r="Q61" i="39"/>
  <c r="P61" i="39"/>
  <c r="Q60" i="39"/>
  <c r="P60" i="39"/>
  <c r="R60" i="39" s="1"/>
  <c r="Y60" i="39" s="1"/>
  <c r="Q59" i="39"/>
  <c r="R59" i="39" s="1"/>
  <c r="Y59" i="39" s="1"/>
  <c r="P59" i="39"/>
  <c r="Q58" i="39"/>
  <c r="R58" i="39" s="1"/>
  <c r="Y58" i="39" s="1"/>
  <c r="P58" i="39"/>
  <c r="Q57" i="39"/>
  <c r="R57" i="39" s="1"/>
  <c r="Y57" i="39" s="1"/>
  <c r="P57" i="39"/>
  <c r="R56" i="39"/>
  <c r="Y56" i="39" s="1"/>
  <c r="Q56" i="39"/>
  <c r="P56" i="39"/>
  <c r="Q55" i="39"/>
  <c r="R55" i="39" s="1"/>
  <c r="Y55" i="39" s="1"/>
  <c r="P55" i="39"/>
  <c r="Q54" i="39"/>
  <c r="P54" i="39"/>
  <c r="R54" i="39" s="1"/>
  <c r="Y54" i="39" s="1"/>
  <c r="Q53" i="39"/>
  <c r="R53" i="39" s="1"/>
  <c r="Y53" i="39" s="1"/>
  <c r="P53" i="39"/>
  <c r="R52" i="39"/>
  <c r="Y52" i="39" s="1"/>
  <c r="Q52" i="39"/>
  <c r="P52" i="39"/>
  <c r="Q51" i="39"/>
  <c r="P51" i="39"/>
  <c r="R50" i="39"/>
  <c r="Y50" i="39" s="1"/>
  <c r="Q50" i="39"/>
  <c r="P50" i="39"/>
  <c r="Q49" i="39"/>
  <c r="R49" i="39" s="1"/>
  <c r="Y49" i="39" s="1"/>
  <c r="P49" i="39"/>
  <c r="Q48" i="39"/>
  <c r="P48" i="39"/>
  <c r="R48" i="39" s="1"/>
  <c r="Y48" i="39" s="1"/>
  <c r="Q47" i="39"/>
  <c r="R47" i="39" s="1"/>
  <c r="Y47" i="39" s="1"/>
  <c r="P47" i="39"/>
  <c r="R46" i="39"/>
  <c r="Y46" i="39" s="1"/>
  <c r="Q46" i="39"/>
  <c r="P46" i="39"/>
  <c r="Q45" i="39"/>
  <c r="P45" i="39"/>
  <c r="Y44" i="39"/>
  <c r="R44" i="39"/>
  <c r="Q44" i="39"/>
  <c r="P44" i="39"/>
  <c r="Q43" i="39"/>
  <c r="P43" i="39"/>
  <c r="Q42" i="39"/>
  <c r="P42" i="39"/>
  <c r="R42" i="39" s="1"/>
  <c r="Y42" i="39" s="1"/>
  <c r="Q41" i="39"/>
  <c r="R41" i="39" s="1"/>
  <c r="Y41" i="39" s="1"/>
  <c r="P41" i="39"/>
  <c r="Q40" i="39"/>
  <c r="P40" i="39"/>
  <c r="R40" i="39" s="1"/>
  <c r="Y40" i="39" s="1"/>
  <c r="Q39" i="39"/>
  <c r="P39" i="39"/>
  <c r="R38" i="39"/>
  <c r="Y38" i="39" s="1"/>
  <c r="Q38" i="39"/>
  <c r="P38" i="39"/>
  <c r="Q37" i="39"/>
  <c r="P37" i="39"/>
  <c r="Q36" i="39"/>
  <c r="P36" i="39"/>
  <c r="R36" i="39" s="1"/>
  <c r="Y36" i="39" s="1"/>
  <c r="Q35" i="39"/>
  <c r="P35" i="39"/>
  <c r="Q34" i="39"/>
  <c r="P34" i="39"/>
  <c r="R34" i="39" s="1"/>
  <c r="Y34" i="39" s="1"/>
  <c r="Q33" i="39"/>
  <c r="P33" i="39"/>
  <c r="R32" i="39"/>
  <c r="Y32" i="39" s="1"/>
  <c r="Q32" i="39"/>
  <c r="P32" i="39"/>
  <c r="Q31" i="39"/>
  <c r="P31" i="39"/>
  <c r="Q30" i="39"/>
  <c r="P30" i="39"/>
  <c r="R30" i="39" s="1"/>
  <c r="Y30" i="39" s="1"/>
  <c r="Q29" i="39"/>
  <c r="R29" i="39" s="1"/>
  <c r="Y29" i="39" s="1"/>
  <c r="P29" i="39"/>
  <c r="Q28" i="39"/>
  <c r="P28" i="39"/>
  <c r="R28" i="39" s="1"/>
  <c r="Y28" i="39" s="1"/>
  <c r="Q27" i="39"/>
  <c r="R27" i="39" s="1"/>
  <c r="Y27" i="39" s="1"/>
  <c r="P27" i="39"/>
  <c r="R26" i="39"/>
  <c r="Y26" i="39" s="1"/>
  <c r="Q26" i="39"/>
  <c r="P26" i="39"/>
  <c r="Q25" i="39"/>
  <c r="P25" i="39"/>
  <c r="R24" i="39"/>
  <c r="Y24" i="39" s="1"/>
  <c r="Q24" i="39"/>
  <c r="P24" i="39"/>
  <c r="Q23" i="39"/>
  <c r="R23" i="39" s="1"/>
  <c r="Y23" i="39" s="1"/>
  <c r="P23" i="39"/>
  <c r="Q22" i="39"/>
  <c r="P22" i="39"/>
  <c r="R22" i="39" s="1"/>
  <c r="Y22" i="39" s="1"/>
  <c r="R21" i="39"/>
  <c r="Y21" i="39" s="1"/>
  <c r="Q21" i="39"/>
  <c r="P21" i="39"/>
  <c r="Q20" i="39"/>
  <c r="P20" i="39"/>
  <c r="R20" i="39" s="1"/>
  <c r="Y20" i="39" s="1"/>
  <c r="Q19" i="39"/>
  <c r="P19" i="39"/>
  <c r="R19" i="39" s="1"/>
  <c r="Y19" i="39" s="1"/>
  <c r="Q18" i="39"/>
  <c r="P18" i="39"/>
  <c r="Q17" i="39"/>
  <c r="P17" i="39"/>
  <c r="R17" i="39" s="1"/>
  <c r="Y17" i="39" s="1"/>
  <c r="Q16" i="39"/>
  <c r="P16" i="39"/>
  <c r="R15" i="39"/>
  <c r="Y15" i="39" s="1"/>
  <c r="Q15" i="39"/>
  <c r="P15" i="39"/>
  <c r="Q14" i="39"/>
  <c r="P14" i="39"/>
  <c r="Q13" i="39"/>
  <c r="P13" i="39"/>
  <c r="R13" i="39" s="1"/>
  <c r="Y13" i="39" s="1"/>
  <c r="Q12" i="39"/>
  <c r="R12" i="39" s="1"/>
  <c r="Y12" i="39" s="1"/>
  <c r="P12" i="39"/>
  <c r="R11" i="39"/>
  <c r="Y11" i="39" s="1"/>
  <c r="Q11" i="39"/>
  <c r="P11" i="39"/>
  <c r="Q10" i="39"/>
  <c r="P10" i="39"/>
  <c r="R9" i="39"/>
  <c r="Y9" i="39" s="1"/>
  <c r="Q9" i="39"/>
  <c r="P9" i="39"/>
  <c r="Q8" i="39"/>
  <c r="R8" i="39" s="1"/>
  <c r="Y8" i="39" s="1"/>
  <c r="P8" i="39"/>
  <c r="Q7" i="39"/>
  <c r="P7" i="39"/>
  <c r="R7" i="39" s="1"/>
  <c r="Y7" i="39" s="1"/>
  <c r="Q6" i="39"/>
  <c r="R6" i="39" s="1"/>
  <c r="Y6" i="39" s="1"/>
  <c r="P6" i="39"/>
  <c r="Q5" i="39"/>
  <c r="R5" i="39" s="1"/>
  <c r="Y5" i="39" s="1"/>
  <c r="P5" i="39"/>
  <c r="Q4" i="39"/>
  <c r="R4" i="39" s="1"/>
  <c r="Y4" i="39" s="1"/>
  <c r="P4" i="39"/>
  <c r="Q3" i="39"/>
  <c r="P3" i="39"/>
  <c r="R3" i="39" s="1"/>
  <c r="D13" i="33" l="1"/>
  <c r="R10" i="39"/>
  <c r="Y10" i="39" s="1"/>
  <c r="R25" i="39"/>
  <c r="Y25" i="39" s="1"/>
  <c r="R45" i="39"/>
  <c r="Y45" i="39" s="1"/>
  <c r="R51" i="39"/>
  <c r="Y51" i="39" s="1"/>
  <c r="R77" i="39"/>
  <c r="Y77" i="39" s="1"/>
  <c r="R83" i="39"/>
  <c r="Y83" i="39" s="1"/>
  <c r="R109" i="39"/>
  <c r="Y109" i="39" s="1"/>
  <c r="R115" i="39"/>
  <c r="Y115" i="39" s="1"/>
  <c r="R136" i="39"/>
  <c r="Y136" i="39" s="1"/>
  <c r="R140" i="39"/>
  <c r="Y140" i="39" s="1"/>
  <c r="R148" i="39"/>
  <c r="Y148" i="39" s="1"/>
  <c r="R170" i="39"/>
  <c r="Y170" i="39" s="1"/>
  <c r="R71" i="39"/>
  <c r="Y71" i="39" s="1"/>
  <c r="R97" i="39"/>
  <c r="Y97" i="39" s="1"/>
  <c r="R206" i="39"/>
  <c r="Y206" i="39" s="1"/>
  <c r="R16" i="39"/>
  <c r="Y16" i="39" s="1"/>
  <c r="R39" i="39"/>
  <c r="Y39" i="39" s="1"/>
  <c r="R135" i="39"/>
  <c r="Y135" i="39" s="1"/>
  <c r="R14" i="39"/>
  <c r="Y14" i="39" s="1"/>
  <c r="R31" i="39"/>
  <c r="Y31" i="39" s="1"/>
  <c r="R37" i="39"/>
  <c r="Y37" i="39" s="1"/>
  <c r="R43" i="39"/>
  <c r="Y43" i="39" s="1"/>
  <c r="R69" i="39"/>
  <c r="Y69" i="39" s="1"/>
  <c r="R75" i="39"/>
  <c r="Y75" i="39" s="1"/>
  <c r="R101" i="39"/>
  <c r="Y101" i="39" s="1"/>
  <c r="R107" i="39"/>
  <c r="Y107" i="39" s="1"/>
  <c r="R133" i="39"/>
  <c r="Y133" i="39" s="1"/>
  <c r="R149" i="39"/>
  <c r="Y149" i="39" s="1"/>
  <c r="R167" i="39"/>
  <c r="Y167" i="39" s="1"/>
  <c r="R171" i="39"/>
  <c r="Y171" i="39" s="1"/>
  <c r="R175" i="39"/>
  <c r="Y175" i="39" s="1"/>
  <c r="R103" i="39"/>
  <c r="Y103" i="39" s="1"/>
  <c r="R129" i="39"/>
  <c r="Y129" i="39" s="1"/>
  <c r="R299" i="39"/>
  <c r="Y299" i="39" s="1"/>
  <c r="R18" i="39"/>
  <c r="Y18" i="39" s="1"/>
  <c r="R35" i="39"/>
  <c r="Y35" i="39" s="1"/>
  <c r="R61" i="39"/>
  <c r="Y61" i="39" s="1"/>
  <c r="R67" i="39"/>
  <c r="Y67" i="39" s="1"/>
  <c r="R93" i="39"/>
  <c r="Y93" i="39" s="1"/>
  <c r="R99" i="39"/>
  <c r="Y99" i="39" s="1"/>
  <c r="R125" i="39"/>
  <c r="Y125" i="39" s="1"/>
  <c r="R131" i="39"/>
  <c r="Y131" i="39" s="1"/>
  <c r="R146" i="39"/>
  <c r="Y146" i="39" s="1"/>
  <c r="R168" i="39"/>
  <c r="Y168" i="39" s="1"/>
  <c r="R172" i="39"/>
  <c r="Y172" i="39" s="1"/>
  <c r="R165" i="39"/>
  <c r="Y165" i="39" s="1"/>
  <c r="R180" i="39"/>
  <c r="Y180" i="39" s="1"/>
  <c r="R184" i="39"/>
  <c r="Y184" i="39" s="1"/>
  <c r="R188" i="39"/>
  <c r="Y188" i="39" s="1"/>
  <c r="R192" i="39"/>
  <c r="Y192" i="39" s="1"/>
  <c r="R196" i="39"/>
  <c r="Y196" i="39" s="1"/>
  <c r="R200" i="39"/>
  <c r="Y200" i="39" s="1"/>
  <c r="R204" i="39"/>
  <c r="Y204" i="39" s="1"/>
  <c r="R208" i="39"/>
  <c r="Y208" i="39" s="1"/>
  <c r="R212" i="39"/>
  <c r="Y212" i="39" s="1"/>
  <c r="R216" i="39"/>
  <c r="Y216" i="39" s="1"/>
  <c r="R220" i="39"/>
  <c r="Y220" i="39" s="1"/>
  <c r="R224" i="39"/>
  <c r="Y224" i="39" s="1"/>
  <c r="R228" i="39"/>
  <c r="Y228" i="39" s="1"/>
  <c r="R232" i="39"/>
  <c r="Y232" i="39" s="1"/>
  <c r="R236" i="39"/>
  <c r="Y236" i="39" s="1"/>
  <c r="R240" i="39"/>
  <c r="Y240" i="39" s="1"/>
  <c r="R244" i="39"/>
  <c r="Y244" i="39" s="1"/>
  <c r="R248" i="39"/>
  <c r="Y248" i="39" s="1"/>
  <c r="R252" i="39"/>
  <c r="Y252" i="39" s="1"/>
  <c r="R256" i="39"/>
  <c r="Y256" i="39" s="1"/>
  <c r="R260" i="39"/>
  <c r="Y260" i="39" s="1"/>
  <c r="R264" i="39"/>
  <c r="Y264" i="39" s="1"/>
  <c r="R268" i="39"/>
  <c r="Y268" i="39" s="1"/>
  <c r="R272" i="39"/>
  <c r="Y272" i="39" s="1"/>
  <c r="R276" i="39"/>
  <c r="Y276" i="39" s="1"/>
  <c r="R280" i="39"/>
  <c r="Y280" i="39" s="1"/>
  <c r="R284" i="39"/>
  <c r="Y284" i="39" s="1"/>
  <c r="R288" i="39"/>
  <c r="Y288" i="39" s="1"/>
  <c r="R292" i="39"/>
  <c r="Y292" i="39" s="1"/>
  <c r="R296" i="39"/>
  <c r="Y296" i="39" s="1"/>
  <c r="R300" i="39"/>
  <c r="Y300" i="39" s="1"/>
  <c r="R33" i="39"/>
  <c r="Y33" i="39" s="1"/>
  <c r="R65" i="39"/>
  <c r="Y65" i="39" s="1"/>
  <c r="R154" i="39"/>
  <c r="Y154" i="39" s="1"/>
  <c r="Y3" i="39"/>
  <c r="R141" i="39"/>
  <c r="Y141" i="39" s="1"/>
  <c r="R174" i="39"/>
  <c r="Y174" i="39" s="1"/>
  <c r="P305" i="39"/>
  <c r="Q305" i="39"/>
  <c r="R138" i="39"/>
  <c r="Y138" i="39" s="1"/>
  <c r="R145" i="39"/>
  <c r="Y145" i="39" s="1"/>
  <c r="R161" i="39"/>
  <c r="Y161" i="39" s="1"/>
  <c r="R177" i="39"/>
  <c r="Y177" i="39" s="1"/>
  <c r="R210" i="39"/>
  <c r="Y210" i="39" s="1"/>
  <c r="R214" i="39"/>
  <c r="Y214" i="39" s="1"/>
  <c r="R218" i="39"/>
  <c r="Y218" i="39" s="1"/>
  <c r="R222" i="39"/>
  <c r="Y222" i="39" s="1"/>
  <c r="R226" i="39"/>
  <c r="Y226" i="39" s="1"/>
  <c r="R230" i="39"/>
  <c r="Y230" i="39" s="1"/>
  <c r="R234" i="39"/>
  <c r="Y234" i="39" s="1"/>
  <c r="R238" i="39"/>
  <c r="Y238" i="39" s="1"/>
  <c r="R242" i="39"/>
  <c r="Y242" i="39" s="1"/>
  <c r="R246" i="39"/>
  <c r="Y246" i="39" s="1"/>
  <c r="R250" i="39"/>
  <c r="Y250" i="39" s="1"/>
  <c r="R254" i="39"/>
  <c r="Y254" i="39" s="1"/>
  <c r="R258" i="39"/>
  <c r="Y258" i="39" s="1"/>
  <c r="R262" i="39"/>
  <c r="Y262" i="39" s="1"/>
  <c r="R266" i="39"/>
  <c r="Y266" i="39" s="1"/>
  <c r="R270" i="39"/>
  <c r="Y270" i="39" s="1"/>
  <c r="R274" i="39"/>
  <c r="Y274" i="39" s="1"/>
  <c r="R278" i="39"/>
  <c r="Y278" i="39" s="1"/>
  <c r="R282" i="39"/>
  <c r="Y282" i="39" s="1"/>
  <c r="R286" i="39"/>
  <c r="Y286" i="39" s="1"/>
  <c r="R290" i="39"/>
  <c r="Y290" i="39" s="1"/>
  <c r="R294" i="39"/>
  <c r="Y294" i="39" s="1"/>
  <c r="R298" i="39"/>
  <c r="Y298" i="39" s="1"/>
  <c r="R302" i="39"/>
  <c r="Y302" i="39" s="1"/>
  <c r="R153" i="39"/>
  <c r="Y153" i="39" s="1"/>
  <c r="R169" i="39"/>
  <c r="Y169" i="39" s="1"/>
  <c r="R147" i="39"/>
  <c r="Y147" i="39" s="1"/>
  <c r="R163" i="39"/>
  <c r="Y163" i="39" s="1"/>
  <c r="R179" i="39"/>
  <c r="Y179" i="39" s="1"/>
  <c r="R183" i="39"/>
  <c r="Y183" i="39" s="1"/>
  <c r="D15" i="33" l="1"/>
  <c r="D2" i="2"/>
  <c r="Y305" i="39"/>
  <c r="R305" i="39"/>
  <c r="D11" i="2" l="1"/>
  <c r="I12" i="33" l="1"/>
  <c r="J12" i="33" s="1"/>
  <c r="H12" i="33"/>
  <c r="G12" i="33"/>
  <c r="F12" i="33"/>
  <c r="E12" i="33"/>
  <c r="I11" i="33"/>
  <c r="J11" i="33" s="1"/>
  <c r="H11" i="33"/>
  <c r="G11" i="33"/>
  <c r="F11" i="33"/>
  <c r="E11" i="33"/>
  <c r="F11" i="2"/>
  <c r="S3" i="2"/>
  <c r="T3" i="2"/>
  <c r="S5" i="2"/>
  <c r="T5" i="2"/>
  <c r="S6" i="2"/>
  <c r="T6" i="2"/>
  <c r="S7" i="2"/>
  <c r="T7" i="2"/>
  <c r="S8" i="2"/>
  <c r="T8" i="2"/>
  <c r="S9" i="2"/>
  <c r="T9" i="2"/>
  <c r="I8" i="33"/>
  <c r="H8" i="33"/>
  <c r="H13" i="33" s="1"/>
  <c r="G8" i="33"/>
  <c r="G13" i="33" s="1"/>
  <c r="F8" i="33"/>
  <c r="F13" i="33" s="1"/>
  <c r="E8" i="33"/>
  <c r="E13" i="33" s="1"/>
  <c r="I9" i="33"/>
  <c r="J9" i="33" s="1"/>
  <c r="X305" i="32"/>
  <c r="E14" i="33" s="1"/>
  <c r="H2" i="2" s="1"/>
  <c r="U305" i="32"/>
  <c r="E10" i="33" s="1"/>
  <c r="T305" i="32"/>
  <c r="E9" i="33" s="1"/>
  <c r="S305" i="32"/>
  <c r="E7" i="33" s="1"/>
  <c r="N305" i="32"/>
  <c r="M305" i="32"/>
  <c r="L305" i="32"/>
  <c r="X305" i="34"/>
  <c r="F14" i="33" s="1"/>
  <c r="J2" i="2" s="1"/>
  <c r="J11" i="2" s="1"/>
  <c r="U305" i="34"/>
  <c r="F10" i="33" s="1"/>
  <c r="T305" i="34"/>
  <c r="F9" i="33" s="1"/>
  <c r="S305" i="34"/>
  <c r="F7" i="33" s="1"/>
  <c r="N305" i="34"/>
  <c r="M305" i="34"/>
  <c r="L305" i="34"/>
  <c r="X305" i="35"/>
  <c r="G14" i="33" s="1"/>
  <c r="L2" i="2" s="1"/>
  <c r="L11" i="2" s="1"/>
  <c r="U305" i="35"/>
  <c r="G10" i="33" s="1"/>
  <c r="T305" i="35"/>
  <c r="G9" i="33" s="1"/>
  <c r="S305" i="35"/>
  <c r="G7" i="33" s="1"/>
  <c r="N305" i="35"/>
  <c r="M305" i="35"/>
  <c r="L305" i="35"/>
  <c r="X305" i="36"/>
  <c r="H14" i="33" s="1"/>
  <c r="N2" i="2" s="1"/>
  <c r="N11" i="2" s="1"/>
  <c r="U305" i="36"/>
  <c r="H10" i="33" s="1"/>
  <c r="T305" i="36"/>
  <c r="H9" i="33" s="1"/>
  <c r="S305" i="36"/>
  <c r="H7" i="33" s="1"/>
  <c r="N305" i="36"/>
  <c r="M305" i="36"/>
  <c r="L305" i="36"/>
  <c r="T305" i="37"/>
  <c r="U305" i="37"/>
  <c r="I10" i="33" s="1"/>
  <c r="J10" i="33" s="1"/>
  <c r="X305" i="37"/>
  <c r="I14" i="33" s="1"/>
  <c r="J14" i="33" s="1"/>
  <c r="S305" i="37"/>
  <c r="I7" i="33" s="1"/>
  <c r="J7" i="33" s="1"/>
  <c r="M305" i="37"/>
  <c r="N305" i="37"/>
  <c r="L305" i="37"/>
  <c r="P3" i="35"/>
  <c r="Q3" i="35"/>
  <c r="Q302" i="37"/>
  <c r="P302" i="37"/>
  <c r="Q301" i="37"/>
  <c r="P301" i="37"/>
  <c r="Q300" i="37"/>
  <c r="P300" i="37"/>
  <c r="Q299" i="37"/>
  <c r="P299" i="37"/>
  <c r="Q298" i="37"/>
  <c r="P298" i="37"/>
  <c r="Q297" i="37"/>
  <c r="P297" i="37"/>
  <c r="Q296" i="37"/>
  <c r="P296" i="37"/>
  <c r="Q295" i="37"/>
  <c r="P295" i="37"/>
  <c r="Q294" i="37"/>
  <c r="P294" i="37"/>
  <c r="Q293" i="37"/>
  <c r="P293" i="37"/>
  <c r="Q292" i="37"/>
  <c r="P292" i="37"/>
  <c r="Q291" i="37"/>
  <c r="P291" i="37"/>
  <c r="Q290" i="37"/>
  <c r="P290" i="37"/>
  <c r="Q289" i="37"/>
  <c r="P289" i="37"/>
  <c r="Q288" i="37"/>
  <c r="P288" i="37"/>
  <c r="Q287" i="37"/>
  <c r="P287" i="37"/>
  <c r="Q286" i="37"/>
  <c r="P286" i="37"/>
  <c r="Q285" i="37"/>
  <c r="P285" i="37"/>
  <c r="Q284" i="37"/>
  <c r="P284" i="37"/>
  <c r="Q283" i="37"/>
  <c r="P283" i="37"/>
  <c r="Q282" i="37"/>
  <c r="P282" i="37"/>
  <c r="Q281" i="37"/>
  <c r="P281" i="37"/>
  <c r="Q280" i="37"/>
  <c r="P280" i="37"/>
  <c r="Q279" i="37"/>
  <c r="P279" i="37"/>
  <c r="Q278" i="37"/>
  <c r="P278" i="37"/>
  <c r="Q277" i="37"/>
  <c r="P277" i="37"/>
  <c r="Q276" i="37"/>
  <c r="P276" i="37"/>
  <c r="Q275" i="37"/>
  <c r="P275" i="37"/>
  <c r="Q274" i="37"/>
  <c r="P274" i="37"/>
  <c r="Q273" i="37"/>
  <c r="P273" i="37"/>
  <c r="Q272" i="37"/>
  <c r="P272" i="37"/>
  <c r="Q271" i="37"/>
  <c r="P271" i="37"/>
  <c r="Q270" i="37"/>
  <c r="P270" i="37"/>
  <c r="Q269" i="37"/>
  <c r="P269" i="37"/>
  <c r="Q268" i="37"/>
  <c r="P268" i="37"/>
  <c r="Q267" i="37"/>
  <c r="P267" i="37"/>
  <c r="Q266" i="37"/>
  <c r="P266" i="37"/>
  <c r="Q265" i="37"/>
  <c r="P265" i="37"/>
  <c r="Q264" i="37"/>
  <c r="P264" i="37"/>
  <c r="Q263" i="37"/>
  <c r="P263" i="37"/>
  <c r="Q262" i="37"/>
  <c r="P262" i="37"/>
  <c r="Q261" i="37"/>
  <c r="P261" i="37"/>
  <c r="Q260" i="37"/>
  <c r="P260" i="37"/>
  <c r="Q259" i="37"/>
  <c r="P259" i="37"/>
  <c r="Q258" i="37"/>
  <c r="P258" i="37"/>
  <c r="Q257" i="37"/>
  <c r="P257" i="37"/>
  <c r="Q256" i="37"/>
  <c r="P256" i="37"/>
  <c r="Q255" i="37"/>
  <c r="P255" i="37"/>
  <c r="Q254" i="37"/>
  <c r="P254" i="37"/>
  <c r="Q253" i="37"/>
  <c r="P253" i="37"/>
  <c r="Q252" i="37"/>
  <c r="P252" i="37"/>
  <c r="Q251" i="37"/>
  <c r="P251" i="37"/>
  <c r="Q250" i="37"/>
  <c r="P250" i="37"/>
  <c r="Q249" i="37"/>
  <c r="P249" i="37"/>
  <c r="Q248" i="37"/>
  <c r="P248" i="37"/>
  <c r="Q247" i="37"/>
  <c r="P247" i="37"/>
  <c r="Q246" i="37"/>
  <c r="P246" i="37"/>
  <c r="Q245" i="37"/>
  <c r="P245" i="37"/>
  <c r="Q244" i="37"/>
  <c r="P244" i="37"/>
  <c r="Q243" i="37"/>
  <c r="P243" i="37"/>
  <c r="Q242" i="37"/>
  <c r="P242" i="37"/>
  <c r="Q241" i="37"/>
  <c r="P241" i="37"/>
  <c r="Q240" i="37"/>
  <c r="P240" i="37"/>
  <c r="Q239" i="37"/>
  <c r="P239" i="37"/>
  <c r="Q238" i="37"/>
  <c r="P238" i="37"/>
  <c r="Q237" i="37"/>
  <c r="P237" i="37"/>
  <c r="Q236" i="37"/>
  <c r="P236" i="37"/>
  <c r="Q235" i="37"/>
  <c r="P235" i="37"/>
  <c r="Q234" i="37"/>
  <c r="P234" i="37"/>
  <c r="Q233" i="37"/>
  <c r="P233" i="37"/>
  <c r="Q232" i="37"/>
  <c r="P232" i="37"/>
  <c r="Q231" i="37"/>
  <c r="P231" i="37"/>
  <c r="Q230" i="37"/>
  <c r="P230" i="37"/>
  <c r="Q229" i="37"/>
  <c r="P229" i="37"/>
  <c r="Q228" i="37"/>
  <c r="P228" i="37"/>
  <c r="Q227" i="37"/>
  <c r="P227" i="37"/>
  <c r="Q226" i="37"/>
  <c r="P226" i="37"/>
  <c r="Q225" i="37"/>
  <c r="P225" i="37"/>
  <c r="Q224" i="37"/>
  <c r="P224" i="37"/>
  <c r="Q223" i="37"/>
  <c r="P223" i="37"/>
  <c r="Q222" i="37"/>
  <c r="P222" i="37"/>
  <c r="Q221" i="37"/>
  <c r="P221" i="37"/>
  <c r="Q220" i="37"/>
  <c r="P220" i="37"/>
  <c r="Q219" i="37"/>
  <c r="P219" i="37"/>
  <c r="Q218" i="37"/>
  <c r="P218" i="37"/>
  <c r="Q217" i="37"/>
  <c r="P217" i="37"/>
  <c r="Q216" i="37"/>
  <c r="P216" i="37"/>
  <c r="Q215" i="37"/>
  <c r="P215" i="37"/>
  <c r="Q214" i="37"/>
  <c r="P214" i="37"/>
  <c r="Q213" i="37"/>
  <c r="P213" i="37"/>
  <c r="Q212" i="37"/>
  <c r="P212" i="37"/>
  <c r="Q211" i="37"/>
  <c r="P211" i="37"/>
  <c r="Q210" i="37"/>
  <c r="P210" i="37"/>
  <c r="Q209" i="37"/>
  <c r="P209" i="37"/>
  <c r="Q208" i="37"/>
  <c r="P208" i="37"/>
  <c r="Q207" i="37"/>
  <c r="P207" i="37"/>
  <c r="Q206" i="37"/>
  <c r="P206" i="37"/>
  <c r="Q205" i="37"/>
  <c r="P205" i="37"/>
  <c r="Q204" i="37"/>
  <c r="P204" i="37"/>
  <c r="Q203" i="37"/>
  <c r="P203" i="37"/>
  <c r="Q202" i="37"/>
  <c r="P202" i="37"/>
  <c r="Q201" i="37"/>
  <c r="P201" i="37"/>
  <c r="Q200" i="37"/>
  <c r="P200" i="37"/>
  <c r="Q199" i="37"/>
  <c r="P199" i="37"/>
  <c r="Q198" i="37"/>
  <c r="P198" i="37"/>
  <c r="Q197" i="37"/>
  <c r="P197" i="37"/>
  <c r="Q196" i="37"/>
  <c r="P196" i="37"/>
  <c r="Q195" i="37"/>
  <c r="P195" i="37"/>
  <c r="Q194" i="37"/>
  <c r="P194" i="37"/>
  <c r="Q193" i="37"/>
  <c r="P193" i="37"/>
  <c r="Q192" i="37"/>
  <c r="P192" i="37"/>
  <c r="Q191" i="37"/>
  <c r="P191" i="37"/>
  <c r="Q190" i="37"/>
  <c r="P190" i="37"/>
  <c r="Q189" i="37"/>
  <c r="P189" i="37"/>
  <c r="Q188" i="37"/>
  <c r="P188" i="37"/>
  <c r="Q187" i="37"/>
  <c r="P187" i="37"/>
  <c r="Q186" i="37"/>
  <c r="P186" i="37"/>
  <c r="Q185" i="37"/>
  <c r="P185" i="37"/>
  <c r="Q184" i="37"/>
  <c r="P184" i="37"/>
  <c r="Q183" i="37"/>
  <c r="P183" i="37"/>
  <c r="Q182" i="37"/>
  <c r="P182" i="37"/>
  <c r="Q181" i="37"/>
  <c r="P181" i="37"/>
  <c r="Q180" i="37"/>
  <c r="P180" i="37"/>
  <c r="Q179" i="37"/>
  <c r="P179" i="37"/>
  <c r="Q178" i="37"/>
  <c r="P178" i="37"/>
  <c r="Q177" i="37"/>
  <c r="P177" i="37"/>
  <c r="Q176" i="37"/>
  <c r="P176" i="37"/>
  <c r="Q175" i="37"/>
  <c r="P175" i="37"/>
  <c r="Q174" i="37"/>
  <c r="P174" i="37"/>
  <c r="Q173" i="37"/>
  <c r="P173" i="37"/>
  <c r="Q172" i="37"/>
  <c r="P172" i="37"/>
  <c r="Q171" i="37"/>
  <c r="P171" i="37"/>
  <c r="Q170" i="37"/>
  <c r="P170" i="37"/>
  <c r="Q169" i="37"/>
  <c r="P169" i="37"/>
  <c r="Q168" i="37"/>
  <c r="P168" i="37"/>
  <c r="Q167" i="37"/>
  <c r="P167" i="37"/>
  <c r="Q166" i="37"/>
  <c r="P166" i="37"/>
  <c r="Q165" i="37"/>
  <c r="P165" i="37"/>
  <c r="Q164" i="37"/>
  <c r="P164" i="37"/>
  <c r="Q163" i="37"/>
  <c r="P163" i="37"/>
  <c r="Q162" i="37"/>
  <c r="P162" i="37"/>
  <c r="Q161" i="37"/>
  <c r="P161" i="37"/>
  <c r="Q160" i="37"/>
  <c r="P160" i="37"/>
  <c r="Q159" i="37"/>
  <c r="P159" i="37"/>
  <c r="Q158" i="37"/>
  <c r="P158" i="37"/>
  <c r="Q157" i="37"/>
  <c r="P157" i="37"/>
  <c r="Q156" i="37"/>
  <c r="P156" i="37"/>
  <c r="Q155" i="37"/>
  <c r="P155" i="37"/>
  <c r="Q154" i="37"/>
  <c r="P154" i="37"/>
  <c r="Q153" i="37"/>
  <c r="P153" i="37"/>
  <c r="Q152" i="37"/>
  <c r="P152" i="37"/>
  <c r="Q151" i="37"/>
  <c r="P151" i="37"/>
  <c r="Q150" i="37"/>
  <c r="P150" i="37"/>
  <c r="Q149" i="37"/>
  <c r="P149" i="37"/>
  <c r="Q148" i="37"/>
  <c r="P148" i="37"/>
  <c r="Q147" i="37"/>
  <c r="P147" i="37"/>
  <c r="Q146" i="37"/>
  <c r="P146" i="37"/>
  <c r="Q145" i="37"/>
  <c r="P145" i="37"/>
  <c r="Q144" i="37"/>
  <c r="P144" i="37"/>
  <c r="Q143" i="37"/>
  <c r="P143" i="37"/>
  <c r="Q142" i="37"/>
  <c r="P142" i="37"/>
  <c r="Q141" i="37"/>
  <c r="P141" i="37"/>
  <c r="Q140" i="37"/>
  <c r="P140" i="37"/>
  <c r="Q139" i="37"/>
  <c r="P139" i="37"/>
  <c r="Q138" i="37"/>
  <c r="P138" i="37"/>
  <c r="Q137" i="37"/>
  <c r="P137" i="37"/>
  <c r="Q136" i="37"/>
  <c r="P136" i="37"/>
  <c r="Q135" i="37"/>
  <c r="P135" i="37"/>
  <c r="Q134" i="37"/>
  <c r="P134" i="37"/>
  <c r="Q133" i="37"/>
  <c r="P133" i="37"/>
  <c r="Q132" i="37"/>
  <c r="P132" i="37"/>
  <c r="Q131" i="37"/>
  <c r="P131" i="37"/>
  <c r="Q130" i="37"/>
  <c r="P130" i="37"/>
  <c r="Q129" i="37"/>
  <c r="P129" i="37"/>
  <c r="Q128" i="37"/>
  <c r="P128" i="37"/>
  <c r="Q127" i="37"/>
  <c r="P127" i="37"/>
  <c r="Q126" i="37"/>
  <c r="P126" i="37"/>
  <c r="Q125" i="37"/>
  <c r="P125" i="37"/>
  <c r="Q124" i="37"/>
  <c r="P124" i="37"/>
  <c r="Q123" i="37"/>
  <c r="P123" i="37"/>
  <c r="Q122" i="37"/>
  <c r="P122" i="37"/>
  <c r="Q121" i="37"/>
  <c r="P121" i="37"/>
  <c r="Q120" i="37"/>
  <c r="P120" i="37"/>
  <c r="Q119" i="37"/>
  <c r="P119" i="37"/>
  <c r="Q118" i="37"/>
  <c r="P118" i="37"/>
  <c r="Q117" i="37"/>
  <c r="P117" i="37"/>
  <c r="Q116" i="37"/>
  <c r="P116" i="37"/>
  <c r="Q115" i="37"/>
  <c r="P115" i="37"/>
  <c r="Q114" i="37"/>
  <c r="P114" i="37"/>
  <c r="Q113" i="37"/>
  <c r="P113" i="37"/>
  <c r="Q112" i="37"/>
  <c r="P112" i="37"/>
  <c r="Q111" i="37"/>
  <c r="P111" i="37"/>
  <c r="Q110" i="37"/>
  <c r="P110" i="37"/>
  <c r="Q109" i="37"/>
  <c r="P109" i="37"/>
  <c r="Q108" i="37"/>
  <c r="P108" i="37"/>
  <c r="Q107" i="37"/>
  <c r="P107" i="37"/>
  <c r="Q106" i="37"/>
  <c r="P106" i="37"/>
  <c r="Q105" i="37"/>
  <c r="P105" i="37"/>
  <c r="Q104" i="37"/>
  <c r="P104" i="37"/>
  <c r="Q103" i="37"/>
  <c r="P103" i="37"/>
  <c r="Q102" i="37"/>
  <c r="P102" i="37"/>
  <c r="Q101" i="37"/>
  <c r="P101" i="37"/>
  <c r="Q100" i="37"/>
  <c r="P100" i="37"/>
  <c r="Q99" i="37"/>
  <c r="P99" i="37"/>
  <c r="Q98" i="37"/>
  <c r="P98" i="37"/>
  <c r="Q97" i="37"/>
  <c r="P97" i="37"/>
  <c r="Q96" i="37"/>
  <c r="P96" i="37"/>
  <c r="Q95" i="37"/>
  <c r="P95" i="37"/>
  <c r="Q94" i="37"/>
  <c r="P94" i="37"/>
  <c r="Q93" i="37"/>
  <c r="P93" i="37"/>
  <c r="Q92" i="37"/>
  <c r="P92" i="37"/>
  <c r="Q91" i="37"/>
  <c r="P91" i="37"/>
  <c r="Q90" i="37"/>
  <c r="P90" i="37"/>
  <c r="Q89" i="37"/>
  <c r="P89" i="37"/>
  <c r="Q88" i="37"/>
  <c r="P88" i="37"/>
  <c r="Q87" i="37"/>
  <c r="P87" i="37"/>
  <c r="Q86" i="37"/>
  <c r="P86" i="37"/>
  <c r="Q85" i="37"/>
  <c r="P85" i="37"/>
  <c r="Q84" i="37"/>
  <c r="P84" i="37"/>
  <c r="Q83" i="37"/>
  <c r="P83" i="37"/>
  <c r="Q82" i="37"/>
  <c r="P82" i="37"/>
  <c r="Q81" i="37"/>
  <c r="P81" i="37"/>
  <c r="Q80" i="37"/>
  <c r="P80" i="37"/>
  <c r="Q79" i="37"/>
  <c r="P79" i="37"/>
  <c r="Q78" i="37"/>
  <c r="P78" i="37"/>
  <c r="Q77" i="37"/>
  <c r="P77" i="37"/>
  <c r="Q76" i="37"/>
  <c r="P76" i="37"/>
  <c r="Q75" i="37"/>
  <c r="P75" i="37"/>
  <c r="Q74" i="37"/>
  <c r="P74" i="37"/>
  <c r="Q73" i="37"/>
  <c r="P73" i="37"/>
  <c r="Q72" i="37"/>
  <c r="P72" i="37"/>
  <c r="Q71" i="37"/>
  <c r="P71" i="37"/>
  <c r="Q70" i="37"/>
  <c r="P70" i="37"/>
  <c r="Q69" i="37"/>
  <c r="P69" i="37"/>
  <c r="Q68" i="37"/>
  <c r="P68" i="37"/>
  <c r="Q67" i="37"/>
  <c r="P67" i="37"/>
  <c r="Q66" i="37"/>
  <c r="P66" i="37"/>
  <c r="Q65" i="37"/>
  <c r="P65" i="37"/>
  <c r="Q64" i="37"/>
  <c r="P64" i="37"/>
  <c r="Q63" i="37"/>
  <c r="P63" i="37"/>
  <c r="Q62" i="37"/>
  <c r="P62" i="37"/>
  <c r="Q61" i="37"/>
  <c r="P61" i="37"/>
  <c r="Q60" i="37"/>
  <c r="P60" i="37"/>
  <c r="Q59" i="37"/>
  <c r="P59" i="37"/>
  <c r="Q58" i="37"/>
  <c r="P58" i="37"/>
  <c r="Q57" i="37"/>
  <c r="P57" i="37"/>
  <c r="Q56" i="37"/>
  <c r="P56" i="37"/>
  <c r="Q55" i="37"/>
  <c r="P55" i="37"/>
  <c r="Q54" i="37"/>
  <c r="P54" i="37"/>
  <c r="Q53" i="37"/>
  <c r="P53" i="37"/>
  <c r="Q52" i="37"/>
  <c r="P52" i="37"/>
  <c r="Q51" i="37"/>
  <c r="P51" i="37"/>
  <c r="Q50" i="37"/>
  <c r="P50" i="37"/>
  <c r="Q49" i="37"/>
  <c r="P49" i="37"/>
  <c r="Q48" i="37"/>
  <c r="P48" i="37"/>
  <c r="Q47" i="37"/>
  <c r="P47" i="37"/>
  <c r="Q46" i="37"/>
  <c r="P46" i="37"/>
  <c r="Q45" i="37"/>
  <c r="P45" i="37"/>
  <c r="Q44" i="37"/>
  <c r="P44" i="37"/>
  <c r="Q43" i="37"/>
  <c r="P43" i="37"/>
  <c r="Q42" i="37"/>
  <c r="P42" i="37"/>
  <c r="Q41" i="37"/>
  <c r="P41" i="37"/>
  <c r="Q40" i="37"/>
  <c r="P40" i="37"/>
  <c r="Q39" i="37"/>
  <c r="P39" i="37"/>
  <c r="Q38" i="37"/>
  <c r="P38" i="37"/>
  <c r="Q37" i="37"/>
  <c r="P37" i="37"/>
  <c r="Q36" i="37"/>
  <c r="P36" i="37"/>
  <c r="Q35" i="37"/>
  <c r="P35" i="37"/>
  <c r="Q34" i="37"/>
  <c r="P34" i="37"/>
  <c r="Q33" i="37"/>
  <c r="P33" i="37"/>
  <c r="Q32" i="37"/>
  <c r="P32" i="37"/>
  <c r="Q31" i="37"/>
  <c r="P31" i="37"/>
  <c r="Q30" i="37"/>
  <c r="P30" i="37"/>
  <c r="Q29" i="37"/>
  <c r="P29" i="37"/>
  <c r="Q28" i="37"/>
  <c r="P28" i="37"/>
  <c r="Q27" i="37"/>
  <c r="P27" i="37"/>
  <c r="Q26" i="37"/>
  <c r="P26" i="37"/>
  <c r="Q25" i="37"/>
  <c r="P25" i="37"/>
  <c r="Q24" i="37"/>
  <c r="P24" i="37"/>
  <c r="Q23" i="37"/>
  <c r="P23" i="37"/>
  <c r="Q22" i="37"/>
  <c r="P22" i="37"/>
  <c r="Q21" i="37"/>
  <c r="P21" i="37"/>
  <c r="Q20" i="37"/>
  <c r="P20" i="37"/>
  <c r="Q19" i="37"/>
  <c r="P19" i="37"/>
  <c r="Q18" i="37"/>
  <c r="P18" i="37"/>
  <c r="Q17" i="37"/>
  <c r="P17" i="37"/>
  <c r="Q16" i="37"/>
  <c r="P16" i="37"/>
  <c r="Q15" i="37"/>
  <c r="P15" i="37"/>
  <c r="Q14" i="37"/>
  <c r="P14" i="37"/>
  <c r="Q13" i="37"/>
  <c r="P13" i="37"/>
  <c r="Q12" i="37"/>
  <c r="P12" i="37"/>
  <c r="Q11" i="37"/>
  <c r="P11" i="37"/>
  <c r="Q10" i="37"/>
  <c r="P10" i="37"/>
  <c r="Q9" i="37"/>
  <c r="P9" i="37"/>
  <c r="Q8" i="37"/>
  <c r="P8" i="37"/>
  <c r="Q7" i="37"/>
  <c r="P7" i="37"/>
  <c r="Q6" i="37"/>
  <c r="P6" i="37"/>
  <c r="Q5" i="37"/>
  <c r="P5" i="37"/>
  <c r="Q4" i="37"/>
  <c r="P4" i="37"/>
  <c r="Q3" i="37"/>
  <c r="P3" i="37"/>
  <c r="Q302" i="36"/>
  <c r="P302" i="36"/>
  <c r="Q301" i="36"/>
  <c r="P301" i="36"/>
  <c r="Q300" i="36"/>
  <c r="P300" i="36"/>
  <c r="Q299" i="36"/>
  <c r="P299" i="36"/>
  <c r="Q298" i="36"/>
  <c r="P298" i="36"/>
  <c r="Q297" i="36"/>
  <c r="P297" i="36"/>
  <c r="Q296" i="36"/>
  <c r="P296" i="36"/>
  <c r="Q295" i="36"/>
  <c r="P295" i="36"/>
  <c r="Q294" i="36"/>
  <c r="P294" i="36"/>
  <c r="Q293" i="36"/>
  <c r="P293" i="36"/>
  <c r="Q292" i="36"/>
  <c r="P292" i="36"/>
  <c r="Q291" i="36"/>
  <c r="P291" i="36"/>
  <c r="Q290" i="36"/>
  <c r="P290" i="36"/>
  <c r="Q289" i="36"/>
  <c r="P289" i="36"/>
  <c r="Q288" i="36"/>
  <c r="P288" i="36"/>
  <c r="Q287" i="36"/>
  <c r="P287" i="36"/>
  <c r="Q286" i="36"/>
  <c r="P286" i="36"/>
  <c r="Q285" i="36"/>
  <c r="P285" i="36"/>
  <c r="Q284" i="36"/>
  <c r="P284" i="36"/>
  <c r="Q283" i="36"/>
  <c r="P283" i="36"/>
  <c r="Q282" i="36"/>
  <c r="P282" i="36"/>
  <c r="Q281" i="36"/>
  <c r="P281" i="36"/>
  <c r="Q280" i="36"/>
  <c r="P280" i="36"/>
  <c r="Q279" i="36"/>
  <c r="P279" i="36"/>
  <c r="Q278" i="36"/>
  <c r="P278" i="36"/>
  <c r="Q277" i="36"/>
  <c r="P277" i="36"/>
  <c r="Q276" i="36"/>
  <c r="P276" i="36"/>
  <c r="Q275" i="36"/>
  <c r="P275" i="36"/>
  <c r="Q274" i="36"/>
  <c r="P274" i="36"/>
  <c r="Q273" i="36"/>
  <c r="P273" i="36"/>
  <c r="Q272" i="36"/>
  <c r="P272" i="36"/>
  <c r="Q271" i="36"/>
  <c r="P271" i="36"/>
  <c r="Q270" i="36"/>
  <c r="P270" i="36"/>
  <c r="Q269" i="36"/>
  <c r="P269" i="36"/>
  <c r="Q268" i="36"/>
  <c r="P268" i="36"/>
  <c r="Q267" i="36"/>
  <c r="P267" i="36"/>
  <c r="Q266" i="36"/>
  <c r="P266" i="36"/>
  <c r="Q265" i="36"/>
  <c r="P265" i="36"/>
  <c r="Q264" i="36"/>
  <c r="P264" i="36"/>
  <c r="Q263" i="36"/>
  <c r="P263" i="36"/>
  <c r="Q262" i="36"/>
  <c r="P262" i="36"/>
  <c r="Q261" i="36"/>
  <c r="P261" i="36"/>
  <c r="Q260" i="36"/>
  <c r="P260" i="36"/>
  <c r="Q259" i="36"/>
  <c r="P259" i="36"/>
  <c r="Q258" i="36"/>
  <c r="P258" i="36"/>
  <c r="Q257" i="36"/>
  <c r="P257" i="36"/>
  <c r="Q256" i="36"/>
  <c r="P256" i="36"/>
  <c r="Q255" i="36"/>
  <c r="P255" i="36"/>
  <c r="Q254" i="36"/>
  <c r="P254" i="36"/>
  <c r="Q253" i="36"/>
  <c r="P253" i="36"/>
  <c r="Q252" i="36"/>
  <c r="P252" i="36"/>
  <c r="Q251" i="36"/>
  <c r="P251" i="36"/>
  <c r="Q250" i="36"/>
  <c r="P250" i="36"/>
  <c r="Q249" i="36"/>
  <c r="P249" i="36"/>
  <c r="Q248" i="36"/>
  <c r="P248" i="36"/>
  <c r="Q247" i="36"/>
  <c r="P247" i="36"/>
  <c r="Q246" i="36"/>
  <c r="P246" i="36"/>
  <c r="Q245" i="36"/>
  <c r="P245" i="36"/>
  <c r="Q244" i="36"/>
  <c r="P244" i="36"/>
  <c r="Q243" i="36"/>
  <c r="R243" i="36" s="1"/>
  <c r="Y243" i="36" s="1"/>
  <c r="P243" i="36"/>
  <c r="Q242" i="36"/>
  <c r="P242" i="36"/>
  <c r="Q241" i="36"/>
  <c r="P241" i="36"/>
  <c r="Q240" i="36"/>
  <c r="P240" i="36"/>
  <c r="Q239" i="36"/>
  <c r="P239" i="36"/>
  <c r="Q238" i="36"/>
  <c r="P238" i="36"/>
  <c r="Q237" i="36"/>
  <c r="P237" i="36"/>
  <c r="Q236" i="36"/>
  <c r="P236" i="36"/>
  <c r="Q235" i="36"/>
  <c r="P235" i="36"/>
  <c r="Q234" i="36"/>
  <c r="P234" i="36"/>
  <c r="Q233" i="36"/>
  <c r="P233" i="36"/>
  <c r="Q232" i="36"/>
  <c r="P232" i="36"/>
  <c r="Q231" i="36"/>
  <c r="P231" i="36"/>
  <c r="Q230" i="36"/>
  <c r="P230" i="36"/>
  <c r="Q229" i="36"/>
  <c r="P229" i="36"/>
  <c r="Q228" i="36"/>
  <c r="P228" i="36"/>
  <c r="Q227" i="36"/>
  <c r="P227" i="36"/>
  <c r="Q226" i="36"/>
  <c r="P226" i="36"/>
  <c r="Q225" i="36"/>
  <c r="P225" i="36"/>
  <c r="Q224" i="36"/>
  <c r="P224" i="36"/>
  <c r="Q223" i="36"/>
  <c r="P223" i="36"/>
  <c r="Q222" i="36"/>
  <c r="P222" i="36"/>
  <c r="Q221" i="36"/>
  <c r="P221" i="36"/>
  <c r="Q220" i="36"/>
  <c r="P220" i="36"/>
  <c r="Q219" i="36"/>
  <c r="P219" i="36"/>
  <c r="Q218" i="36"/>
  <c r="P218" i="36"/>
  <c r="Q217" i="36"/>
  <c r="P217" i="36"/>
  <c r="Q216" i="36"/>
  <c r="P216" i="36"/>
  <c r="Q215" i="36"/>
  <c r="P215" i="36"/>
  <c r="Q214" i="36"/>
  <c r="P214" i="36"/>
  <c r="Q213" i="36"/>
  <c r="P213" i="36"/>
  <c r="Q212" i="36"/>
  <c r="P212" i="36"/>
  <c r="Q211" i="36"/>
  <c r="P211" i="36"/>
  <c r="Q210" i="36"/>
  <c r="P210" i="36"/>
  <c r="Q209" i="36"/>
  <c r="P209" i="36"/>
  <c r="Q208" i="36"/>
  <c r="P208" i="36"/>
  <c r="Q207" i="36"/>
  <c r="P207" i="36"/>
  <c r="Q206" i="36"/>
  <c r="P206" i="36"/>
  <c r="Q205" i="36"/>
  <c r="P205" i="36"/>
  <c r="Q204" i="36"/>
  <c r="P204" i="36"/>
  <c r="Q203" i="36"/>
  <c r="P203" i="36"/>
  <c r="Q202" i="36"/>
  <c r="P202" i="36"/>
  <c r="Q201" i="36"/>
  <c r="P201" i="36"/>
  <c r="Q200" i="36"/>
  <c r="P200" i="36"/>
  <c r="Q199" i="36"/>
  <c r="P199" i="36"/>
  <c r="Q198" i="36"/>
  <c r="P198" i="36"/>
  <c r="Q197" i="36"/>
  <c r="P197" i="36"/>
  <c r="Q196" i="36"/>
  <c r="P196" i="36"/>
  <c r="Q195" i="36"/>
  <c r="P195" i="36"/>
  <c r="Q194" i="36"/>
  <c r="P194" i="36"/>
  <c r="Q193" i="36"/>
  <c r="P193" i="36"/>
  <c r="Q192" i="36"/>
  <c r="P192" i="36"/>
  <c r="Q191" i="36"/>
  <c r="P191" i="36"/>
  <c r="Q190" i="36"/>
  <c r="P190" i="36"/>
  <c r="Q189" i="36"/>
  <c r="P189" i="36"/>
  <c r="Q188" i="36"/>
  <c r="P188" i="36"/>
  <c r="Q187" i="36"/>
  <c r="P187" i="36"/>
  <c r="Q186" i="36"/>
  <c r="P186" i="36"/>
  <c r="Q185" i="36"/>
  <c r="P185" i="36"/>
  <c r="Q184" i="36"/>
  <c r="P184" i="36"/>
  <c r="Q183" i="36"/>
  <c r="P183" i="36"/>
  <c r="Q182" i="36"/>
  <c r="P182" i="36"/>
  <c r="Q181" i="36"/>
  <c r="P181" i="36"/>
  <c r="Q180" i="36"/>
  <c r="P180" i="36"/>
  <c r="Q179" i="36"/>
  <c r="R179" i="36" s="1"/>
  <c r="Y179" i="36" s="1"/>
  <c r="P179" i="36"/>
  <c r="Q178" i="36"/>
  <c r="P178" i="36"/>
  <c r="Q177" i="36"/>
  <c r="P177" i="36"/>
  <c r="Q176" i="36"/>
  <c r="P176" i="36"/>
  <c r="Q175" i="36"/>
  <c r="P175" i="36"/>
  <c r="Q174" i="36"/>
  <c r="P174" i="36"/>
  <c r="Q173" i="36"/>
  <c r="P173" i="36"/>
  <c r="Q172" i="36"/>
  <c r="P172" i="36"/>
  <c r="Q171" i="36"/>
  <c r="P171" i="36"/>
  <c r="Q170" i="36"/>
  <c r="P170" i="36"/>
  <c r="Q169" i="36"/>
  <c r="P169" i="36"/>
  <c r="Q168" i="36"/>
  <c r="P168" i="36"/>
  <c r="Q167" i="36"/>
  <c r="P167" i="36"/>
  <c r="Q166" i="36"/>
  <c r="P166" i="36"/>
  <c r="Q165" i="36"/>
  <c r="P165" i="36"/>
  <c r="Q164" i="36"/>
  <c r="P164" i="36"/>
  <c r="Q163" i="36"/>
  <c r="P163" i="36"/>
  <c r="Q162" i="36"/>
  <c r="P162" i="36"/>
  <c r="Q161" i="36"/>
  <c r="P161" i="36"/>
  <c r="Q160" i="36"/>
  <c r="P160" i="36"/>
  <c r="Q159" i="36"/>
  <c r="P159" i="36"/>
  <c r="Q158" i="36"/>
  <c r="P158" i="36"/>
  <c r="Q157" i="36"/>
  <c r="P157" i="36"/>
  <c r="Q156" i="36"/>
  <c r="P156" i="36"/>
  <c r="Q155" i="36"/>
  <c r="P155" i="36"/>
  <c r="Q154" i="36"/>
  <c r="P154" i="36"/>
  <c r="Q153" i="36"/>
  <c r="P153" i="36"/>
  <c r="Q152" i="36"/>
  <c r="P152" i="36"/>
  <c r="Q151" i="36"/>
  <c r="P151" i="36"/>
  <c r="Q150" i="36"/>
  <c r="P150" i="36"/>
  <c r="Q149" i="36"/>
  <c r="P149" i="36"/>
  <c r="Q148" i="36"/>
  <c r="P148" i="36"/>
  <c r="Q147" i="36"/>
  <c r="P147" i="36"/>
  <c r="Q146" i="36"/>
  <c r="P146" i="36"/>
  <c r="Q145" i="36"/>
  <c r="P145" i="36"/>
  <c r="Q144" i="36"/>
  <c r="P144" i="36"/>
  <c r="Q143" i="36"/>
  <c r="P143" i="36"/>
  <c r="Q142" i="36"/>
  <c r="P142" i="36"/>
  <c r="Q141" i="36"/>
  <c r="P141" i="36"/>
  <c r="Q140" i="36"/>
  <c r="P140" i="36"/>
  <c r="Q139" i="36"/>
  <c r="R139" i="36" s="1"/>
  <c r="Y139" i="36" s="1"/>
  <c r="P139" i="36"/>
  <c r="Q138" i="36"/>
  <c r="P138" i="36"/>
  <c r="Q137" i="36"/>
  <c r="P137" i="36"/>
  <c r="Q136" i="36"/>
  <c r="P136" i="36"/>
  <c r="Q135" i="36"/>
  <c r="P135" i="36"/>
  <c r="Q134" i="36"/>
  <c r="P134" i="36"/>
  <c r="Q133" i="36"/>
  <c r="P133" i="36"/>
  <c r="Q132" i="36"/>
  <c r="P132" i="36"/>
  <c r="Q131" i="36"/>
  <c r="P131" i="36"/>
  <c r="Q130" i="36"/>
  <c r="P130" i="36"/>
  <c r="Q129" i="36"/>
  <c r="P129" i="36"/>
  <c r="Q128" i="36"/>
  <c r="P128" i="36"/>
  <c r="Q127" i="36"/>
  <c r="P127" i="36"/>
  <c r="Q126" i="36"/>
  <c r="P126" i="36"/>
  <c r="Q125" i="36"/>
  <c r="P125" i="36"/>
  <c r="Q124" i="36"/>
  <c r="P124" i="36"/>
  <c r="Q123" i="36"/>
  <c r="P123" i="36"/>
  <c r="Q122" i="36"/>
  <c r="P122" i="36"/>
  <c r="Q121" i="36"/>
  <c r="P121" i="36"/>
  <c r="Q120" i="36"/>
  <c r="P120" i="36"/>
  <c r="Q119" i="36"/>
  <c r="P119" i="36"/>
  <c r="Q118" i="36"/>
  <c r="P118" i="36"/>
  <c r="Q117" i="36"/>
  <c r="P117" i="36"/>
  <c r="Q116" i="36"/>
  <c r="P116" i="36"/>
  <c r="Q115" i="36"/>
  <c r="P115" i="36"/>
  <c r="Q114" i="36"/>
  <c r="P114" i="36"/>
  <c r="Q113" i="36"/>
  <c r="P113" i="36"/>
  <c r="Q112" i="36"/>
  <c r="P112" i="36"/>
  <c r="Q111" i="36"/>
  <c r="P111" i="36"/>
  <c r="Q110" i="36"/>
  <c r="P110" i="36"/>
  <c r="Q109" i="36"/>
  <c r="P109" i="36"/>
  <c r="Q108" i="36"/>
  <c r="P108" i="36"/>
  <c r="Q107" i="36"/>
  <c r="P107" i="36"/>
  <c r="Q106" i="36"/>
  <c r="P106" i="36"/>
  <c r="Q105" i="36"/>
  <c r="P105" i="36"/>
  <c r="Q104" i="36"/>
  <c r="P104" i="36"/>
  <c r="Q103" i="36"/>
  <c r="P103" i="36"/>
  <c r="Q102" i="36"/>
  <c r="P102" i="36"/>
  <c r="Q101" i="36"/>
  <c r="P101" i="36"/>
  <c r="Q100" i="36"/>
  <c r="P100" i="36"/>
  <c r="Q99" i="36"/>
  <c r="P99" i="36"/>
  <c r="Q98" i="36"/>
  <c r="P98" i="36"/>
  <c r="Q97" i="36"/>
  <c r="P97" i="36"/>
  <c r="Q96" i="36"/>
  <c r="P96" i="36"/>
  <c r="Q95" i="36"/>
  <c r="P95" i="36"/>
  <c r="Q94" i="36"/>
  <c r="P94" i="36"/>
  <c r="Q93" i="36"/>
  <c r="P93" i="36"/>
  <c r="Q92" i="36"/>
  <c r="P92" i="36"/>
  <c r="Q91" i="36"/>
  <c r="P91" i="36"/>
  <c r="Q90" i="36"/>
  <c r="P90" i="36"/>
  <c r="Q89" i="36"/>
  <c r="P89" i="36"/>
  <c r="Q88" i="36"/>
  <c r="P88" i="36"/>
  <c r="Q87" i="36"/>
  <c r="P87" i="36"/>
  <c r="Q86" i="36"/>
  <c r="P86" i="36"/>
  <c r="Q85" i="36"/>
  <c r="P85" i="36"/>
  <c r="Q84" i="36"/>
  <c r="P84" i="36"/>
  <c r="Q83" i="36"/>
  <c r="P83" i="36"/>
  <c r="Q82" i="36"/>
  <c r="P82" i="36"/>
  <c r="Q81" i="36"/>
  <c r="P81" i="36"/>
  <c r="Q80" i="36"/>
  <c r="P80" i="36"/>
  <c r="Q79" i="36"/>
  <c r="P79" i="36"/>
  <c r="Q78" i="36"/>
  <c r="P78" i="36"/>
  <c r="Q77" i="36"/>
  <c r="P77" i="36"/>
  <c r="Q76" i="36"/>
  <c r="P76" i="36"/>
  <c r="Q75" i="36"/>
  <c r="P75" i="36"/>
  <c r="Q74" i="36"/>
  <c r="P74" i="36"/>
  <c r="Q73" i="36"/>
  <c r="P73" i="36"/>
  <c r="Q72" i="36"/>
  <c r="P72" i="36"/>
  <c r="Q71" i="36"/>
  <c r="P71" i="36"/>
  <c r="Q70" i="36"/>
  <c r="P70" i="36"/>
  <c r="Q69" i="36"/>
  <c r="P69" i="36"/>
  <c r="Q68" i="36"/>
  <c r="P68" i="36"/>
  <c r="Q67" i="36"/>
  <c r="P67" i="36"/>
  <c r="Q66" i="36"/>
  <c r="P66" i="36"/>
  <c r="Q65" i="36"/>
  <c r="P65" i="36"/>
  <c r="Q64" i="36"/>
  <c r="P64" i="36"/>
  <c r="Q63" i="36"/>
  <c r="P63" i="36"/>
  <c r="Q62" i="36"/>
  <c r="P62" i="36"/>
  <c r="Q61" i="36"/>
  <c r="P61" i="36"/>
  <c r="Q60" i="36"/>
  <c r="P60" i="36"/>
  <c r="Q59" i="36"/>
  <c r="P59" i="36"/>
  <c r="Q58" i="36"/>
  <c r="P58" i="36"/>
  <c r="Q57" i="36"/>
  <c r="P57" i="36"/>
  <c r="Q56" i="36"/>
  <c r="P56" i="36"/>
  <c r="Q55" i="36"/>
  <c r="P55" i="36"/>
  <c r="Q54" i="36"/>
  <c r="P54" i="36"/>
  <c r="Q53" i="36"/>
  <c r="P53" i="36"/>
  <c r="Q52" i="36"/>
  <c r="P52" i="36"/>
  <c r="Q51" i="36"/>
  <c r="P51" i="36"/>
  <c r="Q50" i="36"/>
  <c r="P50" i="36"/>
  <c r="Q49" i="36"/>
  <c r="P49" i="36"/>
  <c r="Q48" i="36"/>
  <c r="P48" i="36"/>
  <c r="Q47" i="36"/>
  <c r="P47" i="36"/>
  <c r="Q46" i="36"/>
  <c r="P46" i="36"/>
  <c r="Q45" i="36"/>
  <c r="P45" i="36"/>
  <c r="Q44" i="36"/>
  <c r="P44" i="36"/>
  <c r="Q43" i="36"/>
  <c r="P43" i="36"/>
  <c r="Q42" i="36"/>
  <c r="P42" i="36"/>
  <c r="Q41" i="36"/>
  <c r="P41" i="36"/>
  <c r="Q40" i="36"/>
  <c r="P40" i="36"/>
  <c r="Q39" i="36"/>
  <c r="P39" i="36"/>
  <c r="Q38" i="36"/>
  <c r="P38" i="36"/>
  <c r="Q37" i="36"/>
  <c r="P37" i="36"/>
  <c r="Q36" i="36"/>
  <c r="P36" i="36"/>
  <c r="Q35" i="36"/>
  <c r="P35" i="36"/>
  <c r="Q34" i="36"/>
  <c r="P34" i="36"/>
  <c r="Q33" i="36"/>
  <c r="P33" i="36"/>
  <c r="Q32" i="36"/>
  <c r="P32" i="36"/>
  <c r="Q31" i="36"/>
  <c r="P31" i="36"/>
  <c r="Q30" i="36"/>
  <c r="P30" i="36"/>
  <c r="Q29" i="36"/>
  <c r="P29" i="36"/>
  <c r="Q28" i="36"/>
  <c r="P28" i="36"/>
  <c r="Q27" i="36"/>
  <c r="P27" i="36"/>
  <c r="Q26" i="36"/>
  <c r="P26" i="36"/>
  <c r="Q25" i="36"/>
  <c r="P25" i="36"/>
  <c r="Q24" i="36"/>
  <c r="P24" i="36"/>
  <c r="Q23" i="36"/>
  <c r="P23" i="36"/>
  <c r="Q22" i="36"/>
  <c r="P22" i="36"/>
  <c r="Q21" i="36"/>
  <c r="P21" i="36"/>
  <c r="Q20" i="36"/>
  <c r="P20" i="36"/>
  <c r="Q19" i="36"/>
  <c r="P19" i="36"/>
  <c r="Q18" i="36"/>
  <c r="P18" i="36"/>
  <c r="Q17" i="36"/>
  <c r="P17" i="36"/>
  <c r="Q16" i="36"/>
  <c r="P16" i="36"/>
  <c r="Q15" i="36"/>
  <c r="P15" i="36"/>
  <c r="Q14" i="36"/>
  <c r="P14" i="36"/>
  <c r="Q13" i="36"/>
  <c r="P13" i="36"/>
  <c r="Q12" i="36"/>
  <c r="P12" i="36"/>
  <c r="Q11" i="36"/>
  <c r="P11" i="36"/>
  <c r="Q10" i="36"/>
  <c r="P10" i="36"/>
  <c r="Q9" i="36"/>
  <c r="P9" i="36"/>
  <c r="Q8" i="36"/>
  <c r="P8" i="36"/>
  <c r="Q7" i="36"/>
  <c r="P7" i="36"/>
  <c r="Q6" i="36"/>
  <c r="P6" i="36"/>
  <c r="Q5" i="36"/>
  <c r="P5" i="36"/>
  <c r="Q4" i="36"/>
  <c r="P4" i="36"/>
  <c r="Q3" i="36"/>
  <c r="P3" i="36"/>
  <c r="Q302" i="35"/>
  <c r="P302" i="35"/>
  <c r="Q301" i="35"/>
  <c r="P301" i="35"/>
  <c r="Q300" i="35"/>
  <c r="P300" i="35"/>
  <c r="Q299" i="35"/>
  <c r="P299" i="35"/>
  <c r="Q298" i="35"/>
  <c r="P298" i="35"/>
  <c r="Q297" i="35"/>
  <c r="P297" i="35"/>
  <c r="Q296" i="35"/>
  <c r="P296" i="35"/>
  <c r="Q295" i="35"/>
  <c r="P295" i="35"/>
  <c r="Q294" i="35"/>
  <c r="P294" i="35"/>
  <c r="Q293" i="35"/>
  <c r="P293" i="35"/>
  <c r="Q292" i="35"/>
  <c r="P292" i="35"/>
  <c r="Q291" i="35"/>
  <c r="P291" i="35"/>
  <c r="Q290" i="35"/>
  <c r="P290" i="35"/>
  <c r="Q289" i="35"/>
  <c r="P289" i="35"/>
  <c r="Q288" i="35"/>
  <c r="P288" i="35"/>
  <c r="Q287" i="35"/>
  <c r="P287" i="35"/>
  <c r="Q286" i="35"/>
  <c r="P286" i="35"/>
  <c r="Q285" i="35"/>
  <c r="P285" i="35"/>
  <c r="Q284" i="35"/>
  <c r="P284" i="35"/>
  <c r="Q283" i="35"/>
  <c r="P283" i="35"/>
  <c r="Q282" i="35"/>
  <c r="P282" i="35"/>
  <c r="Q281" i="35"/>
  <c r="P281" i="35"/>
  <c r="Q280" i="35"/>
  <c r="P280" i="35"/>
  <c r="Q279" i="35"/>
  <c r="P279" i="35"/>
  <c r="Q278" i="35"/>
  <c r="P278" i="35"/>
  <c r="Q277" i="35"/>
  <c r="P277" i="35"/>
  <c r="Q276" i="35"/>
  <c r="P276" i="35"/>
  <c r="Q275" i="35"/>
  <c r="P275" i="35"/>
  <c r="Q274" i="35"/>
  <c r="P274" i="35"/>
  <c r="Q273" i="35"/>
  <c r="P273" i="35"/>
  <c r="Q272" i="35"/>
  <c r="P272" i="35"/>
  <c r="Q271" i="35"/>
  <c r="P271" i="35"/>
  <c r="Q270" i="35"/>
  <c r="P270" i="35"/>
  <c r="Q269" i="35"/>
  <c r="P269" i="35"/>
  <c r="Q268" i="35"/>
  <c r="P268" i="35"/>
  <c r="Q267" i="35"/>
  <c r="P267" i="35"/>
  <c r="Q266" i="35"/>
  <c r="P266" i="35"/>
  <c r="Q265" i="35"/>
  <c r="P265" i="35"/>
  <c r="Q264" i="35"/>
  <c r="P264" i="35"/>
  <c r="Q263" i="35"/>
  <c r="P263" i="35"/>
  <c r="Q262" i="35"/>
  <c r="P262" i="35"/>
  <c r="Q261" i="35"/>
  <c r="P261" i="35"/>
  <c r="Q260" i="35"/>
  <c r="P260" i="35"/>
  <c r="Q259" i="35"/>
  <c r="P259" i="35"/>
  <c r="Q258" i="35"/>
  <c r="P258" i="35"/>
  <c r="Q257" i="35"/>
  <c r="P257" i="35"/>
  <c r="Q256" i="35"/>
  <c r="P256" i="35"/>
  <c r="Q255" i="35"/>
  <c r="P255" i="35"/>
  <c r="Q254" i="35"/>
  <c r="P254" i="35"/>
  <c r="Q253" i="35"/>
  <c r="P253" i="35"/>
  <c r="Q252" i="35"/>
  <c r="P252" i="35"/>
  <c r="Q251" i="35"/>
  <c r="P251" i="35"/>
  <c r="Q250" i="35"/>
  <c r="P250" i="35"/>
  <c r="Q249" i="35"/>
  <c r="P249" i="35"/>
  <c r="Q248" i="35"/>
  <c r="P248" i="35"/>
  <c r="Q247" i="35"/>
  <c r="P247" i="35"/>
  <c r="Q246" i="35"/>
  <c r="P246" i="35"/>
  <c r="Q245" i="35"/>
  <c r="P245" i="35"/>
  <c r="Q244" i="35"/>
  <c r="P244" i="35"/>
  <c r="Q243" i="35"/>
  <c r="P243" i="35"/>
  <c r="Q242" i="35"/>
  <c r="P242" i="35"/>
  <c r="Q241" i="35"/>
  <c r="P241" i="35"/>
  <c r="Q240" i="35"/>
  <c r="P240" i="35"/>
  <c r="Q239" i="35"/>
  <c r="P239" i="35"/>
  <c r="Q238" i="35"/>
  <c r="P238" i="35"/>
  <c r="Q237" i="35"/>
  <c r="P237" i="35"/>
  <c r="Q236" i="35"/>
  <c r="P236" i="35"/>
  <c r="Q235" i="35"/>
  <c r="P235" i="35"/>
  <c r="Q234" i="35"/>
  <c r="P234" i="35"/>
  <c r="Q233" i="35"/>
  <c r="P233" i="35"/>
  <c r="Q232" i="35"/>
  <c r="P232" i="35"/>
  <c r="Q231" i="35"/>
  <c r="P231" i="35"/>
  <c r="Q230" i="35"/>
  <c r="P230" i="35"/>
  <c r="Q229" i="35"/>
  <c r="P229" i="35"/>
  <c r="Q228" i="35"/>
  <c r="P228" i="35"/>
  <c r="Q227" i="35"/>
  <c r="P227" i="35"/>
  <c r="Q226" i="35"/>
  <c r="P226" i="35"/>
  <c r="Q225" i="35"/>
  <c r="P225" i="35"/>
  <c r="Q224" i="35"/>
  <c r="P224" i="35"/>
  <c r="Q223" i="35"/>
  <c r="P223" i="35"/>
  <c r="Q222" i="35"/>
  <c r="P222" i="35"/>
  <c r="Q221" i="35"/>
  <c r="P221" i="35"/>
  <c r="Q220" i="35"/>
  <c r="P220" i="35"/>
  <c r="Q219" i="35"/>
  <c r="P219" i="35"/>
  <c r="Q218" i="35"/>
  <c r="P218" i="35"/>
  <c r="Q217" i="35"/>
  <c r="P217" i="35"/>
  <c r="Q216" i="35"/>
  <c r="P216" i="35"/>
  <c r="Q215" i="35"/>
  <c r="P215" i="35"/>
  <c r="Q214" i="35"/>
  <c r="P214" i="35"/>
  <c r="Q213" i="35"/>
  <c r="P213" i="35"/>
  <c r="Q212" i="35"/>
  <c r="P212" i="35"/>
  <c r="Q211" i="35"/>
  <c r="P211" i="35"/>
  <c r="Q210" i="35"/>
  <c r="P210" i="35"/>
  <c r="Q209" i="35"/>
  <c r="P209" i="35"/>
  <c r="Q208" i="35"/>
  <c r="P208" i="35"/>
  <c r="Q207" i="35"/>
  <c r="P207" i="35"/>
  <c r="Q206" i="35"/>
  <c r="P206" i="35"/>
  <c r="Q205" i="35"/>
  <c r="P205" i="35"/>
  <c r="Q204" i="35"/>
  <c r="P204" i="35"/>
  <c r="Q203" i="35"/>
  <c r="P203" i="35"/>
  <c r="Q202" i="35"/>
  <c r="P202" i="35"/>
  <c r="Q201" i="35"/>
  <c r="P201" i="35"/>
  <c r="Q200" i="35"/>
  <c r="P200" i="35"/>
  <c r="Q199" i="35"/>
  <c r="P199" i="35"/>
  <c r="Q198" i="35"/>
  <c r="P198" i="35"/>
  <c r="Q197" i="35"/>
  <c r="P197" i="35"/>
  <c r="Q196" i="35"/>
  <c r="P196" i="35"/>
  <c r="Q195" i="35"/>
  <c r="P195" i="35"/>
  <c r="Q194" i="35"/>
  <c r="P194" i="35"/>
  <c r="Q193" i="35"/>
  <c r="P193" i="35"/>
  <c r="Q192" i="35"/>
  <c r="P192" i="35"/>
  <c r="Q191" i="35"/>
  <c r="P191" i="35"/>
  <c r="Q190" i="35"/>
  <c r="P190" i="35"/>
  <c r="Q189" i="35"/>
  <c r="P189" i="35"/>
  <c r="Q188" i="35"/>
  <c r="P188" i="35"/>
  <c r="Q187" i="35"/>
  <c r="P187" i="35"/>
  <c r="Q186" i="35"/>
  <c r="P186" i="35"/>
  <c r="Q185" i="35"/>
  <c r="P185" i="35"/>
  <c r="Q184" i="35"/>
  <c r="P184" i="35"/>
  <c r="Q183" i="35"/>
  <c r="P183" i="35"/>
  <c r="Q182" i="35"/>
  <c r="P182" i="35"/>
  <c r="Q181" i="35"/>
  <c r="P181" i="35"/>
  <c r="Q180" i="35"/>
  <c r="P180" i="35"/>
  <c r="Q179" i="35"/>
  <c r="P179" i="35"/>
  <c r="Q178" i="35"/>
  <c r="P178" i="35"/>
  <c r="Q177" i="35"/>
  <c r="P177" i="35"/>
  <c r="Q176" i="35"/>
  <c r="P176" i="35"/>
  <c r="Q175" i="35"/>
  <c r="P175" i="35"/>
  <c r="Q174" i="35"/>
  <c r="P174" i="35"/>
  <c r="Q173" i="35"/>
  <c r="P173" i="35"/>
  <c r="Q172" i="35"/>
  <c r="P172" i="35"/>
  <c r="Q171" i="35"/>
  <c r="P171" i="35"/>
  <c r="Q170" i="35"/>
  <c r="P170" i="35"/>
  <c r="Q169" i="35"/>
  <c r="P169" i="35"/>
  <c r="Q168" i="35"/>
  <c r="P168" i="35"/>
  <c r="Q167" i="35"/>
  <c r="P167" i="35"/>
  <c r="Q166" i="35"/>
  <c r="P166" i="35"/>
  <c r="Q165" i="35"/>
  <c r="P165" i="35"/>
  <c r="Q164" i="35"/>
  <c r="P164" i="35"/>
  <c r="Q163" i="35"/>
  <c r="P163" i="35"/>
  <c r="Q162" i="35"/>
  <c r="P162" i="35"/>
  <c r="Q161" i="35"/>
  <c r="P161" i="35"/>
  <c r="Q160" i="35"/>
  <c r="P160" i="35"/>
  <c r="Q159" i="35"/>
  <c r="P159" i="35"/>
  <c r="Q158" i="35"/>
  <c r="P158" i="35"/>
  <c r="Q157" i="35"/>
  <c r="P157" i="35"/>
  <c r="Q156" i="35"/>
  <c r="P156" i="35"/>
  <c r="Q155" i="35"/>
  <c r="P155" i="35"/>
  <c r="Q154" i="35"/>
  <c r="P154" i="35"/>
  <c r="Q153" i="35"/>
  <c r="P153" i="35"/>
  <c r="Q152" i="35"/>
  <c r="P152" i="35"/>
  <c r="Q151" i="35"/>
  <c r="P151" i="35"/>
  <c r="Q150" i="35"/>
  <c r="P150" i="35"/>
  <c r="Q149" i="35"/>
  <c r="P149" i="35"/>
  <c r="Q148" i="35"/>
  <c r="P148" i="35"/>
  <c r="Q147" i="35"/>
  <c r="P147" i="35"/>
  <c r="Q146" i="35"/>
  <c r="P146" i="35"/>
  <c r="Q145" i="35"/>
  <c r="P145" i="35"/>
  <c r="Q144" i="35"/>
  <c r="P144" i="35"/>
  <c r="Q143" i="35"/>
  <c r="P143" i="35"/>
  <c r="Q142" i="35"/>
  <c r="P142" i="35"/>
  <c r="Q141" i="35"/>
  <c r="P141" i="35"/>
  <c r="Q140" i="35"/>
  <c r="P140" i="35"/>
  <c r="Q139" i="35"/>
  <c r="P139" i="35"/>
  <c r="Q138" i="35"/>
  <c r="P138" i="35"/>
  <c r="Q137" i="35"/>
  <c r="P137" i="35"/>
  <c r="Q136" i="35"/>
  <c r="P136" i="35"/>
  <c r="Q135" i="35"/>
  <c r="P135" i="35"/>
  <c r="Q134" i="35"/>
  <c r="P134" i="35"/>
  <c r="Q133" i="35"/>
  <c r="P133" i="35"/>
  <c r="Q132" i="35"/>
  <c r="P132" i="35"/>
  <c r="Q131" i="35"/>
  <c r="P131" i="35"/>
  <c r="Q130" i="35"/>
  <c r="P130" i="35"/>
  <c r="Q129" i="35"/>
  <c r="P129" i="35"/>
  <c r="Q128" i="35"/>
  <c r="P128" i="35"/>
  <c r="Q127" i="35"/>
  <c r="P127" i="35"/>
  <c r="Q126" i="35"/>
  <c r="P126" i="35"/>
  <c r="Q125" i="35"/>
  <c r="P125" i="35"/>
  <c r="Q124" i="35"/>
  <c r="P124" i="35"/>
  <c r="Q123" i="35"/>
  <c r="P123" i="35"/>
  <c r="Q122" i="35"/>
  <c r="P122" i="35"/>
  <c r="Q121" i="35"/>
  <c r="P121" i="35"/>
  <c r="Q120" i="35"/>
  <c r="P120" i="35"/>
  <c r="Q119" i="35"/>
  <c r="P119" i="35"/>
  <c r="Q118" i="35"/>
  <c r="P118" i="35"/>
  <c r="Q117" i="35"/>
  <c r="P117" i="35"/>
  <c r="Q116" i="35"/>
  <c r="P116" i="35"/>
  <c r="Q115" i="35"/>
  <c r="P115" i="35"/>
  <c r="Q114" i="35"/>
  <c r="P114" i="35"/>
  <c r="Q113" i="35"/>
  <c r="P113" i="35"/>
  <c r="Q112" i="35"/>
  <c r="P112" i="35"/>
  <c r="Q111" i="35"/>
  <c r="P111" i="35"/>
  <c r="Q110" i="35"/>
  <c r="P110" i="35"/>
  <c r="Q109" i="35"/>
  <c r="P109" i="35"/>
  <c r="Q108" i="35"/>
  <c r="P108" i="35"/>
  <c r="Q107" i="35"/>
  <c r="P107" i="35"/>
  <c r="Q106" i="35"/>
  <c r="P106" i="35"/>
  <c r="Q105" i="35"/>
  <c r="P105" i="35"/>
  <c r="Q104" i="35"/>
  <c r="P104" i="35"/>
  <c r="Q103" i="35"/>
  <c r="P103" i="35"/>
  <c r="Q102" i="35"/>
  <c r="P102" i="35"/>
  <c r="Q101" i="35"/>
  <c r="P101" i="35"/>
  <c r="Q100" i="35"/>
  <c r="P100" i="35"/>
  <c r="Q99" i="35"/>
  <c r="P99" i="35"/>
  <c r="Q98" i="35"/>
  <c r="P98" i="35"/>
  <c r="Q97" i="35"/>
  <c r="P97" i="35"/>
  <c r="Q96" i="35"/>
  <c r="P96" i="35"/>
  <c r="Q95" i="35"/>
  <c r="P95" i="35"/>
  <c r="Q94" i="35"/>
  <c r="P94" i="35"/>
  <c r="Q93" i="35"/>
  <c r="P93" i="35"/>
  <c r="Q92" i="35"/>
  <c r="P92" i="35"/>
  <c r="Q91" i="35"/>
  <c r="P91" i="35"/>
  <c r="Q90" i="35"/>
  <c r="P90" i="35"/>
  <c r="Q89" i="35"/>
  <c r="P89" i="35"/>
  <c r="Q88" i="35"/>
  <c r="P88" i="35"/>
  <c r="Q87" i="35"/>
  <c r="P87" i="35"/>
  <c r="Q86" i="35"/>
  <c r="P86" i="35"/>
  <c r="Q85" i="35"/>
  <c r="P85" i="35"/>
  <c r="Q84" i="35"/>
  <c r="P84" i="35"/>
  <c r="Q83" i="35"/>
  <c r="P83" i="35"/>
  <c r="Q82" i="35"/>
  <c r="P82" i="35"/>
  <c r="Q81" i="35"/>
  <c r="P81" i="35"/>
  <c r="Q80" i="35"/>
  <c r="P80" i="35"/>
  <c r="Q79" i="35"/>
  <c r="P79" i="35"/>
  <c r="Q78" i="35"/>
  <c r="P78" i="35"/>
  <c r="Q77" i="35"/>
  <c r="P77" i="35"/>
  <c r="Q76" i="35"/>
  <c r="P76" i="35"/>
  <c r="Q75" i="35"/>
  <c r="P75" i="35"/>
  <c r="Q74" i="35"/>
  <c r="P74" i="35"/>
  <c r="Q73" i="35"/>
  <c r="P73" i="35"/>
  <c r="Q72" i="35"/>
  <c r="P72" i="35"/>
  <c r="Q71" i="35"/>
  <c r="P71" i="35"/>
  <c r="Q70" i="35"/>
  <c r="P70" i="35"/>
  <c r="Q69" i="35"/>
  <c r="P69" i="35"/>
  <c r="Q68" i="35"/>
  <c r="P68" i="35"/>
  <c r="Q67" i="35"/>
  <c r="P67" i="35"/>
  <c r="Q66" i="35"/>
  <c r="P66" i="35"/>
  <c r="Q65" i="35"/>
  <c r="P65" i="35"/>
  <c r="Q64" i="35"/>
  <c r="P64" i="35"/>
  <c r="Q63" i="35"/>
  <c r="P63" i="35"/>
  <c r="Q62" i="35"/>
  <c r="P62" i="35"/>
  <c r="Q61" i="35"/>
  <c r="P61" i="35"/>
  <c r="Q60" i="35"/>
  <c r="P60" i="35"/>
  <c r="Q59" i="35"/>
  <c r="P59" i="35"/>
  <c r="Q58" i="35"/>
  <c r="P58" i="35"/>
  <c r="Q57" i="35"/>
  <c r="P57" i="35"/>
  <c r="Q56" i="35"/>
  <c r="P56" i="35"/>
  <c r="Q55" i="35"/>
  <c r="P55" i="35"/>
  <c r="Q54" i="35"/>
  <c r="P54" i="35"/>
  <c r="Q53" i="35"/>
  <c r="P53" i="35"/>
  <c r="Q52" i="35"/>
  <c r="P52" i="35"/>
  <c r="Q51" i="35"/>
  <c r="P51" i="35"/>
  <c r="Q50" i="35"/>
  <c r="P50" i="35"/>
  <c r="Q49" i="35"/>
  <c r="P49" i="35"/>
  <c r="Q48" i="35"/>
  <c r="P48" i="35"/>
  <c r="Q47" i="35"/>
  <c r="P47" i="35"/>
  <c r="Q46" i="35"/>
  <c r="P46" i="35"/>
  <c r="Q45" i="35"/>
  <c r="P45" i="35"/>
  <c r="Q44" i="35"/>
  <c r="P44" i="35"/>
  <c r="Q43" i="35"/>
  <c r="P43" i="35"/>
  <c r="Q42" i="35"/>
  <c r="P42" i="35"/>
  <c r="Q41" i="35"/>
  <c r="P41" i="35"/>
  <c r="Q40" i="35"/>
  <c r="P40" i="35"/>
  <c r="Q39" i="35"/>
  <c r="P39" i="35"/>
  <c r="Q38" i="35"/>
  <c r="P38" i="35"/>
  <c r="Q37" i="35"/>
  <c r="P37" i="35"/>
  <c r="Q36" i="35"/>
  <c r="P36" i="35"/>
  <c r="Q35" i="35"/>
  <c r="P35" i="35"/>
  <c r="Q34" i="35"/>
  <c r="P34" i="35"/>
  <c r="Q33" i="35"/>
  <c r="P33" i="35"/>
  <c r="Q32" i="35"/>
  <c r="P32" i="35"/>
  <c r="Q31" i="35"/>
  <c r="P31" i="35"/>
  <c r="Q30" i="35"/>
  <c r="P30" i="35"/>
  <c r="Q29" i="35"/>
  <c r="P29" i="35"/>
  <c r="Q28" i="35"/>
  <c r="P28" i="35"/>
  <c r="Q27" i="35"/>
  <c r="P27" i="35"/>
  <c r="Q26" i="35"/>
  <c r="P26" i="35"/>
  <c r="Q25" i="35"/>
  <c r="P25" i="35"/>
  <c r="Q24" i="35"/>
  <c r="P24" i="35"/>
  <c r="Q23" i="35"/>
  <c r="P23" i="35"/>
  <c r="Q22" i="35"/>
  <c r="P22" i="35"/>
  <c r="Q21" i="35"/>
  <c r="P21" i="35"/>
  <c r="Q20" i="35"/>
  <c r="P20" i="35"/>
  <c r="Q19" i="35"/>
  <c r="P19" i="35"/>
  <c r="Q18" i="35"/>
  <c r="P18" i="35"/>
  <c r="Q17" i="35"/>
  <c r="P17" i="35"/>
  <c r="Q16" i="35"/>
  <c r="P16" i="35"/>
  <c r="Q15" i="35"/>
  <c r="P15" i="35"/>
  <c r="Q14" i="35"/>
  <c r="P14" i="35"/>
  <c r="Q13" i="35"/>
  <c r="P13" i="35"/>
  <c r="Q12" i="35"/>
  <c r="P12" i="35"/>
  <c r="Q11" i="35"/>
  <c r="P11" i="35"/>
  <c r="Q10" i="35"/>
  <c r="P10" i="35"/>
  <c r="Q9" i="35"/>
  <c r="P9" i="35"/>
  <c r="Q8" i="35"/>
  <c r="P8" i="35"/>
  <c r="Q7" i="35"/>
  <c r="P7" i="35"/>
  <c r="Q6" i="35"/>
  <c r="P6" i="35"/>
  <c r="Q5" i="35"/>
  <c r="P5" i="35"/>
  <c r="Q4" i="35"/>
  <c r="P4" i="35"/>
  <c r="Q302" i="34"/>
  <c r="P302" i="34"/>
  <c r="Q301" i="34"/>
  <c r="P301" i="34"/>
  <c r="Q300" i="34"/>
  <c r="P300" i="34"/>
  <c r="Q299" i="34"/>
  <c r="P299" i="34"/>
  <c r="Q298" i="34"/>
  <c r="P298" i="34"/>
  <c r="Q297" i="34"/>
  <c r="P297" i="34"/>
  <c r="Q296" i="34"/>
  <c r="P296" i="34"/>
  <c r="Q295" i="34"/>
  <c r="P295" i="34"/>
  <c r="Q294" i="34"/>
  <c r="P294" i="34"/>
  <c r="Q293" i="34"/>
  <c r="P293" i="34"/>
  <c r="Q292" i="34"/>
  <c r="P292" i="34"/>
  <c r="Q291" i="34"/>
  <c r="P291" i="34"/>
  <c r="Q290" i="34"/>
  <c r="P290" i="34"/>
  <c r="Q289" i="34"/>
  <c r="P289" i="34"/>
  <c r="Q288" i="34"/>
  <c r="P288" i="34"/>
  <c r="Q287" i="34"/>
  <c r="P287" i="34"/>
  <c r="Q286" i="34"/>
  <c r="P286" i="34"/>
  <c r="Q285" i="34"/>
  <c r="P285" i="34"/>
  <c r="Q284" i="34"/>
  <c r="P284" i="34"/>
  <c r="Q283" i="34"/>
  <c r="P283" i="34"/>
  <c r="Q282" i="34"/>
  <c r="P282" i="34"/>
  <c r="Q281" i="34"/>
  <c r="P281" i="34"/>
  <c r="Q280" i="34"/>
  <c r="P280" i="34"/>
  <c r="Q279" i="34"/>
  <c r="P279" i="34"/>
  <c r="Q278" i="34"/>
  <c r="P278" i="34"/>
  <c r="Q277" i="34"/>
  <c r="P277" i="34"/>
  <c r="Q276" i="34"/>
  <c r="P276" i="34"/>
  <c r="Q275" i="34"/>
  <c r="P275" i="34"/>
  <c r="Q274" i="34"/>
  <c r="P274" i="34"/>
  <c r="Q273" i="34"/>
  <c r="P273" i="34"/>
  <c r="Q272" i="34"/>
  <c r="P272" i="34"/>
  <c r="Q271" i="34"/>
  <c r="P271" i="34"/>
  <c r="Q270" i="34"/>
  <c r="P270" i="34"/>
  <c r="Q269" i="34"/>
  <c r="P269" i="34"/>
  <c r="Q268" i="34"/>
  <c r="P268" i="34"/>
  <c r="Q267" i="34"/>
  <c r="P267" i="34"/>
  <c r="Q266" i="34"/>
  <c r="P266" i="34"/>
  <c r="Q265" i="34"/>
  <c r="P265" i="34"/>
  <c r="Q264" i="34"/>
  <c r="P264" i="34"/>
  <c r="Q263" i="34"/>
  <c r="P263" i="34"/>
  <c r="Q262" i="34"/>
  <c r="P262" i="34"/>
  <c r="Q261" i="34"/>
  <c r="P261" i="34"/>
  <c r="Q260" i="34"/>
  <c r="P260" i="34"/>
  <c r="Q259" i="34"/>
  <c r="P259" i="34"/>
  <c r="Q258" i="34"/>
  <c r="P258" i="34"/>
  <c r="Q257" i="34"/>
  <c r="P257" i="34"/>
  <c r="Q256" i="34"/>
  <c r="P256" i="34"/>
  <c r="Q255" i="34"/>
  <c r="P255" i="34"/>
  <c r="Q254" i="34"/>
  <c r="P254" i="34"/>
  <c r="Q253" i="34"/>
  <c r="P253" i="34"/>
  <c r="Q252" i="34"/>
  <c r="P252" i="34"/>
  <c r="Q251" i="34"/>
  <c r="P251" i="34"/>
  <c r="Q250" i="34"/>
  <c r="P250" i="34"/>
  <c r="Q249" i="34"/>
  <c r="P249" i="34"/>
  <c r="Q248" i="34"/>
  <c r="P248" i="34"/>
  <c r="Q247" i="34"/>
  <c r="P247" i="34"/>
  <c r="Q246" i="34"/>
  <c r="P246" i="34"/>
  <c r="Q245" i="34"/>
  <c r="P245" i="34"/>
  <c r="Q244" i="34"/>
  <c r="P244" i="34"/>
  <c r="Q243" i="34"/>
  <c r="P243" i="34"/>
  <c r="Q242" i="34"/>
  <c r="P242" i="34"/>
  <c r="Q241" i="34"/>
  <c r="P241" i="34"/>
  <c r="Q240" i="34"/>
  <c r="P240" i="34"/>
  <c r="Q239" i="34"/>
  <c r="P239" i="34"/>
  <c r="Q238" i="34"/>
  <c r="P238" i="34"/>
  <c r="Q237" i="34"/>
  <c r="P237" i="34"/>
  <c r="Q236" i="34"/>
  <c r="P236" i="34"/>
  <c r="Q235" i="34"/>
  <c r="P235" i="34"/>
  <c r="Q234" i="34"/>
  <c r="P234" i="34"/>
  <c r="Q233" i="34"/>
  <c r="P233" i="34"/>
  <c r="Q232" i="34"/>
  <c r="P232" i="34"/>
  <c r="Q231" i="34"/>
  <c r="P231" i="34"/>
  <c r="Q230" i="34"/>
  <c r="P230" i="34"/>
  <c r="Q229" i="34"/>
  <c r="P229" i="34"/>
  <c r="Q228" i="34"/>
  <c r="P228" i="34"/>
  <c r="Q227" i="34"/>
  <c r="P227" i="34"/>
  <c r="Q226" i="34"/>
  <c r="P226" i="34"/>
  <c r="Q225" i="34"/>
  <c r="P225" i="34"/>
  <c r="Q224" i="34"/>
  <c r="P224" i="34"/>
  <c r="Q223" i="34"/>
  <c r="P223" i="34"/>
  <c r="Q222" i="34"/>
  <c r="P222" i="34"/>
  <c r="Q221" i="34"/>
  <c r="P221" i="34"/>
  <c r="Q220" i="34"/>
  <c r="P220" i="34"/>
  <c r="Q219" i="34"/>
  <c r="P219" i="34"/>
  <c r="Q218" i="34"/>
  <c r="P218" i="34"/>
  <c r="Q217" i="34"/>
  <c r="P217" i="34"/>
  <c r="Q216" i="34"/>
  <c r="P216" i="34"/>
  <c r="Q215" i="34"/>
  <c r="P215" i="34"/>
  <c r="Q214" i="34"/>
  <c r="P214" i="34"/>
  <c r="Q213" i="34"/>
  <c r="P213" i="34"/>
  <c r="Q212" i="34"/>
  <c r="P212" i="34"/>
  <c r="Q211" i="34"/>
  <c r="P211" i="34"/>
  <c r="Q210" i="34"/>
  <c r="P210" i="34"/>
  <c r="Q209" i="34"/>
  <c r="P209" i="34"/>
  <c r="Q208" i="34"/>
  <c r="P208" i="34"/>
  <c r="Q207" i="34"/>
  <c r="P207" i="34"/>
  <c r="Q206" i="34"/>
  <c r="P206" i="34"/>
  <c r="Q205" i="34"/>
  <c r="P205" i="34"/>
  <c r="Q204" i="34"/>
  <c r="P204" i="34"/>
  <c r="Q203" i="34"/>
  <c r="P203" i="34"/>
  <c r="Q202" i="34"/>
  <c r="P202" i="34"/>
  <c r="Q201" i="34"/>
  <c r="P201" i="34"/>
  <c r="Q200" i="34"/>
  <c r="P200" i="34"/>
  <c r="Q199" i="34"/>
  <c r="P199" i="34"/>
  <c r="Q198" i="34"/>
  <c r="P198" i="34"/>
  <c r="Q197" i="34"/>
  <c r="P197" i="34"/>
  <c r="Q196" i="34"/>
  <c r="P196" i="34"/>
  <c r="Q195" i="34"/>
  <c r="P195" i="34"/>
  <c r="Q194" i="34"/>
  <c r="P194" i="34"/>
  <c r="Q193" i="34"/>
  <c r="P193" i="34"/>
  <c r="Q192" i="34"/>
  <c r="P192" i="34"/>
  <c r="Q191" i="34"/>
  <c r="P191" i="34"/>
  <c r="Q190" i="34"/>
  <c r="P190" i="34"/>
  <c r="Q189" i="34"/>
  <c r="P189" i="34"/>
  <c r="Q188" i="34"/>
  <c r="P188" i="34"/>
  <c r="Q187" i="34"/>
  <c r="P187" i="34"/>
  <c r="Q186" i="34"/>
  <c r="P186" i="34"/>
  <c r="Q185" i="34"/>
  <c r="P185" i="34"/>
  <c r="Q184" i="34"/>
  <c r="P184" i="34"/>
  <c r="Q183" i="34"/>
  <c r="P183" i="34"/>
  <c r="Q182" i="34"/>
  <c r="P182" i="34"/>
  <c r="Q181" i="34"/>
  <c r="P181" i="34"/>
  <c r="Q180" i="34"/>
  <c r="P180" i="34"/>
  <c r="Q179" i="34"/>
  <c r="P179" i="34"/>
  <c r="Q178" i="34"/>
  <c r="P178" i="34"/>
  <c r="Q177" i="34"/>
  <c r="P177" i="34"/>
  <c r="Q176" i="34"/>
  <c r="P176" i="34"/>
  <c r="Q175" i="34"/>
  <c r="P175" i="34"/>
  <c r="Q174" i="34"/>
  <c r="P174" i="34"/>
  <c r="Q173" i="34"/>
  <c r="P173" i="34"/>
  <c r="Q172" i="34"/>
  <c r="P172" i="34"/>
  <c r="Q171" i="34"/>
  <c r="P171" i="34"/>
  <c r="Q170" i="34"/>
  <c r="P170" i="34"/>
  <c r="Q169" i="34"/>
  <c r="P169" i="34"/>
  <c r="Q168" i="34"/>
  <c r="P168" i="34"/>
  <c r="Q167" i="34"/>
  <c r="P167" i="34"/>
  <c r="Q166" i="34"/>
  <c r="P166" i="34"/>
  <c r="Q165" i="34"/>
  <c r="P165" i="34"/>
  <c r="Q164" i="34"/>
  <c r="P164" i="34"/>
  <c r="Q163" i="34"/>
  <c r="P163" i="34"/>
  <c r="Q162" i="34"/>
  <c r="R162" i="34" s="1"/>
  <c r="Y162" i="34" s="1"/>
  <c r="P162" i="34"/>
  <c r="Q161" i="34"/>
  <c r="P161" i="34"/>
  <c r="Q160" i="34"/>
  <c r="P160" i="34"/>
  <c r="Q159" i="34"/>
  <c r="P159" i="34"/>
  <c r="Q158" i="34"/>
  <c r="R158" i="34" s="1"/>
  <c r="Y158" i="34" s="1"/>
  <c r="P158" i="34"/>
  <c r="Q157" i="34"/>
  <c r="P157" i="34"/>
  <c r="Q156" i="34"/>
  <c r="R156" i="34" s="1"/>
  <c r="Y156" i="34" s="1"/>
  <c r="P156" i="34"/>
  <c r="Q155" i="34"/>
  <c r="P155" i="34"/>
  <c r="Q154" i="34"/>
  <c r="P154" i="34"/>
  <c r="Q153" i="34"/>
  <c r="P153" i="34"/>
  <c r="Q152" i="34"/>
  <c r="P152" i="34"/>
  <c r="Q151" i="34"/>
  <c r="P151" i="34"/>
  <c r="Q150" i="34"/>
  <c r="P150" i="34"/>
  <c r="Q149" i="34"/>
  <c r="P149" i="34"/>
  <c r="Q148" i="34"/>
  <c r="P148" i="34"/>
  <c r="Q147" i="34"/>
  <c r="P147" i="34"/>
  <c r="Q146" i="34"/>
  <c r="P146" i="34"/>
  <c r="Q145" i="34"/>
  <c r="P145" i="34"/>
  <c r="Q144" i="34"/>
  <c r="P144" i="34"/>
  <c r="Q143" i="34"/>
  <c r="P143" i="34"/>
  <c r="Q142" i="34"/>
  <c r="P142" i="34"/>
  <c r="Q141" i="34"/>
  <c r="P141" i="34"/>
  <c r="Q140" i="34"/>
  <c r="P140" i="34"/>
  <c r="Q139" i="34"/>
  <c r="P139" i="34"/>
  <c r="Q138" i="34"/>
  <c r="P138" i="34"/>
  <c r="Q137" i="34"/>
  <c r="P137" i="34"/>
  <c r="Q136" i="34"/>
  <c r="P136" i="34"/>
  <c r="Q135" i="34"/>
  <c r="P135" i="34"/>
  <c r="Q134" i="34"/>
  <c r="P134" i="34"/>
  <c r="Q133" i="34"/>
  <c r="P133" i="34"/>
  <c r="Q132" i="34"/>
  <c r="P132" i="34"/>
  <c r="Q131" i="34"/>
  <c r="P131" i="34"/>
  <c r="Q130" i="34"/>
  <c r="P130" i="34"/>
  <c r="Q129" i="34"/>
  <c r="P129" i="34"/>
  <c r="Q128" i="34"/>
  <c r="P128" i="34"/>
  <c r="Q127" i="34"/>
  <c r="P127" i="34"/>
  <c r="Q126" i="34"/>
  <c r="P126" i="34"/>
  <c r="Q125" i="34"/>
  <c r="P125" i="34"/>
  <c r="Q124" i="34"/>
  <c r="P124" i="34"/>
  <c r="Q123" i="34"/>
  <c r="P123" i="34"/>
  <c r="Q122" i="34"/>
  <c r="P122" i="34"/>
  <c r="Q121" i="34"/>
  <c r="P121" i="34"/>
  <c r="Q120" i="34"/>
  <c r="P120" i="34"/>
  <c r="Q119" i="34"/>
  <c r="P119" i="34"/>
  <c r="Q118" i="34"/>
  <c r="P118" i="34"/>
  <c r="Q117" i="34"/>
  <c r="P117" i="34"/>
  <c r="Q116" i="34"/>
  <c r="P116" i="34"/>
  <c r="Q115" i="34"/>
  <c r="P115" i="34"/>
  <c r="Q114" i="34"/>
  <c r="P114" i="34"/>
  <c r="Q113" i="34"/>
  <c r="P113" i="34"/>
  <c r="Q112" i="34"/>
  <c r="P112" i="34"/>
  <c r="Q111" i="34"/>
  <c r="P111" i="34"/>
  <c r="Q110" i="34"/>
  <c r="P110" i="34"/>
  <c r="Q109" i="34"/>
  <c r="P109" i="34"/>
  <c r="Q108" i="34"/>
  <c r="P108" i="34"/>
  <c r="Q107" i="34"/>
  <c r="P107" i="34"/>
  <c r="Q106" i="34"/>
  <c r="P106" i="34"/>
  <c r="Q105" i="34"/>
  <c r="P105" i="34"/>
  <c r="Q104" i="34"/>
  <c r="P104" i="34"/>
  <c r="Q103" i="34"/>
  <c r="P103" i="34"/>
  <c r="Q102" i="34"/>
  <c r="P102" i="34"/>
  <c r="Q101" i="34"/>
  <c r="P101" i="34"/>
  <c r="Q100" i="34"/>
  <c r="P100" i="34"/>
  <c r="Q99" i="34"/>
  <c r="P99" i="34"/>
  <c r="Q98" i="34"/>
  <c r="P98" i="34"/>
  <c r="Q97" i="34"/>
  <c r="P97" i="34"/>
  <c r="Q96" i="34"/>
  <c r="P96" i="34"/>
  <c r="Q95" i="34"/>
  <c r="P95" i="34"/>
  <c r="Q94" i="34"/>
  <c r="P94" i="34"/>
  <c r="Q93" i="34"/>
  <c r="P93" i="34"/>
  <c r="Q92" i="34"/>
  <c r="P92" i="34"/>
  <c r="Q91" i="34"/>
  <c r="P91" i="34"/>
  <c r="Q90" i="34"/>
  <c r="P90" i="34"/>
  <c r="Q89" i="34"/>
  <c r="P89" i="34"/>
  <c r="Q88" i="34"/>
  <c r="P88" i="34"/>
  <c r="Q87" i="34"/>
  <c r="P87" i="34"/>
  <c r="Q86" i="34"/>
  <c r="P86" i="34"/>
  <c r="Q85" i="34"/>
  <c r="P85" i="34"/>
  <c r="Q84" i="34"/>
  <c r="P84" i="34"/>
  <c r="Q83" i="34"/>
  <c r="R83" i="34" s="1"/>
  <c r="Y83" i="34" s="1"/>
  <c r="P83" i="34"/>
  <c r="Q82" i="34"/>
  <c r="P82" i="34"/>
  <c r="Q81" i="34"/>
  <c r="P81" i="34"/>
  <c r="Q80" i="34"/>
  <c r="P80" i="34"/>
  <c r="Q79" i="34"/>
  <c r="R79" i="34" s="1"/>
  <c r="Y79" i="34" s="1"/>
  <c r="P79" i="34"/>
  <c r="Q78" i="34"/>
  <c r="P78" i="34"/>
  <c r="Q77" i="34"/>
  <c r="P77" i="34"/>
  <c r="Q76" i="34"/>
  <c r="P76" i="34"/>
  <c r="Q75" i="34"/>
  <c r="P75" i="34"/>
  <c r="Q74" i="34"/>
  <c r="P74" i="34"/>
  <c r="Q73" i="34"/>
  <c r="P73" i="34"/>
  <c r="Q72" i="34"/>
  <c r="P72" i="34"/>
  <c r="Q71" i="34"/>
  <c r="P71" i="34"/>
  <c r="Q70" i="34"/>
  <c r="P70" i="34"/>
  <c r="Q69" i="34"/>
  <c r="P69" i="34"/>
  <c r="Q68" i="34"/>
  <c r="P68" i="34"/>
  <c r="Q67" i="34"/>
  <c r="P67" i="34"/>
  <c r="Q66" i="34"/>
  <c r="P66" i="34"/>
  <c r="Q65" i="34"/>
  <c r="P65" i="34"/>
  <c r="Q64" i="34"/>
  <c r="P64" i="34"/>
  <c r="Q63" i="34"/>
  <c r="P63" i="34"/>
  <c r="Q62" i="34"/>
  <c r="P62" i="34"/>
  <c r="Q61" i="34"/>
  <c r="P61" i="34"/>
  <c r="Q60" i="34"/>
  <c r="P60" i="34"/>
  <c r="Q59" i="34"/>
  <c r="P59" i="34"/>
  <c r="Q58" i="34"/>
  <c r="P58" i="34"/>
  <c r="Q57" i="34"/>
  <c r="P57" i="34"/>
  <c r="Q56" i="34"/>
  <c r="P56" i="34"/>
  <c r="Q55" i="34"/>
  <c r="P55" i="34"/>
  <c r="Q54" i="34"/>
  <c r="P54" i="34"/>
  <c r="Q53" i="34"/>
  <c r="P53" i="34"/>
  <c r="Q52" i="34"/>
  <c r="P52" i="34"/>
  <c r="Q51" i="34"/>
  <c r="P51" i="34"/>
  <c r="Q50" i="34"/>
  <c r="P50" i="34"/>
  <c r="Q49" i="34"/>
  <c r="P49" i="34"/>
  <c r="Q48" i="34"/>
  <c r="P48" i="34"/>
  <c r="Q47" i="34"/>
  <c r="P47" i="34"/>
  <c r="Q46" i="34"/>
  <c r="P46" i="34"/>
  <c r="Q45" i="34"/>
  <c r="P45" i="34"/>
  <c r="Q44" i="34"/>
  <c r="P44" i="34"/>
  <c r="Q43" i="34"/>
  <c r="P43" i="34"/>
  <c r="Q42" i="34"/>
  <c r="P42" i="34"/>
  <c r="Q41" i="34"/>
  <c r="P41" i="34"/>
  <c r="Q40" i="34"/>
  <c r="P40" i="34"/>
  <c r="Q39" i="34"/>
  <c r="P39" i="34"/>
  <c r="Q38" i="34"/>
  <c r="P38" i="34"/>
  <c r="Q37" i="34"/>
  <c r="P37" i="34"/>
  <c r="Q36" i="34"/>
  <c r="P36" i="34"/>
  <c r="Q35" i="34"/>
  <c r="P35" i="34"/>
  <c r="Q34" i="34"/>
  <c r="P34" i="34"/>
  <c r="Q33" i="34"/>
  <c r="P33" i="34"/>
  <c r="Q32" i="34"/>
  <c r="P32" i="34"/>
  <c r="Q31" i="34"/>
  <c r="P31" i="34"/>
  <c r="Q30" i="34"/>
  <c r="P30" i="34"/>
  <c r="Q29" i="34"/>
  <c r="P29" i="34"/>
  <c r="Q28" i="34"/>
  <c r="P28" i="34"/>
  <c r="Q27" i="34"/>
  <c r="P27" i="34"/>
  <c r="Q26" i="34"/>
  <c r="P26" i="34"/>
  <c r="Q25" i="34"/>
  <c r="P25" i="34"/>
  <c r="Q24" i="34"/>
  <c r="P24" i="34"/>
  <c r="Q23" i="34"/>
  <c r="P23" i="34"/>
  <c r="Q22" i="34"/>
  <c r="P22" i="34"/>
  <c r="Q21" i="34"/>
  <c r="P21" i="34"/>
  <c r="Q20" i="34"/>
  <c r="P20" i="34"/>
  <c r="Q19" i="34"/>
  <c r="P19" i="34"/>
  <c r="Q18" i="34"/>
  <c r="P18" i="34"/>
  <c r="Q17" i="34"/>
  <c r="P17" i="34"/>
  <c r="Q16" i="34"/>
  <c r="P16" i="34"/>
  <c r="Q15" i="34"/>
  <c r="P15" i="34"/>
  <c r="Q14" i="34"/>
  <c r="P14" i="34"/>
  <c r="Q13" i="34"/>
  <c r="P13" i="34"/>
  <c r="Q12" i="34"/>
  <c r="P12" i="34"/>
  <c r="Q11" i="34"/>
  <c r="P11" i="34"/>
  <c r="Q10" i="34"/>
  <c r="P10" i="34"/>
  <c r="Q9" i="34"/>
  <c r="P9" i="34"/>
  <c r="Q8" i="34"/>
  <c r="P8" i="34"/>
  <c r="Q7" i="34"/>
  <c r="P7" i="34"/>
  <c r="Q6" i="34"/>
  <c r="P6" i="34"/>
  <c r="Q5" i="34"/>
  <c r="P5" i="34"/>
  <c r="Q4" i="34"/>
  <c r="P4" i="34"/>
  <c r="Q3" i="34"/>
  <c r="Q305" i="34" s="1"/>
  <c r="P3" i="34"/>
  <c r="J8" i="33" l="1"/>
  <c r="I13" i="33"/>
  <c r="P305" i="35"/>
  <c r="Q305" i="35"/>
  <c r="P305" i="37"/>
  <c r="Q305" i="37"/>
  <c r="R20" i="37"/>
  <c r="Y20" i="37" s="1"/>
  <c r="R24" i="37"/>
  <c r="Y24" i="37" s="1"/>
  <c r="R28" i="37"/>
  <c r="Y28" i="37" s="1"/>
  <c r="R36" i="37"/>
  <c r="Y36" i="37" s="1"/>
  <c r="R140" i="37"/>
  <c r="Y140" i="37" s="1"/>
  <c r="R156" i="37"/>
  <c r="Y156" i="37" s="1"/>
  <c r="R160" i="37"/>
  <c r="Y160" i="37" s="1"/>
  <c r="R168" i="37"/>
  <c r="Y168" i="37" s="1"/>
  <c r="R222" i="37"/>
  <c r="Y222" i="37" s="1"/>
  <c r="R234" i="37"/>
  <c r="Y234" i="37" s="1"/>
  <c r="R238" i="37"/>
  <c r="Y238" i="37" s="1"/>
  <c r="R242" i="37"/>
  <c r="Y242" i="37" s="1"/>
  <c r="R250" i="37"/>
  <c r="Y250" i="37" s="1"/>
  <c r="R270" i="37"/>
  <c r="Y270" i="37" s="1"/>
  <c r="R274" i="37"/>
  <c r="Y274" i="37" s="1"/>
  <c r="R278" i="37"/>
  <c r="Y278" i="37" s="1"/>
  <c r="R282" i="37"/>
  <c r="Y282" i="37" s="1"/>
  <c r="R302" i="37"/>
  <c r="Y302" i="37" s="1"/>
  <c r="P305" i="36"/>
  <c r="Q305" i="36"/>
  <c r="R205" i="36"/>
  <c r="Y205" i="36" s="1"/>
  <c r="R209" i="36"/>
  <c r="Y209" i="36" s="1"/>
  <c r="R213" i="36"/>
  <c r="Y213" i="36" s="1"/>
  <c r="R221" i="36"/>
  <c r="Y221" i="36" s="1"/>
  <c r="R258" i="36"/>
  <c r="Y258" i="36" s="1"/>
  <c r="R192" i="36"/>
  <c r="Y192" i="36" s="1"/>
  <c r="R224" i="36"/>
  <c r="Y224" i="36" s="1"/>
  <c r="R232" i="36"/>
  <c r="Y232" i="36" s="1"/>
  <c r="R260" i="36"/>
  <c r="Y260" i="36" s="1"/>
  <c r="R264" i="36"/>
  <c r="Y264" i="36" s="1"/>
  <c r="R268" i="36"/>
  <c r="Y268" i="36" s="1"/>
  <c r="R272" i="36"/>
  <c r="Y272" i="36" s="1"/>
  <c r="R230" i="35"/>
  <c r="Y230" i="35" s="1"/>
  <c r="R234" i="35"/>
  <c r="Y234" i="35" s="1"/>
  <c r="R246" i="35"/>
  <c r="Y246" i="35" s="1"/>
  <c r="R250" i="35"/>
  <c r="Y250" i="35" s="1"/>
  <c r="R262" i="35"/>
  <c r="Y262" i="35" s="1"/>
  <c r="P305" i="34"/>
  <c r="R85" i="34"/>
  <c r="Y85" i="34" s="1"/>
  <c r="R129" i="34"/>
  <c r="Y129" i="34" s="1"/>
  <c r="P2" i="2"/>
  <c r="T2" i="2" s="1"/>
  <c r="H11" i="2"/>
  <c r="R5" i="37"/>
  <c r="Y5" i="37" s="1"/>
  <c r="R193" i="37"/>
  <c r="Y193" i="37" s="1"/>
  <c r="R197" i="37"/>
  <c r="Y197" i="37" s="1"/>
  <c r="R289" i="37"/>
  <c r="Y289" i="37" s="1"/>
  <c r="R22" i="37"/>
  <c r="Y22" i="37" s="1"/>
  <c r="R30" i="37"/>
  <c r="Y30" i="37" s="1"/>
  <c r="R58" i="37"/>
  <c r="Y58" i="37" s="1"/>
  <c r="R62" i="37"/>
  <c r="Y62" i="37" s="1"/>
  <c r="R66" i="37"/>
  <c r="Y66" i="37" s="1"/>
  <c r="R138" i="37"/>
  <c r="Y138" i="37" s="1"/>
  <c r="R172" i="37"/>
  <c r="Y172" i="37" s="1"/>
  <c r="R176" i="37"/>
  <c r="Y176" i="37" s="1"/>
  <c r="R188" i="37"/>
  <c r="Y188" i="37" s="1"/>
  <c r="R131" i="36"/>
  <c r="Y131" i="36" s="1"/>
  <c r="R160" i="36"/>
  <c r="Y160" i="36" s="1"/>
  <c r="R168" i="36"/>
  <c r="Y168" i="36" s="1"/>
  <c r="R176" i="36"/>
  <c r="Y176" i="36" s="1"/>
  <c r="R200" i="36"/>
  <c r="Y200" i="36" s="1"/>
  <c r="R240" i="36"/>
  <c r="Y240" i="36" s="1"/>
  <c r="R248" i="36"/>
  <c r="Y248" i="36" s="1"/>
  <c r="R288" i="36"/>
  <c r="Y288" i="36" s="1"/>
  <c r="R134" i="36"/>
  <c r="Y134" i="36" s="1"/>
  <c r="R138" i="36"/>
  <c r="Y138" i="36" s="1"/>
  <c r="R142" i="36"/>
  <c r="Y142" i="36" s="1"/>
  <c r="R150" i="36"/>
  <c r="Y150" i="36" s="1"/>
  <c r="R154" i="36"/>
  <c r="Y154" i="36" s="1"/>
  <c r="R170" i="36"/>
  <c r="Y170" i="36" s="1"/>
  <c r="R186" i="36"/>
  <c r="Y186" i="36" s="1"/>
  <c r="R294" i="36"/>
  <c r="Y294" i="36" s="1"/>
  <c r="R298" i="36"/>
  <c r="Y298" i="36" s="1"/>
  <c r="R302" i="36"/>
  <c r="Y302" i="36" s="1"/>
  <c r="R261" i="36"/>
  <c r="Y261" i="36" s="1"/>
  <c r="R95" i="36"/>
  <c r="Y95" i="36" s="1"/>
  <c r="R103" i="36"/>
  <c r="Y103" i="36" s="1"/>
  <c r="R115" i="36"/>
  <c r="Y115" i="36" s="1"/>
  <c r="R194" i="36"/>
  <c r="Y194" i="36" s="1"/>
  <c r="R206" i="36"/>
  <c r="Y206" i="36" s="1"/>
  <c r="R226" i="36"/>
  <c r="Y226" i="36" s="1"/>
  <c r="R234" i="36"/>
  <c r="Y234" i="36" s="1"/>
  <c r="R241" i="36"/>
  <c r="Y241" i="36" s="1"/>
  <c r="R301" i="36"/>
  <c r="Y301" i="36" s="1"/>
  <c r="R4" i="36"/>
  <c r="Y4" i="36" s="1"/>
  <c r="R8" i="36"/>
  <c r="Y8" i="36" s="1"/>
  <c r="R12" i="36"/>
  <c r="Y12" i="36" s="1"/>
  <c r="R16" i="36"/>
  <c r="Y16" i="36" s="1"/>
  <c r="R20" i="36"/>
  <c r="Y20" i="36" s="1"/>
  <c r="R24" i="36"/>
  <c r="Y24" i="36" s="1"/>
  <c r="R28" i="36"/>
  <c r="Y28" i="36" s="1"/>
  <c r="R32" i="36"/>
  <c r="Y32" i="36" s="1"/>
  <c r="R36" i="36"/>
  <c r="Y36" i="36" s="1"/>
  <c r="R40" i="36"/>
  <c r="Y40" i="36" s="1"/>
  <c r="R44" i="36"/>
  <c r="Y44" i="36" s="1"/>
  <c r="R48" i="36"/>
  <c r="Y48" i="36" s="1"/>
  <c r="R52" i="36"/>
  <c r="Y52" i="36" s="1"/>
  <c r="R56" i="36"/>
  <c r="Y56" i="36" s="1"/>
  <c r="R64" i="36"/>
  <c r="Y64" i="36" s="1"/>
  <c r="R72" i="36"/>
  <c r="Y72" i="36" s="1"/>
  <c r="R80" i="36"/>
  <c r="Y80" i="36" s="1"/>
  <c r="R88" i="36"/>
  <c r="Y88" i="36" s="1"/>
  <c r="R96" i="36"/>
  <c r="Y96" i="36" s="1"/>
  <c r="R104" i="36"/>
  <c r="Y104" i="36" s="1"/>
  <c r="R286" i="36"/>
  <c r="Y286" i="36" s="1"/>
  <c r="R257" i="36"/>
  <c r="Y257" i="36" s="1"/>
  <c r="R280" i="36"/>
  <c r="Y280" i="36" s="1"/>
  <c r="R98" i="35"/>
  <c r="Y98" i="35" s="1"/>
  <c r="R106" i="35"/>
  <c r="Y106" i="35" s="1"/>
  <c r="R110" i="35"/>
  <c r="Y110" i="35" s="1"/>
  <c r="R65" i="35"/>
  <c r="Y65" i="35" s="1"/>
  <c r="R69" i="35"/>
  <c r="Y69" i="35" s="1"/>
  <c r="R85" i="35"/>
  <c r="Y85" i="35" s="1"/>
  <c r="R93" i="35"/>
  <c r="Y93" i="35" s="1"/>
  <c r="R97" i="35"/>
  <c r="Y97" i="35" s="1"/>
  <c r="R105" i="35"/>
  <c r="Y105" i="35" s="1"/>
  <c r="R109" i="35"/>
  <c r="Y109" i="35" s="1"/>
  <c r="R113" i="35"/>
  <c r="Y113" i="35" s="1"/>
  <c r="R117" i="35"/>
  <c r="Y117" i="35" s="1"/>
  <c r="R129" i="35"/>
  <c r="Y129" i="35" s="1"/>
  <c r="R133" i="35"/>
  <c r="Y133" i="35" s="1"/>
  <c r="R153" i="35"/>
  <c r="Y153" i="35" s="1"/>
  <c r="R157" i="35"/>
  <c r="Y157" i="35" s="1"/>
  <c r="R161" i="35"/>
  <c r="Y161" i="35" s="1"/>
  <c r="R177" i="35"/>
  <c r="Y177" i="35" s="1"/>
  <c r="R197" i="35"/>
  <c r="Y197" i="35" s="1"/>
  <c r="R201" i="35"/>
  <c r="Y201" i="35" s="1"/>
  <c r="R14" i="35"/>
  <c r="Y14" i="35" s="1"/>
  <c r="R18" i="35"/>
  <c r="Y18" i="35" s="1"/>
  <c r="R266" i="35"/>
  <c r="Y266" i="35" s="1"/>
  <c r="R31" i="35"/>
  <c r="Y31" i="35" s="1"/>
  <c r="R39" i="35"/>
  <c r="Y39" i="35" s="1"/>
  <c r="R43" i="35"/>
  <c r="Y43" i="35" s="1"/>
  <c r="R51" i="35"/>
  <c r="Y51" i="35" s="1"/>
  <c r="R55" i="35"/>
  <c r="Y55" i="35" s="1"/>
  <c r="R75" i="35"/>
  <c r="Y75" i="35" s="1"/>
  <c r="R83" i="35"/>
  <c r="Y83" i="35" s="1"/>
  <c r="R95" i="35"/>
  <c r="Y95" i="35" s="1"/>
  <c r="R155" i="35"/>
  <c r="Y155" i="35" s="1"/>
  <c r="R171" i="35"/>
  <c r="Y171" i="35" s="1"/>
  <c r="R179" i="35"/>
  <c r="Y179" i="35" s="1"/>
  <c r="R3" i="35"/>
  <c r="R102" i="34"/>
  <c r="Y102" i="34" s="1"/>
  <c r="R110" i="34"/>
  <c r="Y110" i="34" s="1"/>
  <c r="R114" i="34"/>
  <c r="Y114" i="34" s="1"/>
  <c r="R118" i="34"/>
  <c r="Y118" i="34" s="1"/>
  <c r="R122" i="34"/>
  <c r="Y122" i="34" s="1"/>
  <c r="R154" i="34"/>
  <c r="Y154" i="34" s="1"/>
  <c r="R287" i="34"/>
  <c r="Y287" i="34" s="1"/>
  <c r="R104" i="34"/>
  <c r="Y104" i="34" s="1"/>
  <c r="R108" i="34"/>
  <c r="Y108" i="34" s="1"/>
  <c r="R112" i="34"/>
  <c r="Y112" i="34" s="1"/>
  <c r="R116" i="34"/>
  <c r="Y116" i="34" s="1"/>
  <c r="R124" i="34"/>
  <c r="Y124" i="34" s="1"/>
  <c r="R128" i="34"/>
  <c r="Y128" i="34" s="1"/>
  <c r="R140" i="34"/>
  <c r="Y140" i="34" s="1"/>
  <c r="R148" i="34"/>
  <c r="Y148" i="34" s="1"/>
  <c r="R5" i="34"/>
  <c r="Y5" i="34" s="1"/>
  <c r="R37" i="34"/>
  <c r="Y37" i="34" s="1"/>
  <c r="R41" i="34"/>
  <c r="Y41" i="34" s="1"/>
  <c r="R45" i="34"/>
  <c r="Y45" i="34" s="1"/>
  <c r="R49" i="34"/>
  <c r="Y49" i="34" s="1"/>
  <c r="R53" i="34"/>
  <c r="Y53" i="34" s="1"/>
  <c r="R61" i="34"/>
  <c r="Y61" i="34" s="1"/>
  <c r="R167" i="34"/>
  <c r="Y167" i="34" s="1"/>
  <c r="R171" i="34"/>
  <c r="Y171" i="34" s="1"/>
  <c r="R295" i="34"/>
  <c r="Y295" i="34" s="1"/>
  <c r="R288" i="34"/>
  <c r="Y288" i="34" s="1"/>
  <c r="R65" i="34"/>
  <c r="Y65" i="34" s="1"/>
  <c r="R77" i="34"/>
  <c r="Y77" i="34" s="1"/>
  <c r="R81" i="34"/>
  <c r="Y81" i="34" s="1"/>
  <c r="R169" i="34"/>
  <c r="Y169" i="34" s="1"/>
  <c r="R173" i="34"/>
  <c r="Y173" i="34" s="1"/>
  <c r="R201" i="34"/>
  <c r="Y201" i="34" s="1"/>
  <c r="R209" i="34"/>
  <c r="Y209" i="34" s="1"/>
  <c r="R213" i="34"/>
  <c r="Y213" i="34" s="1"/>
  <c r="R217" i="34"/>
  <c r="Y217" i="34" s="1"/>
  <c r="R221" i="34"/>
  <c r="Y221" i="34" s="1"/>
  <c r="R233" i="34"/>
  <c r="Y233" i="34" s="1"/>
  <c r="R237" i="34"/>
  <c r="Y237" i="34" s="1"/>
  <c r="R241" i="34"/>
  <c r="Y241" i="34" s="1"/>
  <c r="R7" i="34"/>
  <c r="Y7" i="34" s="1"/>
  <c r="R150" i="34"/>
  <c r="Y150" i="34" s="1"/>
  <c r="R282" i="34"/>
  <c r="Y282" i="34" s="1"/>
  <c r="R298" i="34"/>
  <c r="Y298" i="34" s="1"/>
  <c r="R24" i="34"/>
  <c r="Y24" i="34" s="1"/>
  <c r="R267" i="34"/>
  <c r="Y267" i="34" s="1"/>
  <c r="R87" i="34"/>
  <c r="Y87" i="34" s="1"/>
  <c r="R292" i="34"/>
  <c r="Y292" i="34" s="1"/>
  <c r="R252" i="34"/>
  <c r="Y252" i="34" s="1"/>
  <c r="R127" i="34"/>
  <c r="Y127" i="34" s="1"/>
  <c r="R245" i="34"/>
  <c r="Y245" i="34" s="1"/>
  <c r="R253" i="34"/>
  <c r="Y253" i="34" s="1"/>
  <c r="R277" i="34"/>
  <c r="Y277" i="34" s="1"/>
  <c r="R281" i="34"/>
  <c r="Y281" i="34" s="1"/>
  <c r="R74" i="34"/>
  <c r="Y74" i="34" s="1"/>
  <c r="R40" i="34"/>
  <c r="Y40" i="34" s="1"/>
  <c r="R64" i="34"/>
  <c r="Y64" i="34" s="1"/>
  <c r="R95" i="34"/>
  <c r="Y95" i="34" s="1"/>
  <c r="R99" i="34"/>
  <c r="Y99" i="34" s="1"/>
  <c r="R254" i="34"/>
  <c r="Y254" i="34" s="1"/>
  <c r="R258" i="34"/>
  <c r="Y258" i="34" s="1"/>
  <c r="R175" i="34"/>
  <c r="Y175" i="34" s="1"/>
  <c r="R183" i="34"/>
  <c r="Y183" i="34" s="1"/>
  <c r="R199" i="34"/>
  <c r="Y199" i="34" s="1"/>
  <c r="R203" i="34"/>
  <c r="Y203" i="34" s="1"/>
  <c r="R207" i="34"/>
  <c r="Y207" i="34" s="1"/>
  <c r="R68" i="34"/>
  <c r="Y68" i="34" s="1"/>
  <c r="R299" i="34"/>
  <c r="Y299" i="34" s="1"/>
  <c r="R135" i="34"/>
  <c r="Y135" i="34" s="1"/>
  <c r="R147" i="34"/>
  <c r="Y147" i="34" s="1"/>
  <c r="R13" i="34"/>
  <c r="Y13" i="34" s="1"/>
  <c r="R33" i="34"/>
  <c r="Y33" i="34" s="1"/>
  <c r="R69" i="34"/>
  <c r="Y69" i="34" s="1"/>
  <c r="R89" i="34"/>
  <c r="Y89" i="34" s="1"/>
  <c r="R93" i="34"/>
  <c r="Y93" i="34" s="1"/>
  <c r="R101" i="34"/>
  <c r="Y101" i="34" s="1"/>
  <c r="R105" i="34"/>
  <c r="Y105" i="34" s="1"/>
  <c r="R109" i="34"/>
  <c r="Y109" i="34" s="1"/>
  <c r="R113" i="34"/>
  <c r="Y113" i="34" s="1"/>
  <c r="R117" i="34"/>
  <c r="Y117" i="34" s="1"/>
  <c r="R125" i="34"/>
  <c r="Y125" i="34" s="1"/>
  <c r="R256" i="34"/>
  <c r="Y256" i="34" s="1"/>
  <c r="R260" i="34"/>
  <c r="Y260" i="34" s="1"/>
  <c r="R264" i="34"/>
  <c r="Y264" i="34" s="1"/>
  <c r="R268" i="34"/>
  <c r="Y268" i="34" s="1"/>
  <c r="R272" i="34"/>
  <c r="Y272" i="34" s="1"/>
  <c r="R276" i="34"/>
  <c r="Y276" i="34" s="1"/>
  <c r="R280" i="34"/>
  <c r="Y280" i="34" s="1"/>
  <c r="R80" i="34"/>
  <c r="Y80" i="34" s="1"/>
  <c r="R139" i="34"/>
  <c r="Y139" i="34" s="1"/>
  <c r="R82" i="34"/>
  <c r="Y82" i="34" s="1"/>
  <c r="R300" i="34"/>
  <c r="Y300" i="34" s="1"/>
  <c r="R78" i="34"/>
  <c r="Y78" i="34" s="1"/>
  <c r="R133" i="34"/>
  <c r="Y133" i="34" s="1"/>
  <c r="R137" i="34"/>
  <c r="Y137" i="34" s="1"/>
  <c r="R284" i="34"/>
  <c r="Y284" i="34" s="1"/>
  <c r="R39" i="34"/>
  <c r="Y39" i="34" s="1"/>
  <c r="R63" i="34"/>
  <c r="Y63" i="34" s="1"/>
  <c r="R71" i="34"/>
  <c r="Y71" i="34" s="1"/>
  <c r="R130" i="34"/>
  <c r="Y130" i="34" s="1"/>
  <c r="R146" i="34"/>
  <c r="Y146" i="34" s="1"/>
  <c r="R273" i="34"/>
  <c r="Y273" i="34" s="1"/>
  <c r="R290" i="35"/>
  <c r="Y290" i="35" s="1"/>
  <c r="R99" i="35"/>
  <c r="Y99" i="35" s="1"/>
  <c r="R119" i="36"/>
  <c r="Y119" i="36" s="1"/>
  <c r="R123" i="36"/>
  <c r="Y123" i="36" s="1"/>
  <c r="R127" i="36"/>
  <c r="Y127" i="36" s="1"/>
  <c r="R166" i="36"/>
  <c r="Y166" i="36" s="1"/>
  <c r="R178" i="36"/>
  <c r="Y178" i="36" s="1"/>
  <c r="R214" i="36"/>
  <c r="Y214" i="36" s="1"/>
  <c r="R218" i="36"/>
  <c r="Y218" i="36" s="1"/>
  <c r="R256" i="36"/>
  <c r="Y256" i="36" s="1"/>
  <c r="R300" i="36"/>
  <c r="Y300" i="36" s="1"/>
  <c r="R269" i="36"/>
  <c r="Y269" i="36" s="1"/>
  <c r="R273" i="36"/>
  <c r="Y273" i="36" s="1"/>
  <c r="R277" i="36"/>
  <c r="Y277" i="36" s="1"/>
  <c r="R296" i="36"/>
  <c r="Y296" i="36" s="1"/>
  <c r="R132" i="36"/>
  <c r="Y132" i="36" s="1"/>
  <c r="R180" i="36"/>
  <c r="Y180" i="36" s="1"/>
  <c r="R184" i="36"/>
  <c r="Y184" i="36" s="1"/>
  <c r="R188" i="36"/>
  <c r="Y188" i="36" s="1"/>
  <c r="R211" i="36"/>
  <c r="Y211" i="36" s="1"/>
  <c r="R266" i="36"/>
  <c r="Y266" i="36" s="1"/>
  <c r="R278" i="36"/>
  <c r="Y278" i="36" s="1"/>
  <c r="R65" i="36"/>
  <c r="Y65" i="36" s="1"/>
  <c r="R73" i="36"/>
  <c r="Y73" i="36" s="1"/>
  <c r="R81" i="36"/>
  <c r="Y81" i="36" s="1"/>
  <c r="R89" i="36"/>
  <c r="Y89" i="36" s="1"/>
  <c r="R97" i="36"/>
  <c r="Y97" i="36" s="1"/>
  <c r="R105" i="36"/>
  <c r="Y105" i="36" s="1"/>
  <c r="R113" i="36"/>
  <c r="Y113" i="36" s="1"/>
  <c r="R117" i="36"/>
  <c r="Y117" i="36" s="1"/>
  <c r="R121" i="36"/>
  <c r="Y121" i="36" s="1"/>
  <c r="R129" i="36"/>
  <c r="Y129" i="36" s="1"/>
  <c r="R204" i="36"/>
  <c r="Y204" i="36" s="1"/>
  <c r="R208" i="36"/>
  <c r="Y208" i="36" s="1"/>
  <c r="R212" i="36"/>
  <c r="Y212" i="36" s="1"/>
  <c r="R216" i="36"/>
  <c r="Y216" i="36" s="1"/>
  <c r="R118" i="36"/>
  <c r="Y118" i="36" s="1"/>
  <c r="R141" i="36"/>
  <c r="Y141" i="36" s="1"/>
  <c r="R149" i="36"/>
  <c r="Y149" i="36" s="1"/>
  <c r="R157" i="36"/>
  <c r="Y157" i="36" s="1"/>
  <c r="R177" i="36"/>
  <c r="Y177" i="36" s="1"/>
  <c r="R181" i="36"/>
  <c r="Y181" i="36" s="1"/>
  <c r="R244" i="36"/>
  <c r="Y244" i="36" s="1"/>
  <c r="R16" i="37"/>
  <c r="Y16" i="37" s="1"/>
  <c r="R44" i="37"/>
  <c r="Y44" i="37" s="1"/>
  <c r="R48" i="37"/>
  <c r="Y48" i="37" s="1"/>
  <c r="R52" i="37"/>
  <c r="Y52" i="37" s="1"/>
  <c r="R56" i="37"/>
  <c r="Y56" i="37" s="1"/>
  <c r="R92" i="37"/>
  <c r="Y92" i="37" s="1"/>
  <c r="R96" i="37"/>
  <c r="Y96" i="37" s="1"/>
  <c r="R104" i="37"/>
  <c r="Y104" i="37" s="1"/>
  <c r="R124" i="37"/>
  <c r="Y124" i="37" s="1"/>
  <c r="R128" i="37"/>
  <c r="Y128" i="37" s="1"/>
  <c r="R136" i="37"/>
  <c r="Y136" i="37" s="1"/>
  <c r="R192" i="37"/>
  <c r="Y192" i="37" s="1"/>
  <c r="R248" i="37"/>
  <c r="Y248" i="37" s="1"/>
  <c r="R252" i="37"/>
  <c r="Y252" i="37" s="1"/>
  <c r="R260" i="37"/>
  <c r="Y260" i="37" s="1"/>
  <c r="R268" i="37"/>
  <c r="Y268" i="37" s="1"/>
  <c r="R13" i="37"/>
  <c r="Y13" i="37" s="1"/>
  <c r="R33" i="37"/>
  <c r="Y33" i="37" s="1"/>
  <c r="R89" i="37"/>
  <c r="Y89" i="37" s="1"/>
  <c r="R93" i="37"/>
  <c r="Y93" i="37" s="1"/>
  <c r="R97" i="37"/>
  <c r="Y97" i="37" s="1"/>
  <c r="R105" i="37"/>
  <c r="Y105" i="37" s="1"/>
  <c r="R121" i="37"/>
  <c r="Y121" i="37" s="1"/>
  <c r="R125" i="37"/>
  <c r="Y125" i="37" s="1"/>
  <c r="R129" i="37"/>
  <c r="Y129" i="37" s="1"/>
  <c r="R137" i="37"/>
  <c r="Y137" i="37" s="1"/>
  <c r="R149" i="37"/>
  <c r="Y149" i="37" s="1"/>
  <c r="R161" i="37"/>
  <c r="Y161" i="37" s="1"/>
  <c r="R165" i="37"/>
  <c r="Y165" i="37" s="1"/>
  <c r="R177" i="37"/>
  <c r="Y177" i="37" s="1"/>
  <c r="R181" i="37"/>
  <c r="Y181" i="37" s="1"/>
  <c r="R293" i="37"/>
  <c r="Y293" i="37" s="1"/>
  <c r="R10" i="37"/>
  <c r="Y10" i="37" s="1"/>
  <c r="R18" i="37"/>
  <c r="Y18" i="37" s="1"/>
  <c r="R38" i="37"/>
  <c r="Y38" i="37" s="1"/>
  <c r="R146" i="37"/>
  <c r="Y146" i="37" s="1"/>
  <c r="R170" i="37"/>
  <c r="Y170" i="37" s="1"/>
  <c r="R190" i="37"/>
  <c r="Y190" i="37" s="1"/>
  <c r="R23" i="37"/>
  <c r="Y23" i="37" s="1"/>
  <c r="R27" i="37"/>
  <c r="Y27" i="37" s="1"/>
  <c r="R31" i="37"/>
  <c r="Y31" i="37" s="1"/>
  <c r="R59" i="37"/>
  <c r="Y59" i="37" s="1"/>
  <c r="R63" i="37"/>
  <c r="Y63" i="37" s="1"/>
  <c r="R67" i="37"/>
  <c r="Y67" i="37" s="1"/>
  <c r="R71" i="37"/>
  <c r="Y71" i="37" s="1"/>
  <c r="R107" i="37"/>
  <c r="Y107" i="37" s="1"/>
  <c r="R111" i="37"/>
  <c r="Y111" i="37" s="1"/>
  <c r="R115" i="37"/>
  <c r="Y115" i="37" s="1"/>
  <c r="R139" i="37"/>
  <c r="Y139" i="37" s="1"/>
  <c r="R159" i="37"/>
  <c r="Y159" i="37" s="1"/>
  <c r="R163" i="37"/>
  <c r="Y163" i="37" s="1"/>
  <c r="R7" i="37"/>
  <c r="Y7" i="37" s="1"/>
  <c r="R191" i="37"/>
  <c r="Y191" i="37" s="1"/>
  <c r="R207" i="37"/>
  <c r="Y207" i="37" s="1"/>
  <c r="R211" i="37"/>
  <c r="Y211" i="37" s="1"/>
  <c r="R239" i="37"/>
  <c r="Y239" i="37" s="1"/>
  <c r="R243" i="37"/>
  <c r="Y243" i="37" s="1"/>
  <c r="R271" i="37"/>
  <c r="Y271" i="37" s="1"/>
  <c r="R275" i="37"/>
  <c r="Y275" i="37" s="1"/>
  <c r="R15" i="37"/>
  <c r="Y15" i="37" s="1"/>
  <c r="R34" i="37"/>
  <c r="Y34" i="37" s="1"/>
  <c r="R69" i="37"/>
  <c r="Y69" i="37" s="1"/>
  <c r="R77" i="37"/>
  <c r="Y77" i="37" s="1"/>
  <c r="R81" i="37"/>
  <c r="Y81" i="37" s="1"/>
  <c r="R85" i="37"/>
  <c r="Y85" i="37" s="1"/>
  <c r="R119" i="37"/>
  <c r="Y119" i="37" s="1"/>
  <c r="R158" i="37"/>
  <c r="Y158" i="37" s="1"/>
  <c r="R208" i="37"/>
  <c r="Y208" i="37" s="1"/>
  <c r="R212" i="37"/>
  <c r="Y212" i="37" s="1"/>
  <c r="R216" i="37"/>
  <c r="Y216" i="37" s="1"/>
  <c r="R223" i="37"/>
  <c r="Y223" i="37" s="1"/>
  <c r="R227" i="37"/>
  <c r="Y227" i="37" s="1"/>
  <c r="R284" i="37"/>
  <c r="Y284" i="37" s="1"/>
  <c r="R288" i="37"/>
  <c r="Y288" i="37" s="1"/>
  <c r="R292" i="37"/>
  <c r="Y292" i="37" s="1"/>
  <c r="R300" i="37"/>
  <c r="Y300" i="37" s="1"/>
  <c r="R8" i="37"/>
  <c r="Y8" i="37" s="1"/>
  <c r="R12" i="37"/>
  <c r="Y12" i="37" s="1"/>
  <c r="R19" i="37"/>
  <c r="Y19" i="37" s="1"/>
  <c r="R35" i="37"/>
  <c r="Y35" i="37" s="1"/>
  <c r="R42" i="37"/>
  <c r="Y42" i="37" s="1"/>
  <c r="R54" i="37"/>
  <c r="Y54" i="37" s="1"/>
  <c r="R220" i="37"/>
  <c r="Y220" i="37" s="1"/>
  <c r="R224" i="37"/>
  <c r="Y224" i="37" s="1"/>
  <c r="R228" i="37"/>
  <c r="Y228" i="37" s="1"/>
  <c r="R232" i="37"/>
  <c r="Y232" i="37" s="1"/>
  <c r="R117" i="37"/>
  <c r="Y117" i="37" s="1"/>
  <c r="R236" i="37"/>
  <c r="Y236" i="37" s="1"/>
  <c r="R102" i="37"/>
  <c r="Y102" i="37" s="1"/>
  <c r="R206" i="37"/>
  <c r="Y206" i="37" s="1"/>
  <c r="R25" i="37"/>
  <c r="Y25" i="37" s="1"/>
  <c r="R32" i="37"/>
  <c r="Y32" i="37" s="1"/>
  <c r="R87" i="37"/>
  <c r="Y87" i="37" s="1"/>
  <c r="R106" i="37"/>
  <c r="Y106" i="37" s="1"/>
  <c r="R110" i="37"/>
  <c r="Y110" i="37" s="1"/>
  <c r="R114" i="37"/>
  <c r="Y114" i="37" s="1"/>
  <c r="R180" i="37"/>
  <c r="Y180" i="37" s="1"/>
  <c r="R195" i="37"/>
  <c r="Y195" i="37" s="1"/>
  <c r="R218" i="37"/>
  <c r="Y218" i="37" s="1"/>
  <c r="R256" i="37"/>
  <c r="Y256" i="37" s="1"/>
  <c r="R3" i="37"/>
  <c r="Y3" i="37" s="1"/>
  <c r="R45" i="37"/>
  <c r="Y45" i="37" s="1"/>
  <c r="R49" i="37"/>
  <c r="Y49" i="37" s="1"/>
  <c r="R57" i="37"/>
  <c r="Y57" i="37" s="1"/>
  <c r="R134" i="37"/>
  <c r="Y134" i="37" s="1"/>
  <c r="R196" i="37"/>
  <c r="Y196" i="37" s="1"/>
  <c r="R204" i="37"/>
  <c r="Y204" i="37" s="1"/>
  <c r="R246" i="37"/>
  <c r="Y246" i="37" s="1"/>
  <c r="R257" i="37"/>
  <c r="Y257" i="37" s="1"/>
  <c r="R261" i="37"/>
  <c r="Y261" i="37" s="1"/>
  <c r="R280" i="37"/>
  <c r="Y280" i="37" s="1"/>
  <c r="R285" i="36"/>
  <c r="Y285" i="36" s="1"/>
  <c r="R161" i="36"/>
  <c r="Y161" i="36" s="1"/>
  <c r="R195" i="36"/>
  <c r="Y195" i="36" s="1"/>
  <c r="R210" i="36"/>
  <c r="Y210" i="36" s="1"/>
  <c r="R225" i="36"/>
  <c r="Y225" i="36" s="1"/>
  <c r="R229" i="36"/>
  <c r="Y229" i="36" s="1"/>
  <c r="R270" i="36"/>
  <c r="Y270" i="36" s="1"/>
  <c r="R116" i="36"/>
  <c r="Y116" i="36" s="1"/>
  <c r="R135" i="36"/>
  <c r="Y135" i="36" s="1"/>
  <c r="R158" i="36"/>
  <c r="Y158" i="36" s="1"/>
  <c r="R162" i="36"/>
  <c r="Y162" i="36" s="1"/>
  <c r="R173" i="36"/>
  <c r="Y173" i="36" s="1"/>
  <c r="R196" i="36"/>
  <c r="Y196" i="36" s="1"/>
  <c r="R222" i="36"/>
  <c r="Y222" i="36" s="1"/>
  <c r="R230" i="36"/>
  <c r="Y230" i="36" s="1"/>
  <c r="R237" i="36"/>
  <c r="Y237" i="36" s="1"/>
  <c r="R252" i="36"/>
  <c r="Y252" i="36" s="1"/>
  <c r="R259" i="36"/>
  <c r="Y259" i="36" s="1"/>
  <c r="R274" i="36"/>
  <c r="Y274" i="36" s="1"/>
  <c r="R282" i="36"/>
  <c r="Y282" i="36" s="1"/>
  <c r="R289" i="36"/>
  <c r="Y289" i="36" s="1"/>
  <c r="R293" i="36"/>
  <c r="Y293" i="36" s="1"/>
  <c r="R57" i="36"/>
  <c r="Y57" i="36" s="1"/>
  <c r="R61" i="36"/>
  <c r="Y61" i="36" s="1"/>
  <c r="R69" i="36"/>
  <c r="Y69" i="36" s="1"/>
  <c r="R77" i="36"/>
  <c r="Y77" i="36" s="1"/>
  <c r="R85" i="36"/>
  <c r="Y85" i="36" s="1"/>
  <c r="R93" i="36"/>
  <c r="Y93" i="36" s="1"/>
  <c r="R101" i="36"/>
  <c r="Y101" i="36" s="1"/>
  <c r="R109" i="36"/>
  <c r="Y109" i="36" s="1"/>
  <c r="R147" i="36"/>
  <c r="Y147" i="36" s="1"/>
  <c r="R151" i="36"/>
  <c r="Y151" i="36" s="1"/>
  <c r="R159" i="36"/>
  <c r="Y159" i="36" s="1"/>
  <c r="R174" i="36"/>
  <c r="Y174" i="36" s="1"/>
  <c r="R182" i="36"/>
  <c r="Y182" i="36" s="1"/>
  <c r="R189" i="36"/>
  <c r="Y189" i="36" s="1"/>
  <c r="R238" i="36"/>
  <c r="Y238" i="36" s="1"/>
  <c r="R245" i="36"/>
  <c r="Y245" i="36" s="1"/>
  <c r="R275" i="36"/>
  <c r="Y275" i="36" s="1"/>
  <c r="R290" i="36"/>
  <c r="Y290" i="36" s="1"/>
  <c r="R114" i="36"/>
  <c r="Y114" i="36" s="1"/>
  <c r="R193" i="36"/>
  <c r="Y193" i="36" s="1"/>
  <c r="R197" i="36"/>
  <c r="Y197" i="36" s="1"/>
  <c r="R220" i="36"/>
  <c r="Y220" i="36" s="1"/>
  <c r="R227" i="36"/>
  <c r="Y227" i="36" s="1"/>
  <c r="R242" i="36"/>
  <c r="Y242" i="36" s="1"/>
  <c r="R246" i="36"/>
  <c r="Y246" i="36" s="1"/>
  <c r="R253" i="36"/>
  <c r="Y253" i="36" s="1"/>
  <c r="R276" i="36"/>
  <c r="Y276" i="36" s="1"/>
  <c r="R122" i="36"/>
  <c r="Y122" i="36" s="1"/>
  <c r="R125" i="36"/>
  <c r="Y125" i="36" s="1"/>
  <c r="R133" i="36"/>
  <c r="Y133" i="36" s="1"/>
  <c r="R137" i="36"/>
  <c r="Y137" i="36" s="1"/>
  <c r="R144" i="36"/>
  <c r="Y144" i="36" s="1"/>
  <c r="R167" i="36"/>
  <c r="Y167" i="36" s="1"/>
  <c r="R190" i="36"/>
  <c r="Y190" i="36" s="1"/>
  <c r="R198" i="36"/>
  <c r="Y198" i="36" s="1"/>
  <c r="R228" i="36"/>
  <c r="Y228" i="36" s="1"/>
  <c r="R250" i="36"/>
  <c r="Y250" i="36" s="1"/>
  <c r="R284" i="36"/>
  <c r="Y284" i="36" s="1"/>
  <c r="R59" i="36"/>
  <c r="Y59" i="36" s="1"/>
  <c r="R63" i="36"/>
  <c r="Y63" i="36" s="1"/>
  <c r="R67" i="36"/>
  <c r="Y67" i="36" s="1"/>
  <c r="R71" i="36"/>
  <c r="Y71" i="36" s="1"/>
  <c r="R75" i="36"/>
  <c r="Y75" i="36" s="1"/>
  <c r="R79" i="36"/>
  <c r="Y79" i="36" s="1"/>
  <c r="R83" i="36"/>
  <c r="Y83" i="36" s="1"/>
  <c r="R87" i="36"/>
  <c r="Y87" i="36" s="1"/>
  <c r="R91" i="36"/>
  <c r="Y91" i="36" s="1"/>
  <c r="R99" i="36"/>
  <c r="Y99" i="36" s="1"/>
  <c r="R107" i="36"/>
  <c r="Y107" i="36" s="1"/>
  <c r="R111" i="36"/>
  <c r="Y111" i="36" s="1"/>
  <c r="R130" i="36"/>
  <c r="Y130" i="36" s="1"/>
  <c r="R172" i="36"/>
  <c r="Y172" i="36" s="1"/>
  <c r="R202" i="36"/>
  <c r="Y202" i="36" s="1"/>
  <c r="R236" i="36"/>
  <c r="Y236" i="36" s="1"/>
  <c r="R254" i="36"/>
  <c r="Y254" i="36" s="1"/>
  <c r="R262" i="36"/>
  <c r="Y262" i="36" s="1"/>
  <c r="R292" i="36"/>
  <c r="Y292" i="36" s="1"/>
  <c r="R289" i="35"/>
  <c r="Y289" i="35" s="1"/>
  <c r="R293" i="35"/>
  <c r="Y293" i="35" s="1"/>
  <c r="R294" i="35"/>
  <c r="Y294" i="35" s="1"/>
  <c r="R7" i="35"/>
  <c r="Y7" i="35" s="1"/>
  <c r="R202" i="35"/>
  <c r="Y202" i="35" s="1"/>
  <c r="R263" i="35"/>
  <c r="Y263" i="35" s="1"/>
  <c r="R28" i="35"/>
  <c r="Y28" i="35" s="1"/>
  <c r="R36" i="35"/>
  <c r="Y36" i="35" s="1"/>
  <c r="R40" i="35"/>
  <c r="Y40" i="35" s="1"/>
  <c r="R48" i="35"/>
  <c r="Y48" i="35" s="1"/>
  <c r="R56" i="35"/>
  <c r="Y56" i="35" s="1"/>
  <c r="R60" i="35"/>
  <c r="Y60" i="35" s="1"/>
  <c r="R68" i="35"/>
  <c r="Y68" i="35" s="1"/>
  <c r="R72" i="35"/>
  <c r="Y72" i="35" s="1"/>
  <c r="R92" i="35"/>
  <c r="Y92" i="35" s="1"/>
  <c r="R100" i="35"/>
  <c r="Y100" i="35" s="1"/>
  <c r="R104" i="35"/>
  <c r="Y104" i="35" s="1"/>
  <c r="R108" i="35"/>
  <c r="Y108" i="35" s="1"/>
  <c r="R120" i="35"/>
  <c r="Y120" i="35" s="1"/>
  <c r="R124" i="35"/>
  <c r="Y124" i="35" s="1"/>
  <c r="R128" i="35"/>
  <c r="Y128" i="35" s="1"/>
  <c r="R132" i="35"/>
  <c r="Y132" i="35" s="1"/>
  <c r="R136" i="35"/>
  <c r="Y136" i="35" s="1"/>
  <c r="R140" i="35"/>
  <c r="Y140" i="35" s="1"/>
  <c r="R144" i="35"/>
  <c r="Y144" i="35" s="1"/>
  <c r="R148" i="35"/>
  <c r="Y148" i="35" s="1"/>
  <c r="R204" i="35"/>
  <c r="Y204" i="35" s="1"/>
  <c r="R244" i="35"/>
  <c r="Y244" i="35" s="1"/>
  <c r="R252" i="35"/>
  <c r="Y252" i="35" s="1"/>
  <c r="R288" i="35"/>
  <c r="Y288" i="35" s="1"/>
  <c r="R292" i="35"/>
  <c r="Y292" i="35" s="1"/>
  <c r="R38" i="34"/>
  <c r="Y38" i="34" s="1"/>
  <c r="R42" i="34"/>
  <c r="Y42" i="34" s="1"/>
  <c r="R62" i="34"/>
  <c r="Y62" i="34" s="1"/>
  <c r="R73" i="34"/>
  <c r="Y73" i="34" s="1"/>
  <c r="R91" i="34"/>
  <c r="Y91" i="34" s="1"/>
  <c r="R290" i="34"/>
  <c r="Y290" i="34" s="1"/>
  <c r="R294" i="34"/>
  <c r="Y294" i="34" s="1"/>
  <c r="R302" i="34"/>
  <c r="Y302" i="34" s="1"/>
  <c r="R23" i="34"/>
  <c r="Y23" i="34" s="1"/>
  <c r="R27" i="34"/>
  <c r="Y27" i="34" s="1"/>
  <c r="R43" i="34"/>
  <c r="Y43" i="34" s="1"/>
  <c r="R47" i="34"/>
  <c r="Y47" i="34" s="1"/>
  <c r="R51" i="34"/>
  <c r="Y51" i="34" s="1"/>
  <c r="R55" i="34"/>
  <c r="Y55" i="34" s="1"/>
  <c r="R59" i="34"/>
  <c r="Y59" i="34" s="1"/>
  <c r="R103" i="34"/>
  <c r="Y103" i="34" s="1"/>
  <c r="R107" i="34"/>
  <c r="Y107" i="34" s="1"/>
  <c r="R111" i="34"/>
  <c r="Y111" i="34" s="1"/>
  <c r="R115" i="34"/>
  <c r="Y115" i="34" s="1"/>
  <c r="R119" i="34"/>
  <c r="Y119" i="34" s="1"/>
  <c r="R123" i="34"/>
  <c r="Y123" i="34" s="1"/>
  <c r="R157" i="34"/>
  <c r="Y157" i="34" s="1"/>
  <c r="R161" i="34"/>
  <c r="Y161" i="34" s="1"/>
  <c r="R165" i="34"/>
  <c r="Y165" i="34" s="1"/>
  <c r="R197" i="34"/>
  <c r="Y197" i="34" s="1"/>
  <c r="R4" i="34"/>
  <c r="Y4" i="34" s="1"/>
  <c r="R16" i="34"/>
  <c r="Y16" i="34" s="1"/>
  <c r="R67" i="34"/>
  <c r="Y67" i="34" s="1"/>
  <c r="R96" i="34"/>
  <c r="Y96" i="34" s="1"/>
  <c r="R131" i="34"/>
  <c r="Y131" i="34" s="1"/>
  <c r="R166" i="34"/>
  <c r="Y166" i="34" s="1"/>
  <c r="R170" i="34"/>
  <c r="Y170" i="34" s="1"/>
  <c r="R174" i="34"/>
  <c r="Y174" i="34" s="1"/>
  <c r="R178" i="34"/>
  <c r="Y178" i="34" s="1"/>
  <c r="R182" i="34"/>
  <c r="Y182" i="34" s="1"/>
  <c r="R186" i="34"/>
  <c r="Y186" i="34" s="1"/>
  <c r="R190" i="34"/>
  <c r="Y190" i="34" s="1"/>
  <c r="R194" i="34"/>
  <c r="Y194" i="34" s="1"/>
  <c r="R198" i="34"/>
  <c r="Y198" i="34" s="1"/>
  <c r="R202" i="34"/>
  <c r="Y202" i="34" s="1"/>
  <c r="R206" i="34"/>
  <c r="Y206" i="34" s="1"/>
  <c r="R210" i="34"/>
  <c r="Y210" i="34" s="1"/>
  <c r="R214" i="34"/>
  <c r="Y214" i="34" s="1"/>
  <c r="R218" i="34"/>
  <c r="Y218" i="34" s="1"/>
  <c r="R222" i="34"/>
  <c r="Y222" i="34" s="1"/>
  <c r="R226" i="34"/>
  <c r="Y226" i="34" s="1"/>
  <c r="R230" i="34"/>
  <c r="Y230" i="34" s="1"/>
  <c r="R234" i="34"/>
  <c r="Y234" i="34" s="1"/>
  <c r="R238" i="34"/>
  <c r="Y238" i="34" s="1"/>
  <c r="R242" i="34"/>
  <c r="Y242" i="34" s="1"/>
  <c r="R246" i="34"/>
  <c r="Y246" i="34" s="1"/>
  <c r="R250" i="34"/>
  <c r="Y250" i="34" s="1"/>
  <c r="R296" i="34"/>
  <c r="Y296" i="34" s="1"/>
  <c r="R21" i="34"/>
  <c r="Y21" i="34" s="1"/>
  <c r="R29" i="34"/>
  <c r="Y29" i="34" s="1"/>
  <c r="R56" i="34"/>
  <c r="Y56" i="34" s="1"/>
  <c r="R75" i="34"/>
  <c r="Y75" i="34" s="1"/>
  <c r="R97" i="34"/>
  <c r="Y97" i="34" s="1"/>
  <c r="R211" i="34"/>
  <c r="Y211" i="34" s="1"/>
  <c r="R215" i="34"/>
  <c r="Y215" i="34" s="1"/>
  <c r="R223" i="34"/>
  <c r="Y223" i="34" s="1"/>
  <c r="R227" i="34"/>
  <c r="Y227" i="34" s="1"/>
  <c r="R231" i="34"/>
  <c r="Y231" i="34" s="1"/>
  <c r="R235" i="34"/>
  <c r="Y235" i="34" s="1"/>
  <c r="R239" i="34"/>
  <c r="Y239" i="34" s="1"/>
  <c r="R247" i="34"/>
  <c r="Y247" i="34" s="1"/>
  <c r="R251" i="34"/>
  <c r="Y251" i="34" s="1"/>
  <c r="R262" i="34"/>
  <c r="Y262" i="34" s="1"/>
  <c r="R266" i="34"/>
  <c r="Y266" i="34" s="1"/>
  <c r="R270" i="34"/>
  <c r="Y270" i="34" s="1"/>
  <c r="R274" i="34"/>
  <c r="Y274" i="34" s="1"/>
  <c r="R132" i="34"/>
  <c r="Y132" i="34" s="1"/>
  <c r="R136" i="34"/>
  <c r="Y136" i="34" s="1"/>
  <c r="R144" i="34"/>
  <c r="Y144" i="34" s="1"/>
  <c r="R155" i="34"/>
  <c r="Y155" i="34" s="1"/>
  <c r="R159" i="34"/>
  <c r="Y159" i="34" s="1"/>
  <c r="R278" i="34"/>
  <c r="Y278" i="34" s="1"/>
  <c r="R293" i="34"/>
  <c r="Y293" i="34" s="1"/>
  <c r="R10" i="34"/>
  <c r="Y10" i="34" s="1"/>
  <c r="R30" i="34"/>
  <c r="Y30" i="34" s="1"/>
  <c r="R57" i="34"/>
  <c r="Y57" i="34" s="1"/>
  <c r="R72" i="34"/>
  <c r="Y72" i="34" s="1"/>
  <c r="R121" i="34"/>
  <c r="Y121" i="34" s="1"/>
  <c r="R164" i="34"/>
  <c r="Y164" i="34" s="1"/>
  <c r="R168" i="34"/>
  <c r="Y168" i="34" s="1"/>
  <c r="R172" i="34"/>
  <c r="Y172" i="34" s="1"/>
  <c r="R176" i="34"/>
  <c r="Y176" i="34" s="1"/>
  <c r="R180" i="34"/>
  <c r="Y180" i="34" s="1"/>
  <c r="R184" i="34"/>
  <c r="Y184" i="34" s="1"/>
  <c r="R188" i="34"/>
  <c r="Y188" i="34" s="1"/>
  <c r="R192" i="34"/>
  <c r="Y192" i="34" s="1"/>
  <c r="R196" i="34"/>
  <c r="Y196" i="34" s="1"/>
  <c r="R200" i="34"/>
  <c r="Y200" i="34" s="1"/>
  <c r="R204" i="34"/>
  <c r="Y204" i="34" s="1"/>
  <c r="R208" i="34"/>
  <c r="Y208" i="34" s="1"/>
  <c r="R212" i="34"/>
  <c r="Y212" i="34" s="1"/>
  <c r="R216" i="34"/>
  <c r="Y216" i="34" s="1"/>
  <c r="R220" i="34"/>
  <c r="Y220" i="34" s="1"/>
  <c r="R224" i="34"/>
  <c r="Y224" i="34" s="1"/>
  <c r="R228" i="34"/>
  <c r="Y228" i="34" s="1"/>
  <c r="R232" i="34"/>
  <c r="Y232" i="34" s="1"/>
  <c r="R236" i="34"/>
  <c r="Y236" i="34" s="1"/>
  <c r="R240" i="34"/>
  <c r="Y240" i="34" s="1"/>
  <c r="R244" i="34"/>
  <c r="Y244" i="34" s="1"/>
  <c r="R248" i="34"/>
  <c r="Y248" i="34" s="1"/>
  <c r="R275" i="34"/>
  <c r="Y275" i="34" s="1"/>
  <c r="R286" i="34"/>
  <c r="Y286" i="34" s="1"/>
  <c r="R301" i="34"/>
  <c r="Y301" i="34" s="1"/>
  <c r="R4" i="37"/>
  <c r="Y4" i="37" s="1"/>
  <c r="R17" i="37"/>
  <c r="Y17" i="37" s="1"/>
  <c r="R26" i="37"/>
  <c r="Y26" i="37" s="1"/>
  <c r="R43" i="37"/>
  <c r="Y43" i="37" s="1"/>
  <c r="R47" i="37"/>
  <c r="Y47" i="37" s="1"/>
  <c r="R51" i="37"/>
  <c r="Y51" i="37" s="1"/>
  <c r="R61" i="37"/>
  <c r="Y61" i="37" s="1"/>
  <c r="R65" i="37"/>
  <c r="Y65" i="37" s="1"/>
  <c r="R68" i="37"/>
  <c r="Y68" i="37" s="1"/>
  <c r="R75" i="37"/>
  <c r="Y75" i="37" s="1"/>
  <c r="R79" i="37"/>
  <c r="Y79" i="37" s="1"/>
  <c r="R83" i="37"/>
  <c r="Y83" i="37" s="1"/>
  <c r="R86" i="37"/>
  <c r="Y86" i="37" s="1"/>
  <c r="R101" i="37"/>
  <c r="Y101" i="37" s="1"/>
  <c r="R118" i="37"/>
  <c r="Y118" i="37" s="1"/>
  <c r="R133" i="37"/>
  <c r="Y133" i="37" s="1"/>
  <c r="R147" i="37"/>
  <c r="Y147" i="37" s="1"/>
  <c r="R162" i="37"/>
  <c r="Y162" i="37" s="1"/>
  <c r="R184" i="37"/>
  <c r="Y184" i="37" s="1"/>
  <c r="R194" i="37"/>
  <c r="Y194" i="37" s="1"/>
  <c r="R198" i="37"/>
  <c r="Y198" i="37" s="1"/>
  <c r="R225" i="37"/>
  <c r="Y225" i="37" s="1"/>
  <c r="R229" i="37"/>
  <c r="Y229" i="37" s="1"/>
  <c r="R264" i="37"/>
  <c r="Y264" i="37" s="1"/>
  <c r="R296" i="37"/>
  <c r="Y296" i="37" s="1"/>
  <c r="R14" i="37"/>
  <c r="Y14" i="37" s="1"/>
  <c r="R37" i="37"/>
  <c r="Y37" i="37" s="1"/>
  <c r="R40" i="37"/>
  <c r="Y40" i="37" s="1"/>
  <c r="R55" i="37"/>
  <c r="Y55" i="37" s="1"/>
  <c r="R72" i="37"/>
  <c r="Y72" i="37" s="1"/>
  <c r="R90" i="37"/>
  <c r="Y90" i="37" s="1"/>
  <c r="R94" i="37"/>
  <c r="Y94" i="37" s="1"/>
  <c r="R98" i="37"/>
  <c r="Y98" i="37" s="1"/>
  <c r="R108" i="37"/>
  <c r="Y108" i="37" s="1"/>
  <c r="R112" i="37"/>
  <c r="Y112" i="37" s="1"/>
  <c r="R122" i="37"/>
  <c r="Y122" i="37" s="1"/>
  <c r="R126" i="37"/>
  <c r="Y126" i="37" s="1"/>
  <c r="R130" i="37"/>
  <c r="Y130" i="37" s="1"/>
  <c r="R202" i="37"/>
  <c r="Y202" i="37" s="1"/>
  <c r="R226" i="37"/>
  <c r="Y226" i="37" s="1"/>
  <c r="R230" i="37"/>
  <c r="Y230" i="37" s="1"/>
  <c r="R11" i="37"/>
  <c r="R21" i="37"/>
  <c r="Y21" i="37" s="1"/>
  <c r="R41" i="37"/>
  <c r="Y41" i="37" s="1"/>
  <c r="R73" i="37"/>
  <c r="Y73" i="37" s="1"/>
  <c r="R76" i="37"/>
  <c r="Y76" i="37" s="1"/>
  <c r="R80" i="37"/>
  <c r="Y80" i="37" s="1"/>
  <c r="R84" i="37"/>
  <c r="Y84" i="37" s="1"/>
  <c r="R91" i="37"/>
  <c r="Y91" i="37" s="1"/>
  <c r="R95" i="37"/>
  <c r="Y95" i="37" s="1"/>
  <c r="R99" i="37"/>
  <c r="Y99" i="37" s="1"/>
  <c r="R109" i="37"/>
  <c r="Y109" i="37" s="1"/>
  <c r="R113" i="37"/>
  <c r="Y113" i="37" s="1"/>
  <c r="R116" i="37"/>
  <c r="Y116" i="37" s="1"/>
  <c r="R123" i="37"/>
  <c r="Y123" i="37" s="1"/>
  <c r="R127" i="37"/>
  <c r="Y127" i="37" s="1"/>
  <c r="R131" i="37"/>
  <c r="Y131" i="37" s="1"/>
  <c r="R141" i="37"/>
  <c r="Y141" i="37" s="1"/>
  <c r="R174" i="37"/>
  <c r="Y174" i="37" s="1"/>
  <c r="R178" i="37"/>
  <c r="Y178" i="37" s="1"/>
  <c r="R182" i="37"/>
  <c r="Y182" i="37" s="1"/>
  <c r="R209" i="37"/>
  <c r="Y209" i="37" s="1"/>
  <c r="R213" i="37"/>
  <c r="Y213" i="37" s="1"/>
  <c r="R240" i="37"/>
  <c r="Y240" i="37" s="1"/>
  <c r="R244" i="37"/>
  <c r="Y244" i="37" s="1"/>
  <c r="R254" i="37"/>
  <c r="Y254" i="37" s="1"/>
  <c r="R258" i="37"/>
  <c r="Y258" i="37" s="1"/>
  <c r="R262" i="37"/>
  <c r="Y262" i="37" s="1"/>
  <c r="R272" i="37"/>
  <c r="Y272" i="37" s="1"/>
  <c r="R276" i="37"/>
  <c r="Y276" i="37" s="1"/>
  <c r="R286" i="37"/>
  <c r="Y286" i="37" s="1"/>
  <c r="R290" i="37"/>
  <c r="Y290" i="37" s="1"/>
  <c r="R294" i="37"/>
  <c r="Y294" i="37" s="1"/>
  <c r="R6" i="37"/>
  <c r="Y6" i="37" s="1"/>
  <c r="R53" i="37"/>
  <c r="Y53" i="37" s="1"/>
  <c r="R70" i="37"/>
  <c r="Y70" i="37" s="1"/>
  <c r="R88" i="37"/>
  <c r="Y88" i="37" s="1"/>
  <c r="R103" i="37"/>
  <c r="Y103" i="37" s="1"/>
  <c r="R120" i="37"/>
  <c r="Y120" i="37" s="1"/>
  <c r="R135" i="37"/>
  <c r="Y135" i="37" s="1"/>
  <c r="R175" i="37"/>
  <c r="Y175" i="37" s="1"/>
  <c r="R179" i="37"/>
  <c r="Y179" i="37" s="1"/>
  <c r="R186" i="37"/>
  <c r="Y186" i="37" s="1"/>
  <c r="R200" i="37"/>
  <c r="Y200" i="37" s="1"/>
  <c r="R210" i="37"/>
  <c r="Y210" i="37" s="1"/>
  <c r="R214" i="37"/>
  <c r="Y214" i="37" s="1"/>
  <c r="R241" i="37"/>
  <c r="Y241" i="37" s="1"/>
  <c r="R245" i="37"/>
  <c r="Y245" i="37" s="1"/>
  <c r="R255" i="37"/>
  <c r="Y255" i="37" s="1"/>
  <c r="R259" i="37"/>
  <c r="Y259" i="37" s="1"/>
  <c r="R266" i="37"/>
  <c r="Y266" i="37" s="1"/>
  <c r="R273" i="37"/>
  <c r="Y273" i="37" s="1"/>
  <c r="R277" i="37"/>
  <c r="Y277" i="37" s="1"/>
  <c r="R287" i="37"/>
  <c r="Y287" i="37" s="1"/>
  <c r="R291" i="37"/>
  <c r="Y291" i="37" s="1"/>
  <c r="R298" i="37"/>
  <c r="Y298" i="37" s="1"/>
  <c r="R9" i="37"/>
  <c r="R29" i="37"/>
  <c r="Y29" i="37" s="1"/>
  <c r="R46" i="37"/>
  <c r="Y46" i="37" s="1"/>
  <c r="R50" i="37"/>
  <c r="Y50" i="37" s="1"/>
  <c r="R60" i="37"/>
  <c r="Y60" i="37" s="1"/>
  <c r="R64" i="37"/>
  <c r="Y64" i="37" s="1"/>
  <c r="R74" i="37"/>
  <c r="Y74" i="37" s="1"/>
  <c r="R78" i="37"/>
  <c r="Y78" i="37" s="1"/>
  <c r="R82" i="37"/>
  <c r="Y82" i="37" s="1"/>
  <c r="R100" i="37"/>
  <c r="Y100" i="37" s="1"/>
  <c r="R132" i="37"/>
  <c r="Y132" i="37" s="1"/>
  <c r="R15" i="36"/>
  <c r="Y15" i="36" s="1"/>
  <c r="R19" i="36"/>
  <c r="Y19" i="36" s="1"/>
  <c r="R23" i="36"/>
  <c r="Y23" i="36" s="1"/>
  <c r="R27" i="36"/>
  <c r="Y27" i="36" s="1"/>
  <c r="R31" i="36"/>
  <c r="Y31" i="36" s="1"/>
  <c r="R35" i="36"/>
  <c r="Y35" i="36" s="1"/>
  <c r="R39" i="36"/>
  <c r="Y39" i="36" s="1"/>
  <c r="R43" i="36"/>
  <c r="Y43" i="36" s="1"/>
  <c r="R47" i="36"/>
  <c r="Y47" i="36" s="1"/>
  <c r="R51" i="36"/>
  <c r="Y51" i="36" s="1"/>
  <c r="R55" i="36"/>
  <c r="Y55" i="36" s="1"/>
  <c r="R58" i="36"/>
  <c r="Y58" i="36" s="1"/>
  <c r="R66" i="36"/>
  <c r="Y66" i="36" s="1"/>
  <c r="R74" i="36"/>
  <c r="Y74" i="36" s="1"/>
  <c r="R82" i="36"/>
  <c r="Y82" i="36" s="1"/>
  <c r="R90" i="36"/>
  <c r="Y90" i="36" s="1"/>
  <c r="R98" i="36"/>
  <c r="Y98" i="36" s="1"/>
  <c r="R106" i="36"/>
  <c r="Y106" i="36" s="1"/>
  <c r="R112" i="36"/>
  <c r="Y112" i="36" s="1"/>
  <c r="R128" i="36"/>
  <c r="Y128" i="36" s="1"/>
  <c r="R164" i="36"/>
  <c r="Y164" i="36" s="1"/>
  <c r="R171" i="36"/>
  <c r="Y171" i="36" s="1"/>
  <c r="R187" i="36"/>
  <c r="Y187" i="36" s="1"/>
  <c r="R203" i="36"/>
  <c r="Y203" i="36" s="1"/>
  <c r="R219" i="36"/>
  <c r="Y219" i="36" s="1"/>
  <c r="R235" i="36"/>
  <c r="Y235" i="36" s="1"/>
  <c r="R251" i="36"/>
  <c r="Y251" i="36" s="1"/>
  <c r="R267" i="36"/>
  <c r="Y267" i="36" s="1"/>
  <c r="R283" i="36"/>
  <c r="Y283" i="36" s="1"/>
  <c r="R299" i="36"/>
  <c r="Y299" i="36" s="1"/>
  <c r="R155" i="36"/>
  <c r="Y155" i="36" s="1"/>
  <c r="R165" i="36"/>
  <c r="Y165" i="36" s="1"/>
  <c r="R207" i="36"/>
  <c r="Y207" i="36" s="1"/>
  <c r="R223" i="36"/>
  <c r="Y223" i="36" s="1"/>
  <c r="R255" i="36"/>
  <c r="Y255" i="36" s="1"/>
  <c r="R271" i="36"/>
  <c r="Y271" i="36" s="1"/>
  <c r="R110" i="36"/>
  <c r="Y110" i="36" s="1"/>
  <c r="R126" i="36"/>
  <c r="Y126" i="36" s="1"/>
  <c r="R145" i="36"/>
  <c r="Y145" i="36" s="1"/>
  <c r="R152" i="36"/>
  <c r="Y152" i="36" s="1"/>
  <c r="R169" i="36"/>
  <c r="Y169" i="36" s="1"/>
  <c r="R185" i="36"/>
  <c r="Y185" i="36" s="1"/>
  <c r="R201" i="36"/>
  <c r="Y201" i="36" s="1"/>
  <c r="R217" i="36"/>
  <c r="Y217" i="36" s="1"/>
  <c r="R233" i="36"/>
  <c r="Y233" i="36" s="1"/>
  <c r="R249" i="36"/>
  <c r="Y249" i="36" s="1"/>
  <c r="R265" i="36"/>
  <c r="Y265" i="36" s="1"/>
  <c r="R281" i="36"/>
  <c r="Y281" i="36" s="1"/>
  <c r="R297" i="36"/>
  <c r="Y297" i="36" s="1"/>
  <c r="R148" i="36"/>
  <c r="Y148" i="36" s="1"/>
  <c r="R175" i="36"/>
  <c r="Y175" i="36" s="1"/>
  <c r="R191" i="36"/>
  <c r="Y191" i="36" s="1"/>
  <c r="R239" i="36"/>
  <c r="Y239" i="36" s="1"/>
  <c r="R287" i="36"/>
  <c r="Y287" i="36" s="1"/>
  <c r="R5" i="36"/>
  <c r="Y5" i="36" s="1"/>
  <c r="R13" i="36"/>
  <c r="Y13" i="36" s="1"/>
  <c r="R17" i="36"/>
  <c r="Y17" i="36" s="1"/>
  <c r="R21" i="36"/>
  <c r="Y21" i="36" s="1"/>
  <c r="R25" i="36"/>
  <c r="Y25" i="36" s="1"/>
  <c r="R29" i="36"/>
  <c r="Y29" i="36" s="1"/>
  <c r="R33" i="36"/>
  <c r="Y33" i="36" s="1"/>
  <c r="R37" i="36"/>
  <c r="Y37" i="36" s="1"/>
  <c r="R41" i="36"/>
  <c r="Y41" i="36" s="1"/>
  <c r="R45" i="36"/>
  <c r="Y45" i="36" s="1"/>
  <c r="R49" i="36"/>
  <c r="Y49" i="36" s="1"/>
  <c r="R53" i="36"/>
  <c r="Y53" i="36" s="1"/>
  <c r="R62" i="36"/>
  <c r="Y62" i="36" s="1"/>
  <c r="R70" i="36"/>
  <c r="Y70" i="36" s="1"/>
  <c r="R78" i="36"/>
  <c r="Y78" i="36" s="1"/>
  <c r="R86" i="36"/>
  <c r="Y86" i="36" s="1"/>
  <c r="R94" i="36"/>
  <c r="Y94" i="36" s="1"/>
  <c r="R102" i="36"/>
  <c r="Y102" i="36" s="1"/>
  <c r="R120" i="36"/>
  <c r="Y120" i="36" s="1"/>
  <c r="R136" i="36"/>
  <c r="Y136" i="36" s="1"/>
  <c r="R146" i="36"/>
  <c r="Y146" i="36" s="1"/>
  <c r="R156" i="36"/>
  <c r="Y156" i="36" s="1"/>
  <c r="R291" i="36"/>
  <c r="Y291" i="36" s="1"/>
  <c r="R6" i="36"/>
  <c r="Y6" i="36" s="1"/>
  <c r="R10" i="36"/>
  <c r="Y10" i="36" s="1"/>
  <c r="R14" i="36"/>
  <c r="Y14" i="36" s="1"/>
  <c r="R18" i="36"/>
  <c r="Y18" i="36" s="1"/>
  <c r="R22" i="36"/>
  <c r="Y22" i="36" s="1"/>
  <c r="R26" i="36"/>
  <c r="Y26" i="36" s="1"/>
  <c r="R30" i="36"/>
  <c r="Y30" i="36" s="1"/>
  <c r="R34" i="36"/>
  <c r="Y34" i="36" s="1"/>
  <c r="R38" i="36"/>
  <c r="Y38" i="36" s="1"/>
  <c r="R42" i="36"/>
  <c r="Y42" i="36" s="1"/>
  <c r="R46" i="36"/>
  <c r="Y46" i="36" s="1"/>
  <c r="R50" i="36"/>
  <c r="Y50" i="36" s="1"/>
  <c r="R54" i="36"/>
  <c r="Y54" i="36" s="1"/>
  <c r="R60" i="36"/>
  <c r="Y60" i="36" s="1"/>
  <c r="R68" i="36"/>
  <c r="Y68" i="36" s="1"/>
  <c r="R76" i="36"/>
  <c r="Y76" i="36" s="1"/>
  <c r="R84" i="36"/>
  <c r="Y84" i="36" s="1"/>
  <c r="R92" i="36"/>
  <c r="Y92" i="36" s="1"/>
  <c r="R100" i="36"/>
  <c r="Y100" i="36" s="1"/>
  <c r="R108" i="36"/>
  <c r="Y108" i="36" s="1"/>
  <c r="R124" i="36"/>
  <c r="Y124" i="36" s="1"/>
  <c r="R140" i="36"/>
  <c r="Y140" i="36" s="1"/>
  <c r="R143" i="36"/>
  <c r="Y143" i="36" s="1"/>
  <c r="R153" i="36"/>
  <c r="Y153" i="36" s="1"/>
  <c r="R163" i="36"/>
  <c r="Y163" i="36" s="1"/>
  <c r="R183" i="36"/>
  <c r="Y183" i="36" s="1"/>
  <c r="R199" i="36"/>
  <c r="Y199" i="36" s="1"/>
  <c r="R215" i="36"/>
  <c r="Y215" i="36" s="1"/>
  <c r="R231" i="36"/>
  <c r="Y231" i="36" s="1"/>
  <c r="R247" i="36"/>
  <c r="Y247" i="36" s="1"/>
  <c r="R263" i="36"/>
  <c r="Y263" i="36" s="1"/>
  <c r="R279" i="36"/>
  <c r="Y279" i="36" s="1"/>
  <c r="R295" i="36"/>
  <c r="Y295" i="36" s="1"/>
  <c r="R59" i="35"/>
  <c r="Y59" i="35" s="1"/>
  <c r="R87" i="35"/>
  <c r="Y87" i="35" s="1"/>
  <c r="R218" i="35"/>
  <c r="Y218" i="35" s="1"/>
  <c r="R258" i="35"/>
  <c r="Y258" i="35" s="1"/>
  <c r="R282" i="35"/>
  <c r="Y282" i="35" s="1"/>
  <c r="R286" i="35"/>
  <c r="Y286" i="35" s="1"/>
  <c r="R298" i="35"/>
  <c r="Y298" i="35" s="1"/>
  <c r="R211" i="35"/>
  <c r="Y211" i="35" s="1"/>
  <c r="R251" i="35"/>
  <c r="Y251" i="35" s="1"/>
  <c r="R259" i="35"/>
  <c r="Y259" i="35" s="1"/>
  <c r="R5" i="35"/>
  <c r="Y5" i="35" s="1"/>
  <c r="R208" i="35"/>
  <c r="Y208" i="35" s="1"/>
  <c r="R212" i="35"/>
  <c r="Y212" i="35" s="1"/>
  <c r="R216" i="35"/>
  <c r="Y216" i="35" s="1"/>
  <c r="R228" i="35"/>
  <c r="Y228" i="35" s="1"/>
  <c r="R232" i="35"/>
  <c r="Y232" i="35" s="1"/>
  <c r="R296" i="35"/>
  <c r="Y296" i="35" s="1"/>
  <c r="R260" i="35"/>
  <c r="Y260" i="35" s="1"/>
  <c r="R268" i="35"/>
  <c r="Y268" i="35" s="1"/>
  <c r="R276" i="35"/>
  <c r="Y276" i="35" s="1"/>
  <c r="R221" i="35"/>
  <c r="Y221" i="35" s="1"/>
  <c r="R225" i="35"/>
  <c r="Y225" i="35" s="1"/>
  <c r="R241" i="35"/>
  <c r="Y241" i="35" s="1"/>
  <c r="R245" i="35"/>
  <c r="Y245" i="35" s="1"/>
  <c r="R66" i="35"/>
  <c r="Y66" i="35" s="1"/>
  <c r="R70" i="35"/>
  <c r="Y70" i="35" s="1"/>
  <c r="R82" i="35"/>
  <c r="Y82" i="35" s="1"/>
  <c r="R118" i="35"/>
  <c r="Y118" i="35" s="1"/>
  <c r="R126" i="35"/>
  <c r="Y126" i="35" s="1"/>
  <c r="R142" i="35"/>
  <c r="Y142" i="35" s="1"/>
  <c r="R146" i="35"/>
  <c r="Y146" i="35" s="1"/>
  <c r="R150" i="35"/>
  <c r="Y150" i="35" s="1"/>
  <c r="R154" i="35"/>
  <c r="Y154" i="35" s="1"/>
  <c r="R166" i="35"/>
  <c r="Y166" i="35" s="1"/>
  <c r="R170" i="35"/>
  <c r="Y170" i="35" s="1"/>
  <c r="R182" i="35"/>
  <c r="Y182" i="35" s="1"/>
  <c r="R186" i="35"/>
  <c r="Y186" i="35" s="1"/>
  <c r="R190" i="35"/>
  <c r="Y190" i="35" s="1"/>
  <c r="R194" i="35"/>
  <c r="Y194" i="35" s="1"/>
  <c r="R226" i="35"/>
  <c r="Y226" i="35" s="1"/>
  <c r="R242" i="35"/>
  <c r="Y242" i="35" s="1"/>
  <c r="R12" i="35"/>
  <c r="Y12" i="35" s="1"/>
  <c r="R63" i="35"/>
  <c r="Y63" i="35" s="1"/>
  <c r="R86" i="35"/>
  <c r="Y86" i="35" s="1"/>
  <c r="R90" i="35"/>
  <c r="Y90" i="35" s="1"/>
  <c r="R94" i="35"/>
  <c r="Y94" i="35" s="1"/>
  <c r="R121" i="35"/>
  <c r="Y121" i="35" s="1"/>
  <c r="R125" i="35"/>
  <c r="Y125" i="35" s="1"/>
  <c r="R164" i="35"/>
  <c r="Y164" i="35" s="1"/>
  <c r="R168" i="35"/>
  <c r="Y168" i="35" s="1"/>
  <c r="R188" i="35"/>
  <c r="Y188" i="35" s="1"/>
  <c r="R192" i="35"/>
  <c r="Y192" i="35" s="1"/>
  <c r="R219" i="35"/>
  <c r="Y219" i="35" s="1"/>
  <c r="R243" i="35"/>
  <c r="Y243" i="35" s="1"/>
  <c r="R254" i="35"/>
  <c r="Y254" i="35" s="1"/>
  <c r="R264" i="35"/>
  <c r="Y264" i="35" s="1"/>
  <c r="R271" i="35"/>
  <c r="Y271" i="35" s="1"/>
  <c r="R275" i="35"/>
  <c r="Y275" i="35" s="1"/>
  <c r="R283" i="35"/>
  <c r="Y283" i="35" s="1"/>
  <c r="R301" i="35"/>
  <c r="Y301" i="35" s="1"/>
  <c r="R272" i="35"/>
  <c r="Y272" i="35" s="1"/>
  <c r="R280" i="35"/>
  <c r="Y280" i="35" s="1"/>
  <c r="R284" i="35"/>
  <c r="Y284" i="35" s="1"/>
  <c r="R302" i="35"/>
  <c r="Y302" i="35" s="1"/>
  <c r="R295" i="35"/>
  <c r="Y295" i="35" s="1"/>
  <c r="R114" i="35"/>
  <c r="Y114" i="35" s="1"/>
  <c r="R41" i="35"/>
  <c r="Y41" i="35" s="1"/>
  <c r="R45" i="35"/>
  <c r="Y45" i="35" s="1"/>
  <c r="R49" i="35"/>
  <c r="Y49" i="35" s="1"/>
  <c r="R53" i="35"/>
  <c r="Y53" i="35" s="1"/>
  <c r="R76" i="35"/>
  <c r="Y76" i="35" s="1"/>
  <c r="R80" i="35"/>
  <c r="Y80" i="35" s="1"/>
  <c r="R122" i="35"/>
  <c r="Y122" i="35" s="1"/>
  <c r="R189" i="35"/>
  <c r="Y189" i="35" s="1"/>
  <c r="R130" i="35"/>
  <c r="Y130" i="35" s="1"/>
  <c r="R134" i="35"/>
  <c r="Y134" i="35" s="1"/>
  <c r="R138" i="35"/>
  <c r="Y138" i="35" s="1"/>
  <c r="R248" i="35"/>
  <c r="Y248" i="35" s="1"/>
  <c r="R256" i="35"/>
  <c r="Y256" i="35" s="1"/>
  <c r="R277" i="35"/>
  <c r="Y277" i="35" s="1"/>
  <c r="R281" i="35"/>
  <c r="Y281" i="35" s="1"/>
  <c r="R187" i="35"/>
  <c r="Y187" i="35" s="1"/>
  <c r="R22" i="35"/>
  <c r="Y22" i="35" s="1"/>
  <c r="R26" i="35"/>
  <c r="Y26" i="35" s="1"/>
  <c r="R30" i="35"/>
  <c r="Y30" i="35" s="1"/>
  <c r="R38" i="35"/>
  <c r="Y38" i="35" s="1"/>
  <c r="R46" i="35"/>
  <c r="Y46" i="35" s="1"/>
  <c r="R50" i="35"/>
  <c r="Y50" i="35" s="1"/>
  <c r="R58" i="35"/>
  <c r="Y58" i="35" s="1"/>
  <c r="R62" i="35"/>
  <c r="Y62" i="35" s="1"/>
  <c r="R73" i="35"/>
  <c r="Y73" i="35" s="1"/>
  <c r="R77" i="35"/>
  <c r="Y77" i="35" s="1"/>
  <c r="R112" i="35"/>
  <c r="Y112" i="35" s="1"/>
  <c r="R116" i="35"/>
  <c r="Y116" i="35" s="1"/>
  <c r="R162" i="35"/>
  <c r="Y162" i="35" s="1"/>
  <c r="R178" i="35"/>
  <c r="Y178" i="35" s="1"/>
  <c r="R206" i="35"/>
  <c r="Y206" i="35" s="1"/>
  <c r="R210" i="35"/>
  <c r="Y210" i="35" s="1"/>
  <c r="R214" i="35"/>
  <c r="Y214" i="35" s="1"/>
  <c r="R249" i="35"/>
  <c r="Y249" i="35" s="1"/>
  <c r="R270" i="35"/>
  <c r="Y270" i="35" s="1"/>
  <c r="R274" i="35"/>
  <c r="Y274" i="35" s="1"/>
  <c r="R278" i="35"/>
  <c r="Y278" i="35" s="1"/>
  <c r="R300" i="35"/>
  <c r="Y300" i="35" s="1"/>
  <c r="R25" i="35"/>
  <c r="Y25" i="35" s="1"/>
  <c r="R32" i="35"/>
  <c r="Y32" i="35" s="1"/>
  <c r="R35" i="35"/>
  <c r="Y35" i="35" s="1"/>
  <c r="R42" i="35"/>
  <c r="Y42" i="35" s="1"/>
  <c r="R52" i="35"/>
  <c r="Y52" i="35" s="1"/>
  <c r="R79" i="35"/>
  <c r="Y79" i="35" s="1"/>
  <c r="R89" i="35"/>
  <c r="Y89" i="35" s="1"/>
  <c r="R96" i="35"/>
  <c r="Y96" i="35" s="1"/>
  <c r="R103" i="35"/>
  <c r="Y103" i="35" s="1"/>
  <c r="R111" i="35"/>
  <c r="Y111" i="35" s="1"/>
  <c r="R119" i="35"/>
  <c r="Y119" i="35" s="1"/>
  <c r="R127" i="35"/>
  <c r="Y127" i="35" s="1"/>
  <c r="R135" i="35"/>
  <c r="Y135" i="35" s="1"/>
  <c r="R145" i="35"/>
  <c r="Y145" i="35" s="1"/>
  <c r="R156" i="35"/>
  <c r="Y156" i="35" s="1"/>
  <c r="R160" i="35"/>
  <c r="Y160" i="35" s="1"/>
  <c r="R163" i="35"/>
  <c r="Y163" i="35" s="1"/>
  <c r="R174" i="35"/>
  <c r="Y174" i="35" s="1"/>
  <c r="R181" i="35"/>
  <c r="Y181" i="35" s="1"/>
  <c r="R185" i="35"/>
  <c r="Y185" i="35" s="1"/>
  <c r="R193" i="35"/>
  <c r="Y193" i="35" s="1"/>
  <c r="R196" i="35"/>
  <c r="Y196" i="35" s="1"/>
  <c r="R200" i="35"/>
  <c r="Y200" i="35" s="1"/>
  <c r="R203" i="35"/>
  <c r="Y203" i="35" s="1"/>
  <c r="R222" i="35"/>
  <c r="Y222" i="35" s="1"/>
  <c r="R229" i="35"/>
  <c r="Y229" i="35" s="1"/>
  <c r="R233" i="35"/>
  <c r="Y233" i="35" s="1"/>
  <c r="R236" i="35"/>
  <c r="Y236" i="35" s="1"/>
  <c r="R240" i="35"/>
  <c r="Y240" i="35" s="1"/>
  <c r="R269" i="35"/>
  <c r="Y269" i="35" s="1"/>
  <c r="R287" i="35"/>
  <c r="Y287" i="35" s="1"/>
  <c r="R299" i="35"/>
  <c r="Y299" i="35" s="1"/>
  <c r="R273" i="35"/>
  <c r="Y273" i="35" s="1"/>
  <c r="R285" i="35"/>
  <c r="Y285" i="35" s="1"/>
  <c r="R291" i="35"/>
  <c r="Y291" i="35" s="1"/>
  <c r="R297" i="35"/>
  <c r="Y297" i="35" s="1"/>
  <c r="R20" i="35"/>
  <c r="Y20" i="35" s="1"/>
  <c r="R47" i="35"/>
  <c r="Y47" i="35" s="1"/>
  <c r="R57" i="35"/>
  <c r="Y57" i="35" s="1"/>
  <c r="R64" i="35"/>
  <c r="Y64" i="35" s="1"/>
  <c r="R67" i="35"/>
  <c r="Y67" i="35" s="1"/>
  <c r="R74" i="35"/>
  <c r="Y74" i="35" s="1"/>
  <c r="R84" i="35"/>
  <c r="Y84" i="35" s="1"/>
  <c r="R101" i="35"/>
  <c r="Y101" i="35" s="1"/>
  <c r="R107" i="35"/>
  <c r="Y107" i="35" s="1"/>
  <c r="R115" i="35"/>
  <c r="Y115" i="35" s="1"/>
  <c r="R123" i="35"/>
  <c r="Y123" i="35" s="1"/>
  <c r="R131" i="35"/>
  <c r="Y131" i="35" s="1"/>
  <c r="R139" i="35"/>
  <c r="Y139" i="35" s="1"/>
  <c r="R158" i="35"/>
  <c r="Y158" i="35" s="1"/>
  <c r="R165" i="35"/>
  <c r="Y165" i="35" s="1"/>
  <c r="R169" i="35"/>
  <c r="Y169" i="35" s="1"/>
  <c r="R172" i="35"/>
  <c r="Y172" i="35" s="1"/>
  <c r="R176" i="35"/>
  <c r="Y176" i="35" s="1"/>
  <c r="R183" i="35"/>
  <c r="Y183" i="35" s="1"/>
  <c r="R198" i="35"/>
  <c r="Y198" i="35" s="1"/>
  <c r="R209" i="35"/>
  <c r="Y209" i="35" s="1"/>
  <c r="R220" i="35"/>
  <c r="Y220" i="35" s="1"/>
  <c r="R224" i="35"/>
  <c r="Y224" i="35" s="1"/>
  <c r="R227" i="35"/>
  <c r="Y227" i="35" s="1"/>
  <c r="R238" i="35"/>
  <c r="Y238" i="35" s="1"/>
  <c r="R265" i="35"/>
  <c r="Y265" i="35" s="1"/>
  <c r="R10" i="35"/>
  <c r="Y10" i="35" s="1"/>
  <c r="R17" i="35"/>
  <c r="Y17" i="35" s="1"/>
  <c r="R24" i="35"/>
  <c r="Y24" i="35" s="1"/>
  <c r="R34" i="35"/>
  <c r="Y34" i="35" s="1"/>
  <c r="R44" i="35"/>
  <c r="Y44" i="35" s="1"/>
  <c r="R54" i="35"/>
  <c r="Y54" i="35" s="1"/>
  <c r="R61" i="35"/>
  <c r="Y61" i="35" s="1"/>
  <c r="R71" i="35"/>
  <c r="Y71" i="35" s="1"/>
  <c r="R78" i="35"/>
  <c r="Y78" i="35" s="1"/>
  <c r="R81" i="35"/>
  <c r="Y81" i="35" s="1"/>
  <c r="R88" i="35"/>
  <c r="Y88" i="35" s="1"/>
  <c r="R91" i="35"/>
  <c r="Y91" i="35" s="1"/>
  <c r="R180" i="35"/>
  <c r="Y180" i="35" s="1"/>
  <c r="R184" i="35"/>
  <c r="Y184" i="35" s="1"/>
  <c r="R217" i="35"/>
  <c r="Y217" i="35" s="1"/>
  <c r="R257" i="35"/>
  <c r="Y257" i="35" s="1"/>
  <c r="R279" i="35"/>
  <c r="Y279" i="35" s="1"/>
  <c r="R235" i="35"/>
  <c r="Y235" i="35" s="1"/>
  <c r="R267" i="35"/>
  <c r="Y267" i="35" s="1"/>
  <c r="R102" i="35"/>
  <c r="Y102" i="35" s="1"/>
  <c r="R137" i="35"/>
  <c r="Y137" i="35" s="1"/>
  <c r="R195" i="35"/>
  <c r="Y195" i="35" s="1"/>
  <c r="R15" i="34"/>
  <c r="Y15" i="34" s="1"/>
  <c r="R19" i="34"/>
  <c r="Y19" i="34" s="1"/>
  <c r="R34" i="34"/>
  <c r="Y34" i="34" s="1"/>
  <c r="R44" i="34"/>
  <c r="Y44" i="34" s="1"/>
  <c r="R50" i="34"/>
  <c r="Y50" i="34" s="1"/>
  <c r="R84" i="34"/>
  <c r="Y84" i="34" s="1"/>
  <c r="R90" i="34"/>
  <c r="Y90" i="34" s="1"/>
  <c r="R145" i="34"/>
  <c r="Y145" i="34" s="1"/>
  <c r="R151" i="34"/>
  <c r="Y151" i="34" s="1"/>
  <c r="R219" i="34"/>
  <c r="Y219" i="34" s="1"/>
  <c r="R225" i="34"/>
  <c r="Y225" i="34" s="1"/>
  <c r="R243" i="34"/>
  <c r="Y243" i="34" s="1"/>
  <c r="R249" i="34"/>
  <c r="Y249" i="34" s="1"/>
  <c r="R255" i="34"/>
  <c r="Y255" i="34" s="1"/>
  <c r="R279" i="34"/>
  <c r="Y279" i="34" s="1"/>
  <c r="R285" i="34"/>
  <c r="Y285" i="34" s="1"/>
  <c r="R291" i="34"/>
  <c r="Y291" i="34" s="1"/>
  <c r="R297" i="34"/>
  <c r="Y297" i="34" s="1"/>
  <c r="R31" i="34"/>
  <c r="Y31" i="34" s="1"/>
  <c r="R35" i="34"/>
  <c r="Y35" i="34" s="1"/>
  <c r="R48" i="34"/>
  <c r="Y48" i="34" s="1"/>
  <c r="R54" i="34"/>
  <c r="Y54" i="34" s="1"/>
  <c r="R60" i="34"/>
  <c r="Y60" i="34" s="1"/>
  <c r="R66" i="34"/>
  <c r="Y66" i="34" s="1"/>
  <c r="R88" i="34"/>
  <c r="Y88" i="34" s="1"/>
  <c r="R94" i="34"/>
  <c r="Y94" i="34" s="1"/>
  <c r="R100" i="34"/>
  <c r="Y100" i="34" s="1"/>
  <c r="R106" i="34"/>
  <c r="Y106" i="34" s="1"/>
  <c r="R142" i="34"/>
  <c r="Y142" i="34" s="1"/>
  <c r="R152" i="34"/>
  <c r="Y152" i="34" s="1"/>
  <c r="R177" i="34"/>
  <c r="Y177" i="34" s="1"/>
  <c r="R189" i="34"/>
  <c r="Y189" i="34" s="1"/>
  <c r="R195" i="34"/>
  <c r="Y195" i="34" s="1"/>
  <c r="R261" i="34"/>
  <c r="Y261" i="34" s="1"/>
  <c r="R283" i="34"/>
  <c r="Y283" i="34" s="1"/>
  <c r="R289" i="34"/>
  <c r="Y289" i="34" s="1"/>
  <c r="R17" i="34"/>
  <c r="Y17" i="34" s="1"/>
  <c r="R32" i="34"/>
  <c r="Y32" i="34" s="1"/>
  <c r="R36" i="34"/>
  <c r="Y36" i="34" s="1"/>
  <c r="R70" i="34"/>
  <c r="Y70" i="34" s="1"/>
  <c r="R76" i="34"/>
  <c r="Y76" i="34" s="1"/>
  <c r="R134" i="34"/>
  <c r="Y134" i="34" s="1"/>
  <c r="R143" i="34"/>
  <c r="Y143" i="34" s="1"/>
  <c r="R149" i="34"/>
  <c r="Y149" i="34" s="1"/>
  <c r="R153" i="34"/>
  <c r="Y153" i="34" s="1"/>
  <c r="R187" i="34"/>
  <c r="Y187" i="34" s="1"/>
  <c r="R193" i="34"/>
  <c r="Y193" i="34" s="1"/>
  <c r="R205" i="34"/>
  <c r="Y205" i="34" s="1"/>
  <c r="R229" i="34"/>
  <c r="Y229" i="34" s="1"/>
  <c r="R259" i="34"/>
  <c r="Y259" i="34" s="1"/>
  <c r="R265" i="34"/>
  <c r="Y265" i="34" s="1"/>
  <c r="R271" i="34"/>
  <c r="Y271" i="34" s="1"/>
  <c r="R14" i="34"/>
  <c r="Y14" i="34" s="1"/>
  <c r="R25" i="34"/>
  <c r="Y25" i="34" s="1"/>
  <c r="R46" i="34"/>
  <c r="Y46" i="34" s="1"/>
  <c r="R52" i="34"/>
  <c r="Y52" i="34" s="1"/>
  <c r="R58" i="34"/>
  <c r="Y58" i="34" s="1"/>
  <c r="R86" i="34"/>
  <c r="Y86" i="34" s="1"/>
  <c r="R92" i="34"/>
  <c r="Y92" i="34" s="1"/>
  <c r="R98" i="34"/>
  <c r="Y98" i="34" s="1"/>
  <c r="R160" i="34"/>
  <c r="Y160" i="34" s="1"/>
  <c r="R163" i="34"/>
  <c r="Y163" i="34" s="1"/>
  <c r="R181" i="34"/>
  <c r="Y181" i="34" s="1"/>
  <c r="R22" i="34"/>
  <c r="Y22" i="34" s="1"/>
  <c r="R120" i="34"/>
  <c r="Y120" i="34" s="1"/>
  <c r="R126" i="34"/>
  <c r="Y126" i="34" s="1"/>
  <c r="R257" i="34"/>
  <c r="Y257" i="34" s="1"/>
  <c r="R138" i="34"/>
  <c r="Y138" i="34" s="1"/>
  <c r="R141" i="34"/>
  <c r="Y141" i="34" s="1"/>
  <c r="R179" i="34"/>
  <c r="Y179" i="34" s="1"/>
  <c r="R185" i="34"/>
  <c r="Y185" i="34" s="1"/>
  <c r="R191" i="34"/>
  <c r="Y191" i="34" s="1"/>
  <c r="R263" i="34"/>
  <c r="Y263" i="34" s="1"/>
  <c r="R269" i="34"/>
  <c r="Y269" i="34" s="1"/>
  <c r="R39" i="37"/>
  <c r="Y39" i="37" s="1"/>
  <c r="R145" i="37"/>
  <c r="Y145" i="37" s="1"/>
  <c r="R148" i="37"/>
  <c r="Y148" i="37" s="1"/>
  <c r="R151" i="37"/>
  <c r="Y151" i="37" s="1"/>
  <c r="R164" i="37"/>
  <c r="Y164" i="37" s="1"/>
  <c r="R167" i="37"/>
  <c r="Y167" i="37" s="1"/>
  <c r="R183" i="37"/>
  <c r="Y183" i="37" s="1"/>
  <c r="R199" i="37"/>
  <c r="Y199" i="37" s="1"/>
  <c r="R215" i="37"/>
  <c r="Y215" i="37" s="1"/>
  <c r="R231" i="37"/>
  <c r="Y231" i="37" s="1"/>
  <c r="R247" i="37"/>
  <c r="Y247" i="37" s="1"/>
  <c r="R263" i="37"/>
  <c r="Y263" i="37" s="1"/>
  <c r="R279" i="37"/>
  <c r="Y279" i="37" s="1"/>
  <c r="R295" i="37"/>
  <c r="Y295" i="37" s="1"/>
  <c r="R143" i="37"/>
  <c r="Y143" i="37" s="1"/>
  <c r="R152" i="37"/>
  <c r="Y152" i="37" s="1"/>
  <c r="R155" i="37"/>
  <c r="Y155" i="37" s="1"/>
  <c r="R171" i="37"/>
  <c r="Y171" i="37" s="1"/>
  <c r="R187" i="37"/>
  <c r="Y187" i="37" s="1"/>
  <c r="R203" i="37"/>
  <c r="Y203" i="37" s="1"/>
  <c r="R219" i="37"/>
  <c r="Y219" i="37" s="1"/>
  <c r="R235" i="37"/>
  <c r="Y235" i="37" s="1"/>
  <c r="R251" i="37"/>
  <c r="Y251" i="37" s="1"/>
  <c r="R267" i="37"/>
  <c r="Y267" i="37" s="1"/>
  <c r="R283" i="37"/>
  <c r="Y283" i="37" s="1"/>
  <c r="R299" i="37"/>
  <c r="Y299" i="37" s="1"/>
  <c r="R144" i="37"/>
  <c r="Y144" i="37" s="1"/>
  <c r="R150" i="37"/>
  <c r="Y150" i="37" s="1"/>
  <c r="R153" i="37"/>
  <c r="Y153" i="37" s="1"/>
  <c r="R166" i="37"/>
  <c r="Y166" i="37" s="1"/>
  <c r="R169" i="37"/>
  <c r="Y169" i="37" s="1"/>
  <c r="R185" i="37"/>
  <c r="Y185" i="37" s="1"/>
  <c r="R201" i="37"/>
  <c r="Y201" i="37" s="1"/>
  <c r="R217" i="37"/>
  <c r="Y217" i="37" s="1"/>
  <c r="R233" i="37"/>
  <c r="Y233" i="37" s="1"/>
  <c r="R249" i="37"/>
  <c r="Y249" i="37" s="1"/>
  <c r="R265" i="37"/>
  <c r="Y265" i="37" s="1"/>
  <c r="R281" i="37"/>
  <c r="Y281" i="37" s="1"/>
  <c r="R297" i="37"/>
  <c r="Y297" i="37" s="1"/>
  <c r="R142" i="37"/>
  <c r="Y142" i="37" s="1"/>
  <c r="R154" i="37"/>
  <c r="Y154" i="37" s="1"/>
  <c r="R157" i="37"/>
  <c r="Y157" i="37" s="1"/>
  <c r="R173" i="37"/>
  <c r="Y173" i="37" s="1"/>
  <c r="R189" i="37"/>
  <c r="Y189" i="37" s="1"/>
  <c r="R205" i="37"/>
  <c r="Y205" i="37" s="1"/>
  <c r="R221" i="37"/>
  <c r="Y221" i="37" s="1"/>
  <c r="R237" i="37"/>
  <c r="Y237" i="37" s="1"/>
  <c r="R253" i="37"/>
  <c r="Y253" i="37" s="1"/>
  <c r="R269" i="37"/>
  <c r="Y269" i="37" s="1"/>
  <c r="R285" i="37"/>
  <c r="Y285" i="37" s="1"/>
  <c r="R301" i="37"/>
  <c r="Y301" i="37" s="1"/>
  <c r="R3" i="36"/>
  <c r="R7" i="36"/>
  <c r="R9" i="36"/>
  <c r="R11" i="36"/>
  <c r="R4" i="35"/>
  <c r="Y4" i="35" s="1"/>
  <c r="R11" i="35"/>
  <c r="R19" i="35"/>
  <c r="Y19" i="35" s="1"/>
  <c r="R37" i="35"/>
  <c r="Y37" i="35" s="1"/>
  <c r="R9" i="35"/>
  <c r="R15" i="35"/>
  <c r="Y15" i="35" s="1"/>
  <c r="R23" i="35"/>
  <c r="Y23" i="35" s="1"/>
  <c r="R29" i="35"/>
  <c r="Y29" i="35" s="1"/>
  <c r="R141" i="35"/>
  <c r="Y141" i="35" s="1"/>
  <c r="R152" i="35"/>
  <c r="Y152" i="35" s="1"/>
  <c r="R173" i="35"/>
  <c r="Y173" i="35" s="1"/>
  <c r="R205" i="35"/>
  <c r="Y205" i="35" s="1"/>
  <c r="R237" i="35"/>
  <c r="Y237" i="35" s="1"/>
  <c r="R261" i="35"/>
  <c r="Y261" i="35" s="1"/>
  <c r="R8" i="35"/>
  <c r="Y8" i="35" s="1"/>
  <c r="R13" i="35"/>
  <c r="Y13" i="35" s="1"/>
  <c r="R21" i="35"/>
  <c r="Y21" i="35" s="1"/>
  <c r="R33" i="35"/>
  <c r="Y33" i="35" s="1"/>
  <c r="R6" i="35"/>
  <c r="Y6" i="35" s="1"/>
  <c r="R16" i="35"/>
  <c r="Y16" i="35" s="1"/>
  <c r="R27" i="35"/>
  <c r="Y27" i="35" s="1"/>
  <c r="R149" i="35"/>
  <c r="Y149" i="35" s="1"/>
  <c r="R213" i="35"/>
  <c r="Y213" i="35" s="1"/>
  <c r="R253" i="35"/>
  <c r="Y253" i="35" s="1"/>
  <c r="R147" i="35"/>
  <c r="Y147" i="35" s="1"/>
  <c r="R143" i="35"/>
  <c r="Y143" i="35" s="1"/>
  <c r="R151" i="35"/>
  <c r="Y151" i="35" s="1"/>
  <c r="R159" i="35"/>
  <c r="Y159" i="35" s="1"/>
  <c r="R167" i="35"/>
  <c r="Y167" i="35" s="1"/>
  <c r="R175" i="35"/>
  <c r="Y175" i="35" s="1"/>
  <c r="R191" i="35"/>
  <c r="Y191" i="35" s="1"/>
  <c r="R199" i="35"/>
  <c r="Y199" i="35" s="1"/>
  <c r="R207" i="35"/>
  <c r="Y207" i="35" s="1"/>
  <c r="R215" i="35"/>
  <c r="Y215" i="35" s="1"/>
  <c r="R223" i="35"/>
  <c r="Y223" i="35" s="1"/>
  <c r="R231" i="35"/>
  <c r="Y231" i="35" s="1"/>
  <c r="R239" i="35"/>
  <c r="Y239" i="35" s="1"/>
  <c r="R247" i="35"/>
  <c r="Y247" i="35" s="1"/>
  <c r="R255" i="35"/>
  <c r="Y255" i="35" s="1"/>
  <c r="R11" i="34"/>
  <c r="R9" i="34"/>
  <c r="R12" i="34"/>
  <c r="Y12" i="34" s="1"/>
  <c r="R20" i="34"/>
  <c r="Y20" i="34" s="1"/>
  <c r="R28" i="34"/>
  <c r="Y28" i="34" s="1"/>
  <c r="R3" i="34"/>
  <c r="R8" i="34"/>
  <c r="Y8" i="34" s="1"/>
  <c r="R18" i="34"/>
  <c r="Y18" i="34" s="1"/>
  <c r="R26" i="34"/>
  <c r="Y26" i="34" s="1"/>
  <c r="R6" i="34"/>
  <c r="Y6" i="34" s="1"/>
  <c r="P11" i="2" l="1"/>
  <c r="R2" i="2"/>
  <c r="R305" i="37"/>
  <c r="R305" i="36"/>
  <c r="Y3" i="35"/>
  <c r="R305" i="35"/>
  <c r="G6" i="33" s="1"/>
  <c r="G15" i="33" s="1"/>
  <c r="R305" i="34"/>
  <c r="F6" i="33" s="1"/>
  <c r="I2" i="2" s="1"/>
  <c r="I11" i="2" s="1"/>
  <c r="T11" i="2"/>
  <c r="Y9" i="37"/>
  <c r="Y11" i="37"/>
  <c r="Y305" i="37" s="1"/>
  <c r="Y9" i="36"/>
  <c r="Y11" i="36"/>
  <c r="Y7" i="36"/>
  <c r="Y3" i="36"/>
  <c r="Y305" i="36" s="1"/>
  <c r="Y11" i="35"/>
  <c r="Y9" i="35"/>
  <c r="Y9" i="34"/>
  <c r="Y11" i="34"/>
  <c r="Y3" i="34"/>
  <c r="I6" i="33" l="1"/>
  <c r="H6" i="33"/>
  <c r="K2" i="2"/>
  <c r="K11" i="2" s="1"/>
  <c r="Y305" i="35"/>
  <c r="Y305" i="34"/>
  <c r="F15" i="33"/>
  <c r="H15" i="33" l="1"/>
  <c r="M2" i="2"/>
  <c r="M11" i="2" s="1"/>
  <c r="J6" i="33"/>
  <c r="J13" i="33" s="1"/>
  <c r="J15" i="33" s="1"/>
  <c r="O2" i="2" l="1"/>
  <c r="I15" i="33"/>
  <c r="O11" i="2" l="1"/>
  <c r="Q2" i="2"/>
  <c r="Q302" i="32"/>
  <c r="Q301" i="32"/>
  <c r="P301" i="32"/>
  <c r="P300" i="32"/>
  <c r="Q300" i="32"/>
  <c r="Q299" i="32"/>
  <c r="P297" i="32"/>
  <c r="Q296" i="32"/>
  <c r="P295" i="32"/>
  <c r="Q295" i="32"/>
  <c r="Q294" i="32"/>
  <c r="Q293" i="32"/>
  <c r="P293" i="32"/>
  <c r="P292" i="32"/>
  <c r="Q292" i="32"/>
  <c r="Q290" i="32"/>
  <c r="Q289" i="32"/>
  <c r="Q282" i="32"/>
  <c r="Q281" i="32"/>
  <c r="Q278" i="32"/>
  <c r="Q277" i="32"/>
  <c r="P274" i="32"/>
  <c r="P273" i="32"/>
  <c r="Q269" i="32"/>
  <c r="P269" i="32"/>
  <c r="P267" i="32"/>
  <c r="P266" i="32"/>
  <c r="Q265" i="32"/>
  <c r="Q264" i="32"/>
  <c r="P264" i="32"/>
  <c r="Q263" i="32"/>
  <c r="P263" i="32"/>
  <c r="P262" i="32"/>
  <c r="Q261" i="32"/>
  <c r="P261" i="32"/>
  <c r="Q260" i="32"/>
  <c r="Q259" i="32"/>
  <c r="P259" i="32"/>
  <c r="Q257" i="32"/>
  <c r="P257" i="32"/>
  <c r="Q256" i="32"/>
  <c r="Q255" i="32"/>
  <c r="P255" i="32"/>
  <c r="Q253" i="32"/>
  <c r="P253" i="32"/>
  <c r="Q252" i="32"/>
  <c r="P250" i="32"/>
  <c r="Q248" i="32"/>
  <c r="P246" i="32"/>
  <c r="Q244" i="32"/>
  <c r="P242" i="32"/>
  <c r="Q241" i="32"/>
  <c r="P241" i="32"/>
  <c r="Q240" i="32"/>
  <c r="P238" i="32"/>
  <c r="Q237" i="32"/>
  <c r="P237" i="32"/>
  <c r="P234" i="32"/>
  <c r="P233" i="32"/>
  <c r="Q231" i="32"/>
  <c r="P230" i="32"/>
  <c r="P226" i="32"/>
  <c r="P225" i="32"/>
  <c r="P221" i="32"/>
  <c r="Q220" i="32"/>
  <c r="Q219" i="32"/>
  <c r="Q217" i="32"/>
  <c r="P217" i="32"/>
  <c r="P215" i="32"/>
  <c r="Q213" i="32"/>
  <c r="Q210" i="32"/>
  <c r="P210" i="32"/>
  <c r="Q208" i="32"/>
  <c r="Q207" i="32"/>
  <c r="Q206" i="32"/>
  <c r="P206" i="32"/>
  <c r="Q205" i="32"/>
  <c r="P205" i="32"/>
  <c r="Q204" i="32"/>
  <c r="Q202" i="32"/>
  <c r="P202" i="32"/>
  <c r="P201" i="32"/>
  <c r="Q200" i="32"/>
  <c r="Q199" i="32"/>
  <c r="Q198" i="32"/>
  <c r="P198" i="32"/>
  <c r="P197" i="32"/>
  <c r="Q196" i="32"/>
  <c r="P196" i="32"/>
  <c r="Q194" i="32"/>
  <c r="P194" i="32"/>
  <c r="Q192" i="32"/>
  <c r="Q190" i="32"/>
  <c r="P190" i="32"/>
  <c r="Q188" i="32"/>
  <c r="P186" i="32"/>
  <c r="P185" i="32"/>
  <c r="Q184" i="32"/>
  <c r="Q183" i="32"/>
  <c r="P181" i="32"/>
  <c r="Q180" i="32"/>
  <c r="Q179" i="32"/>
  <c r="P178" i="32"/>
  <c r="Q177" i="32"/>
  <c r="P177" i="32"/>
  <c r="Q175" i="32"/>
  <c r="Q173" i="32"/>
  <c r="P173" i="32"/>
  <c r="Q172" i="32"/>
  <c r="Q170" i="32"/>
  <c r="P170" i="32"/>
  <c r="Q169" i="32"/>
  <c r="P169" i="32"/>
  <c r="P168" i="32"/>
  <c r="Q168" i="32"/>
  <c r="P165" i="32"/>
  <c r="Q165" i="32"/>
  <c r="Q164" i="32"/>
  <c r="P163" i="32"/>
  <c r="Q163" i="32"/>
  <c r="P162" i="32"/>
  <c r="Q161" i="32"/>
  <c r="Q159" i="32"/>
  <c r="P158" i="32"/>
  <c r="Q157" i="32"/>
  <c r="Q156" i="32"/>
  <c r="Q155" i="32"/>
  <c r="Q153" i="32"/>
  <c r="Q152" i="32"/>
  <c r="P152" i="32"/>
  <c r="Q151" i="32"/>
  <c r="P150" i="32"/>
  <c r="Q149" i="32"/>
  <c r="Q148" i="32"/>
  <c r="Q147" i="32"/>
  <c r="P147" i="32"/>
  <c r="P146" i="32"/>
  <c r="Q145" i="32"/>
  <c r="P145" i="32"/>
  <c r="Q143" i="32"/>
  <c r="P142" i="32"/>
  <c r="Q141" i="32"/>
  <c r="Q139" i="32"/>
  <c r="Q137" i="32"/>
  <c r="Q135" i="32"/>
  <c r="P135" i="32"/>
  <c r="Q133" i="32"/>
  <c r="Q131" i="32"/>
  <c r="P131" i="32"/>
  <c r="Q129" i="32"/>
  <c r="P129" i="32"/>
  <c r="Q127" i="32"/>
  <c r="P127" i="32"/>
  <c r="Q125" i="32"/>
  <c r="P123" i="32"/>
  <c r="P122" i="32"/>
  <c r="Q118" i="32"/>
  <c r="Q115" i="32"/>
  <c r="P101" i="32"/>
  <c r="Q96" i="32"/>
  <c r="Q88" i="32"/>
  <c r="Q87" i="32"/>
  <c r="Q68" i="32"/>
  <c r="Q66" i="32"/>
  <c r="P65" i="32"/>
  <c r="Q63" i="32"/>
  <c r="P63" i="32"/>
  <c r="Q59" i="32"/>
  <c r="P56" i="32"/>
  <c r="Q52" i="32"/>
  <c r="P52" i="32"/>
  <c r="P39" i="32"/>
  <c r="P35" i="32"/>
  <c r="P31" i="32"/>
  <c r="P30" i="32"/>
  <c r="P24" i="32"/>
  <c r="Q21" i="32"/>
  <c r="Q19" i="32"/>
  <c r="P19" i="32"/>
  <c r="R147" i="32" l="1"/>
  <c r="R264" i="32"/>
  <c r="R165" i="32"/>
  <c r="R206" i="32"/>
  <c r="R292" i="32"/>
  <c r="R173" i="32"/>
  <c r="R196" i="32"/>
  <c r="P276" i="32"/>
  <c r="Q142" i="32"/>
  <c r="R142" i="32" s="1"/>
  <c r="Q146" i="32"/>
  <c r="R146" i="32" s="1"/>
  <c r="P167" i="32"/>
  <c r="Q189" i="32"/>
  <c r="Q212" i="32"/>
  <c r="Q223" i="32"/>
  <c r="Q162" i="32"/>
  <c r="R162" i="32" s="1"/>
  <c r="Y162" i="32" s="1"/>
  <c r="Q221" i="32"/>
  <c r="R221" i="32" s="1"/>
  <c r="P291" i="32"/>
  <c r="Q86" i="32"/>
  <c r="Q94" i="32"/>
  <c r="Q109" i="32"/>
  <c r="R263" i="32"/>
  <c r="Q89" i="32"/>
  <c r="P200" i="32"/>
  <c r="R200" i="32" s="1"/>
  <c r="Q215" i="32"/>
  <c r="R215" i="32" s="1"/>
  <c r="P280" i="32"/>
  <c r="P125" i="32"/>
  <c r="P133" i="32"/>
  <c r="R133" i="32" s="1"/>
  <c r="P137" i="32"/>
  <c r="R137" i="32" s="1"/>
  <c r="P139" i="32"/>
  <c r="R139" i="32" s="1"/>
  <c r="P141" i="32"/>
  <c r="R141" i="32" s="1"/>
  <c r="P143" i="32"/>
  <c r="R143" i="32" s="1"/>
  <c r="Q154" i="32"/>
  <c r="R170" i="32"/>
  <c r="Y170" i="32" s="1"/>
  <c r="Q233" i="32"/>
  <c r="R233" i="32" s="1"/>
  <c r="Y233" i="32" s="1"/>
  <c r="R52" i="32"/>
  <c r="Q158" i="32"/>
  <c r="R158" i="32" s="1"/>
  <c r="Q227" i="32"/>
  <c r="R237" i="32"/>
  <c r="Q243" i="32"/>
  <c r="Q247" i="32"/>
  <c r="Q251" i="32"/>
  <c r="R255" i="32"/>
  <c r="R301" i="32"/>
  <c r="P57" i="32"/>
  <c r="Q176" i="32"/>
  <c r="Q211" i="32"/>
  <c r="Q232" i="32"/>
  <c r="Q245" i="32"/>
  <c r="Q249" i="32"/>
  <c r="Q285" i="32"/>
  <c r="P288" i="32"/>
  <c r="Q297" i="32"/>
  <c r="R297" i="32" s="1"/>
  <c r="P179" i="32"/>
  <c r="R179" i="32" s="1"/>
  <c r="Q193" i="32"/>
  <c r="Q195" i="32"/>
  <c r="Q209" i="32"/>
  <c r="Q216" i="32"/>
  <c r="Q224" i="32"/>
  <c r="Q235" i="32"/>
  <c r="R257" i="32"/>
  <c r="P270" i="32"/>
  <c r="P272" i="32"/>
  <c r="P281" i="32"/>
  <c r="R281" i="32" s="1"/>
  <c r="P283" i="32"/>
  <c r="P287" i="32"/>
  <c r="P299" i="32"/>
  <c r="Q105" i="32"/>
  <c r="P149" i="32"/>
  <c r="R149" i="32" s="1"/>
  <c r="P151" i="32"/>
  <c r="R151" i="32" s="1"/>
  <c r="R169" i="32"/>
  <c r="P188" i="32"/>
  <c r="R188" i="32" s="1"/>
  <c r="P204" i="32"/>
  <c r="R204" i="32" s="1"/>
  <c r="P216" i="32"/>
  <c r="Q229" i="32"/>
  <c r="P268" i="32"/>
  <c r="P277" i="32"/>
  <c r="R277" i="32" s="1"/>
  <c r="P279" i="32"/>
  <c r="Q93" i="32"/>
  <c r="P124" i="32"/>
  <c r="P128" i="32"/>
  <c r="P132" i="32"/>
  <c r="P136" i="32"/>
  <c r="Q138" i="32"/>
  <c r="P140" i="32"/>
  <c r="P153" i="32"/>
  <c r="R153" i="32" s="1"/>
  <c r="P155" i="32"/>
  <c r="R155" i="32" s="1"/>
  <c r="P175" i="32"/>
  <c r="R175" i="32" s="1"/>
  <c r="R177" i="32"/>
  <c r="Q181" i="32"/>
  <c r="R181" i="32" s="1"/>
  <c r="P183" i="32"/>
  <c r="R183" i="32" s="1"/>
  <c r="Q197" i="32"/>
  <c r="R197" i="32" s="1"/>
  <c r="P214" i="32"/>
  <c r="R217" i="32"/>
  <c r="R241" i="32"/>
  <c r="R259" i="32"/>
  <c r="P275" i="32"/>
  <c r="P296" i="32"/>
  <c r="R296" i="32" s="1"/>
  <c r="P157" i="32"/>
  <c r="R157" i="32" s="1"/>
  <c r="P159" i="32"/>
  <c r="R159" i="32" s="1"/>
  <c r="P192" i="32"/>
  <c r="R192" i="32" s="1"/>
  <c r="R205" i="32"/>
  <c r="P208" i="32"/>
  <c r="R208" i="32" s="1"/>
  <c r="Q228" i="32"/>
  <c r="Q236" i="32"/>
  <c r="R269" i="32"/>
  <c r="Q18" i="32"/>
  <c r="Q150" i="32"/>
  <c r="R150" i="32" s="1"/>
  <c r="P161" i="32"/>
  <c r="Q185" i="32"/>
  <c r="R185" i="32" s="1"/>
  <c r="P187" i="32"/>
  <c r="Q201" i="32"/>
  <c r="R201" i="32" s="1"/>
  <c r="Q203" i="32"/>
  <c r="P218" i="32"/>
  <c r="Q225" i="32"/>
  <c r="R225" i="32" s="1"/>
  <c r="Q239" i="32"/>
  <c r="R253" i="32"/>
  <c r="R261" i="32"/>
  <c r="P271" i="32"/>
  <c r="P284" i="32"/>
  <c r="P43" i="32"/>
  <c r="P18" i="32"/>
  <c r="P25" i="32"/>
  <c r="P27" i="32"/>
  <c r="P37" i="32"/>
  <c r="P14" i="32"/>
  <c r="P16" i="32"/>
  <c r="P23" i="32"/>
  <c r="P55" i="32"/>
  <c r="P10" i="32"/>
  <c r="P47" i="32"/>
  <c r="P50" i="32"/>
  <c r="Q46" i="32"/>
  <c r="P20" i="32"/>
  <c r="P22" i="32"/>
  <c r="P32" i="32"/>
  <c r="P36" i="32"/>
  <c r="P40" i="32"/>
  <c r="Q90" i="32"/>
  <c r="Q85" i="32"/>
  <c r="P94" i="32"/>
  <c r="R94" i="32" s="1"/>
  <c r="Q106" i="32"/>
  <c r="Q70" i="32"/>
  <c r="P97" i="32"/>
  <c r="P67" i="32"/>
  <c r="P71" i="32"/>
  <c r="P73" i="32"/>
  <c r="P75" i="32"/>
  <c r="P78" i="32"/>
  <c r="P82" i="32"/>
  <c r="P93" i="32"/>
  <c r="R93" i="32" s="1"/>
  <c r="P105" i="32"/>
  <c r="P119" i="32"/>
  <c r="Q67" i="32"/>
  <c r="Q71" i="32"/>
  <c r="Q75" i="32"/>
  <c r="Q101" i="32"/>
  <c r="R101" i="32" s="1"/>
  <c r="Q103" i="32"/>
  <c r="P90" i="32"/>
  <c r="P86" i="32"/>
  <c r="P109" i="32"/>
  <c r="R109" i="32" s="1"/>
  <c r="P112" i="32"/>
  <c r="Q98" i="32"/>
  <c r="Q122" i="32"/>
  <c r="R122" i="32" s="1"/>
  <c r="Q110" i="32"/>
  <c r="P85" i="32"/>
  <c r="Q102" i="32"/>
  <c r="P80" i="32"/>
  <c r="P89" i="32"/>
  <c r="P91" i="32"/>
  <c r="Q116" i="32"/>
  <c r="P120" i="32"/>
  <c r="P72" i="32"/>
  <c r="Q74" i="32"/>
  <c r="Q77" i="32"/>
  <c r="Q84" i="32"/>
  <c r="Q91" i="32"/>
  <c r="Q97" i="32"/>
  <c r="P102" i="32"/>
  <c r="P110" i="32"/>
  <c r="P111" i="32"/>
  <c r="Q111" i="32"/>
  <c r="P116" i="32"/>
  <c r="P66" i="32"/>
  <c r="R66" i="32" s="1"/>
  <c r="P83" i="32"/>
  <c r="P98" i="32"/>
  <c r="P114" i="32"/>
  <c r="P118" i="32"/>
  <c r="R118" i="32" s="1"/>
  <c r="P121" i="32"/>
  <c r="Q82" i="32"/>
  <c r="P68" i="32"/>
  <c r="R68" i="32" s="1"/>
  <c r="P74" i="32"/>
  <c r="Q78" i="32"/>
  <c r="Q73" i="32"/>
  <c r="P76" i="32"/>
  <c r="Q83" i="32"/>
  <c r="Q92" i="32"/>
  <c r="Q108" i="32"/>
  <c r="Q114" i="32"/>
  <c r="P115" i="32"/>
  <c r="R115" i="32" s="1"/>
  <c r="P70" i="32"/>
  <c r="P6" i="32"/>
  <c r="Q15" i="32"/>
  <c r="P8" i="32"/>
  <c r="Q38" i="32"/>
  <c r="P42" i="32"/>
  <c r="Q47" i="32"/>
  <c r="Q50" i="32"/>
  <c r="R50" i="32" s="1"/>
  <c r="Q6" i="32"/>
  <c r="Q14" i="32"/>
  <c r="Q24" i="32"/>
  <c r="R24" i="32" s="1"/>
  <c r="P29" i="32"/>
  <c r="P44" i="32"/>
  <c r="P53" i="32"/>
  <c r="P12" i="32"/>
  <c r="P33" i="32"/>
  <c r="Q12" i="32"/>
  <c r="Q8" i="32"/>
  <c r="P49" i="32"/>
  <c r="P59" i="32"/>
  <c r="R59" i="32" s="1"/>
  <c r="P61" i="32"/>
  <c r="Q22" i="32"/>
  <c r="P4" i="32"/>
  <c r="P21" i="32"/>
  <c r="R21" i="32" s="1"/>
  <c r="P26" i="32"/>
  <c r="Q30" i="32"/>
  <c r="R30" i="32" s="1"/>
  <c r="P34" i="32"/>
  <c r="P41" i="32"/>
  <c r="Q55" i="32"/>
  <c r="Q10" i="32"/>
  <c r="P28" i="32"/>
  <c r="P38" i="32"/>
  <c r="P45" i="32"/>
  <c r="P51" i="32"/>
  <c r="P62" i="32"/>
  <c r="Q7" i="32"/>
  <c r="P7" i="32"/>
  <c r="P9" i="32"/>
  <c r="Q3" i="32"/>
  <c r="P3" i="32"/>
  <c r="Q4" i="32"/>
  <c r="Q9" i="32"/>
  <c r="Q17" i="32"/>
  <c r="P17" i="32"/>
  <c r="Q11" i="32"/>
  <c r="P11" i="32"/>
  <c r="P13" i="32"/>
  <c r="R19" i="32"/>
  <c r="Q5" i="32"/>
  <c r="Q13" i="32"/>
  <c r="Q41" i="32"/>
  <c r="P5" i="32"/>
  <c r="Q28" i="32"/>
  <c r="Q36" i="32"/>
  <c r="Q44" i="32"/>
  <c r="Q48" i="32"/>
  <c r="Q61" i="32"/>
  <c r="Q53" i="32"/>
  <c r="Q69" i="32"/>
  <c r="P69" i="32"/>
  <c r="P15" i="32"/>
  <c r="Q57" i="32"/>
  <c r="R57" i="32" s="1"/>
  <c r="P60" i="32"/>
  <c r="Q16" i="32"/>
  <c r="R16" i="32" s="1"/>
  <c r="Q51" i="32"/>
  <c r="Q56" i="32"/>
  <c r="R56" i="32" s="1"/>
  <c r="Q60" i="32"/>
  <c r="Q20" i="32"/>
  <c r="Q26" i="32"/>
  <c r="Q32" i="32"/>
  <c r="Q40" i="32"/>
  <c r="R63" i="32"/>
  <c r="Q65" i="32"/>
  <c r="Q25" i="32"/>
  <c r="Q29" i="32"/>
  <c r="Q37" i="32"/>
  <c r="R37" i="32" s="1"/>
  <c r="Q45" i="32"/>
  <c r="Q62" i="32"/>
  <c r="Q34" i="32"/>
  <c r="R34" i="32" s="1"/>
  <c r="Q42" i="32"/>
  <c r="P54" i="32"/>
  <c r="P58" i="32"/>
  <c r="Q33" i="32"/>
  <c r="Q23" i="32"/>
  <c r="P48" i="32"/>
  <c r="Q49" i="32"/>
  <c r="Q54" i="32"/>
  <c r="Q58" i="32"/>
  <c r="Q64" i="32"/>
  <c r="Q80" i="32"/>
  <c r="P103" i="32"/>
  <c r="Q107" i="32"/>
  <c r="P113" i="32"/>
  <c r="Q113" i="32"/>
  <c r="Q117" i="32"/>
  <c r="P117" i="32"/>
  <c r="Q27" i="32"/>
  <c r="Q31" i="32"/>
  <c r="R31" i="32" s="1"/>
  <c r="Q35" i="32"/>
  <c r="R35" i="32" s="1"/>
  <c r="Q39" i="32"/>
  <c r="R39" i="32" s="1"/>
  <c r="Q43" i="32"/>
  <c r="P77" i="32"/>
  <c r="P46" i="32"/>
  <c r="Q76" i="32"/>
  <c r="R76" i="32" s="1"/>
  <c r="P79" i="32"/>
  <c r="P99" i="32"/>
  <c r="Q79" i="32"/>
  <c r="P87" i="32"/>
  <c r="R87" i="32" s="1"/>
  <c r="Q99" i="32"/>
  <c r="P104" i="32"/>
  <c r="Q72" i="32"/>
  <c r="R75" i="32"/>
  <c r="Q81" i="32"/>
  <c r="P81" i="32"/>
  <c r="Y118" i="32"/>
  <c r="P95" i="32"/>
  <c r="P64" i="32"/>
  <c r="Q95" i="32"/>
  <c r="P100" i="32"/>
  <c r="P107" i="32"/>
  <c r="Q121" i="32"/>
  <c r="P130" i="32"/>
  <c r="Q130" i="32"/>
  <c r="R131" i="32"/>
  <c r="R135" i="32"/>
  <c r="Q123" i="32"/>
  <c r="R123" i="32" s="1"/>
  <c r="R125" i="32"/>
  <c r="P134" i="32"/>
  <c r="Q134" i="32"/>
  <c r="P160" i="32"/>
  <c r="Q167" i="32"/>
  <c r="R167" i="32" s="1"/>
  <c r="P84" i="32"/>
  <c r="P88" i="32"/>
  <c r="R88" i="32" s="1"/>
  <c r="P92" i="32"/>
  <c r="R92" i="32" s="1"/>
  <c r="P96" i="32"/>
  <c r="R96" i="32" s="1"/>
  <c r="P108" i="32"/>
  <c r="Q128" i="32"/>
  <c r="Q140" i="32"/>
  <c r="P148" i="32"/>
  <c r="R148" i="32" s="1"/>
  <c r="P154" i="32"/>
  <c r="Q160" i="32"/>
  <c r="R161" i="32"/>
  <c r="Y173" i="32"/>
  <c r="Q100" i="32"/>
  <c r="Q104" i="32"/>
  <c r="Q112" i="32"/>
  <c r="R129" i="32"/>
  <c r="R168" i="32"/>
  <c r="Q132" i="32"/>
  <c r="Q136" i="32"/>
  <c r="R136" i="32" s="1"/>
  <c r="P156" i="32"/>
  <c r="R156" i="32" s="1"/>
  <c r="R163" i="32"/>
  <c r="P144" i="32"/>
  <c r="P106" i="32"/>
  <c r="P126" i="32"/>
  <c r="Q126" i="32"/>
  <c r="R127" i="32"/>
  <c r="P138" i="32"/>
  <c r="R138" i="32" s="1"/>
  <c r="Q144" i="32"/>
  <c r="R145" i="32"/>
  <c r="P164" i="32"/>
  <c r="R164" i="32" s="1"/>
  <c r="P171" i="32"/>
  <c r="Q171" i="32"/>
  <c r="Q119" i="32"/>
  <c r="Q120" i="32"/>
  <c r="R152" i="32"/>
  <c r="Q214" i="32"/>
  <c r="R214" i="32" s="1"/>
  <c r="P172" i="32"/>
  <c r="R172" i="32" s="1"/>
  <c r="P180" i="32"/>
  <c r="R180" i="32" s="1"/>
  <c r="R210" i="32"/>
  <c r="P213" i="32"/>
  <c r="R213" i="32" s="1"/>
  <c r="Q166" i="32"/>
  <c r="Q186" i="32"/>
  <c r="R186" i="32" s="1"/>
  <c r="Q222" i="32"/>
  <c r="P174" i="32"/>
  <c r="P176" i="32"/>
  <c r="Q178" i="32"/>
  <c r="R178" i="32" s="1"/>
  <c r="P195" i="32"/>
  <c r="P209" i="32"/>
  <c r="Q124" i="32"/>
  <c r="Q174" i="32"/>
  <c r="P182" i="32"/>
  <c r="Q187" i="32"/>
  <c r="R190" i="32"/>
  <c r="P199" i="32"/>
  <c r="R199" i="32" s="1"/>
  <c r="Q182" i="32"/>
  <c r="Q191" i="32"/>
  <c r="P191" i="32"/>
  <c r="R194" i="32"/>
  <c r="P203" i="32"/>
  <c r="P166" i="32"/>
  <c r="P184" i="32"/>
  <c r="P189" i="32"/>
  <c r="R189" i="32" s="1"/>
  <c r="R198" i="32"/>
  <c r="P207" i="32"/>
  <c r="R207" i="32" s="1"/>
  <c r="P193" i="32"/>
  <c r="R202" i="32"/>
  <c r="P211" i="32"/>
  <c r="P212" i="32"/>
  <c r="R212" i="32" s="1"/>
  <c r="P219" i="32"/>
  <c r="R219" i="32" s="1"/>
  <c r="P222" i="32"/>
  <c r="P224" i="32"/>
  <c r="P228" i="32"/>
  <c r="P227" i="32"/>
  <c r="P235" i="32"/>
  <c r="R235" i="32" s="1"/>
  <c r="P240" i="32"/>
  <c r="R240" i="32" s="1"/>
  <c r="P260" i="32"/>
  <c r="R260" i="32" s="1"/>
  <c r="R293" i="32"/>
  <c r="Q226" i="32"/>
  <c r="P245" i="32"/>
  <c r="P249" i="32"/>
  <c r="P254" i="32"/>
  <c r="P232" i="32"/>
  <c r="P244" i="32"/>
  <c r="P248" i="32"/>
  <c r="R248" i="32" s="1"/>
  <c r="P252" i="32"/>
  <c r="R252" i="32" s="1"/>
  <c r="Q286" i="32"/>
  <c r="P220" i="32"/>
  <c r="R220" i="32" s="1"/>
  <c r="P231" i="32"/>
  <c r="R231" i="32" s="1"/>
  <c r="P239" i="32"/>
  <c r="R239" i="32" s="1"/>
  <c r="Q218" i="32"/>
  <c r="R218" i="32" s="1"/>
  <c r="P258" i="32"/>
  <c r="Y292" i="32"/>
  <c r="P223" i="32"/>
  <c r="P229" i="32"/>
  <c r="P236" i="32"/>
  <c r="P247" i="32"/>
  <c r="P251" i="32"/>
  <c r="P256" i="32"/>
  <c r="R256" i="32" s="1"/>
  <c r="Q268" i="32"/>
  <c r="R268" i="32" s="1"/>
  <c r="Q279" i="32"/>
  <c r="R279" i="32" s="1"/>
  <c r="Q280" i="32"/>
  <c r="R280" i="32" s="1"/>
  <c r="P285" i="32"/>
  <c r="R285" i="32" s="1"/>
  <c r="P298" i="32"/>
  <c r="Q230" i="32"/>
  <c r="R230" i="32" s="1"/>
  <c r="Q234" i="32"/>
  <c r="R234" i="32" s="1"/>
  <c r="Q238" i="32"/>
  <c r="R238" i="32" s="1"/>
  <c r="Q242" i="32"/>
  <c r="R242" i="32" s="1"/>
  <c r="Q246" i="32"/>
  <c r="R246" i="32" s="1"/>
  <c r="Q250" i="32"/>
  <c r="R250" i="32" s="1"/>
  <c r="Q254" i="32"/>
  <c r="Q258" i="32"/>
  <c r="Q262" i="32"/>
  <c r="R262" i="32" s="1"/>
  <c r="Q267" i="32"/>
  <c r="R267" i="32" s="1"/>
  <c r="Q270" i="32"/>
  <c r="R270" i="32" s="1"/>
  <c r="Q298" i="32"/>
  <c r="R299" i="32"/>
  <c r="R300" i="32"/>
  <c r="Q271" i="32"/>
  <c r="Q275" i="32"/>
  <c r="Q276" i="32"/>
  <c r="Q284" i="32"/>
  <c r="P302" i="32"/>
  <c r="R302" i="32" s="1"/>
  <c r="Q272" i="32"/>
  <c r="Q274" i="32"/>
  <c r="R274" i="32" s="1"/>
  <c r="P278" i="32"/>
  <c r="R278" i="32" s="1"/>
  <c r="Q283" i="32"/>
  <c r="Q291" i="32"/>
  <c r="R291" i="32" s="1"/>
  <c r="P282" i="32"/>
  <c r="R282" i="32" s="1"/>
  <c r="P290" i="32"/>
  <c r="R290" i="32" s="1"/>
  <c r="P294" i="32"/>
  <c r="R294" i="32" s="1"/>
  <c r="Q287" i="32"/>
  <c r="R287" i="32" s="1"/>
  <c r="R295" i="32"/>
  <c r="P243" i="32"/>
  <c r="P265" i="32"/>
  <c r="R265" i="32" s="1"/>
  <c r="Q266" i="32"/>
  <c r="R266" i="32" s="1"/>
  <c r="Q273" i="32"/>
  <c r="R273" i="32" s="1"/>
  <c r="P286" i="32"/>
  <c r="Q288" i="32"/>
  <c r="P289" i="32"/>
  <c r="R289" i="32" s="1"/>
  <c r="R89" i="32" l="1"/>
  <c r="R211" i="32"/>
  <c r="R193" i="32"/>
  <c r="R227" i="32"/>
  <c r="R103" i="32"/>
  <c r="P305" i="32"/>
  <c r="Q305" i="32"/>
  <c r="R43" i="32"/>
  <c r="R276" i="32"/>
  <c r="R247" i="32"/>
  <c r="R209" i="32"/>
  <c r="R236" i="32"/>
  <c r="R283" i="32"/>
  <c r="R275" i="32"/>
  <c r="R245" i="32"/>
  <c r="R128" i="32"/>
  <c r="R284" i="32"/>
  <c r="R98" i="32"/>
  <c r="R228" i="32"/>
  <c r="R124" i="32"/>
  <c r="R6" i="32"/>
  <c r="R12" i="32"/>
  <c r="R10" i="32"/>
  <c r="R55" i="32"/>
  <c r="R85" i="32"/>
  <c r="R140" i="32"/>
  <c r="R251" i="32"/>
  <c r="R249" i="32"/>
  <c r="R229" i="32"/>
  <c r="R203" i="32"/>
  <c r="R132" i="32"/>
  <c r="R42" i="32"/>
  <c r="R154" i="32"/>
  <c r="R232" i="32"/>
  <c r="R112" i="32"/>
  <c r="Y112" i="32" s="1"/>
  <c r="R121" i="32"/>
  <c r="R27" i="32"/>
  <c r="R33" i="32"/>
  <c r="R22" i="32"/>
  <c r="R116" i="32"/>
  <c r="Y116" i="32" s="1"/>
  <c r="R18" i="32"/>
  <c r="R111" i="32"/>
  <c r="Y111" i="32" s="1"/>
  <c r="R86" i="32"/>
  <c r="R105" i="32"/>
  <c r="R195" i="32"/>
  <c r="R8" i="32"/>
  <c r="R288" i="32"/>
  <c r="Y288" i="32" s="1"/>
  <c r="R97" i="32"/>
  <c r="R271" i="32"/>
  <c r="R61" i="32"/>
  <c r="R120" i="32"/>
  <c r="R272" i="32"/>
  <c r="R223" i="32"/>
  <c r="R176" i="32"/>
  <c r="Y176" i="32" s="1"/>
  <c r="R26" i="32"/>
  <c r="Y200" i="32"/>
  <c r="Y137" i="32"/>
  <c r="R62" i="32"/>
  <c r="R44" i="32"/>
  <c r="R78" i="32"/>
  <c r="R20" i="32"/>
  <c r="R51" i="32"/>
  <c r="Y159" i="32"/>
  <c r="R171" i="32"/>
  <c r="Y171" i="32" s="1"/>
  <c r="Y147" i="32"/>
  <c r="R41" i="32"/>
  <c r="R80" i="32"/>
  <c r="R40" i="32"/>
  <c r="R72" i="32"/>
  <c r="Y52" i="32"/>
  <c r="R45" i="32"/>
  <c r="R47" i="32"/>
  <c r="R298" i="32"/>
  <c r="Y263" i="32"/>
  <c r="R108" i="32"/>
  <c r="Y108" i="32" s="1"/>
  <c r="R130" i="32"/>
  <c r="R23" i="32"/>
  <c r="R25" i="32"/>
  <c r="R82" i="32"/>
  <c r="R83" i="32"/>
  <c r="Y158" i="32"/>
  <c r="Y141" i="32"/>
  <c r="R29" i="32"/>
  <c r="R102" i="32"/>
  <c r="R187" i="32"/>
  <c r="R77" i="32"/>
  <c r="R73" i="32"/>
  <c r="R182" i="32"/>
  <c r="R134" i="32"/>
  <c r="R15" i="32"/>
  <c r="R14" i="32"/>
  <c r="R70" i="32"/>
  <c r="R258" i="32"/>
  <c r="R224" i="32"/>
  <c r="Y204" i="32"/>
  <c r="R126" i="32"/>
  <c r="Y94" i="32"/>
  <c r="R58" i="32"/>
  <c r="R71" i="32"/>
  <c r="R216" i="32"/>
  <c r="R49" i="32"/>
  <c r="R67" i="32"/>
  <c r="R53" i="32"/>
  <c r="Y53" i="32" s="1"/>
  <c r="R28" i="32"/>
  <c r="R32" i="32"/>
  <c r="R36" i="32"/>
  <c r="R113" i="32"/>
  <c r="Y113" i="32" s="1"/>
  <c r="R90" i="32"/>
  <c r="R119" i="32"/>
  <c r="R110" i="32"/>
  <c r="R107" i="32"/>
  <c r="R99" i="32"/>
  <c r="R84" i="32"/>
  <c r="Y122" i="32"/>
  <c r="R114" i="32"/>
  <c r="Y114" i="32" s="1"/>
  <c r="Y68" i="32"/>
  <c r="R95" i="32"/>
  <c r="R69" i="32"/>
  <c r="R74" i="32"/>
  <c r="R91" i="32"/>
  <c r="R60" i="32"/>
  <c r="R9" i="32"/>
  <c r="R38" i="32"/>
  <c r="R5" i="32"/>
  <c r="R48" i="32"/>
  <c r="Y48" i="32" s="1"/>
  <c r="Y115" i="32"/>
  <c r="Y59" i="32"/>
  <c r="Y230" i="32"/>
  <c r="Y221" i="32"/>
  <c r="Y169" i="32"/>
  <c r="Y157" i="32"/>
  <c r="Y255" i="32"/>
  <c r="Y167" i="32"/>
  <c r="Y178" i="32"/>
  <c r="R226" i="32"/>
  <c r="Y264" i="32"/>
  <c r="Y241" i="32"/>
  <c r="Y296" i="32"/>
  <c r="R166" i="32"/>
  <c r="Y188" i="32"/>
  <c r="Y205" i="32"/>
  <c r="R160" i="32"/>
  <c r="Y146" i="32"/>
  <c r="R117" i="32"/>
  <c r="Y30" i="32"/>
  <c r="R11" i="32"/>
  <c r="Y293" i="32"/>
  <c r="Y227" i="32"/>
  <c r="R13" i="32"/>
  <c r="R3" i="32"/>
  <c r="R243" i="32"/>
  <c r="R144" i="32"/>
  <c r="R100" i="32"/>
  <c r="R17" i="32"/>
  <c r="Y168" i="32"/>
  <c r="Y259" i="32"/>
  <c r="R286" i="32"/>
  <c r="R184" i="32"/>
  <c r="R191" i="32"/>
  <c r="R64" i="32"/>
  <c r="Y238" i="32"/>
  <c r="R254" i="32"/>
  <c r="Y234" i="32"/>
  <c r="R106" i="32"/>
  <c r="R104" i="32"/>
  <c r="R4" i="32"/>
  <c r="Y299" i="32"/>
  <c r="R244" i="32"/>
  <c r="R222" i="32"/>
  <c r="R174" i="32"/>
  <c r="R65" i="32"/>
  <c r="Y253" i="32"/>
  <c r="R81" i="32"/>
  <c r="R79" i="32"/>
  <c r="R46" i="32"/>
  <c r="R54" i="32"/>
  <c r="R7" i="32"/>
  <c r="R305" i="32" l="1"/>
  <c r="E6" i="33" s="1"/>
  <c r="Y281" i="32"/>
  <c r="Y89" i="32"/>
  <c r="Y18" i="32"/>
  <c r="Y217" i="32"/>
  <c r="Y197" i="32"/>
  <c r="Y252" i="32"/>
  <c r="Y301" i="32"/>
  <c r="Y208" i="32"/>
  <c r="Y66" i="32"/>
  <c r="Y153" i="32"/>
  <c r="Y201" i="32"/>
  <c r="Y139" i="32"/>
  <c r="Y180" i="32"/>
  <c r="Y62" i="32"/>
  <c r="Y192" i="32"/>
  <c r="Y9" i="32"/>
  <c r="Y140" i="32"/>
  <c r="Y165" i="32"/>
  <c r="Y78" i="32"/>
  <c r="Y107" i="32"/>
  <c r="Y150" i="32"/>
  <c r="Y207" i="32"/>
  <c r="Y297" i="32"/>
  <c r="Y172" i="32"/>
  <c r="Y101" i="32"/>
  <c r="Y298" i="32"/>
  <c r="Y133" i="32"/>
  <c r="Y249" i="32"/>
  <c r="Y63" i="32"/>
  <c r="Y154" i="32"/>
  <c r="Y199" i="32"/>
  <c r="Y103" i="32"/>
  <c r="Y294" i="32"/>
  <c r="Y225" i="32"/>
  <c r="Y142" i="32"/>
  <c r="Y232" i="32"/>
  <c r="Y278" i="32"/>
  <c r="Y271" i="32"/>
  <c r="Y275" i="32"/>
  <c r="Y20" i="32"/>
  <c r="Y214" i="32"/>
  <c r="Y27" i="32"/>
  <c r="Y58" i="32"/>
  <c r="Y19" i="32"/>
  <c r="Y45" i="32"/>
  <c r="Y60" i="32"/>
  <c r="Y47" i="32"/>
  <c r="Y42" i="32"/>
  <c r="Y50" i="32"/>
  <c r="Y23" i="32"/>
  <c r="Y39" i="32"/>
  <c r="Y98" i="32"/>
  <c r="Y72" i="32"/>
  <c r="Y121" i="32"/>
  <c r="Y120" i="32"/>
  <c r="Y86" i="32"/>
  <c r="Y87" i="32"/>
  <c r="Y138" i="32"/>
  <c r="Y276" i="32"/>
  <c r="Y29" i="32"/>
  <c r="Y279" i="32"/>
  <c r="Y84" i="32"/>
  <c r="Y35" i="32"/>
  <c r="Y250" i="32"/>
  <c r="Y155" i="32"/>
  <c r="Y285" i="32"/>
  <c r="Y270" i="32"/>
  <c r="Y149" i="32"/>
  <c r="Y31" i="32"/>
  <c r="Y219" i="32"/>
  <c r="Y195" i="32"/>
  <c r="Y96" i="32"/>
  <c r="Y15" i="32"/>
  <c r="Y21" i="32"/>
  <c r="Y156" i="32"/>
  <c r="Y145" i="32"/>
  <c r="Y37" i="32"/>
  <c r="Y266" i="32"/>
  <c r="Y202" i="32"/>
  <c r="Y215" i="32"/>
  <c r="Y212" i="32"/>
  <c r="Y290" i="32"/>
  <c r="Y261" i="32"/>
  <c r="Y283" i="32"/>
  <c r="Y203" i="32"/>
  <c r="Y224" i="32"/>
  <c r="Y77" i="32"/>
  <c r="Y235" i="32"/>
  <c r="Y239" i="32"/>
  <c r="Y135" i="32"/>
  <c r="Y126" i="32"/>
  <c r="Y196" i="32"/>
  <c r="Y237" i="32"/>
  <c r="Y51" i="32"/>
  <c r="Y105" i="32"/>
  <c r="Y26" i="32"/>
  <c r="Y40" i="32"/>
  <c r="Y302" i="32"/>
  <c r="Y128" i="32"/>
  <c r="Y125" i="32"/>
  <c r="Y257" i="32"/>
  <c r="Y181" i="32"/>
  <c r="Y277" i="32"/>
  <c r="Y177" i="32"/>
  <c r="Y129" i="32"/>
  <c r="Y295" i="32"/>
  <c r="Y92" i="32"/>
  <c r="Y220" i="32"/>
  <c r="Y236" i="32"/>
  <c r="Y274" i="32"/>
  <c r="Y291" i="32"/>
  <c r="Y287" i="32"/>
  <c r="Y228" i="32"/>
  <c r="Y194" i="32"/>
  <c r="Y97" i="32"/>
  <c r="Y186" i="32"/>
  <c r="Y56" i="32"/>
  <c r="Y272" i="32"/>
  <c r="Y179" i="32"/>
  <c r="Y248" i="32"/>
  <c r="Y256" i="32"/>
  <c r="Y151" i="32"/>
  <c r="Y231" i="32"/>
  <c r="Y55" i="32"/>
  <c r="Y269" i="32"/>
  <c r="Y206" i="32"/>
  <c r="E15" i="33" l="1"/>
  <c r="G2" i="2"/>
  <c r="S2" i="2" s="1"/>
  <c r="Y70" i="32"/>
  <c r="Y73" i="32"/>
  <c r="Y268" i="32"/>
  <c r="Y74" i="32"/>
  <c r="Y242" i="32"/>
  <c r="Y99" i="32"/>
  <c r="Y185" i="32"/>
  <c r="Y187" i="32"/>
  <c r="Y110" i="32"/>
  <c r="Y198" i="32"/>
  <c r="Y190" i="32"/>
  <c r="Y247" i="32"/>
  <c r="Y10" i="32"/>
  <c r="Y69" i="32"/>
  <c r="Y223" i="32"/>
  <c r="Y289" i="32"/>
  <c r="Y36" i="32"/>
  <c r="Y90" i="32"/>
  <c r="Y82" i="32"/>
  <c r="Y22" i="32"/>
  <c r="Y134" i="32"/>
  <c r="Y148" i="32"/>
  <c r="Y81" i="32"/>
  <c r="Y262" i="32"/>
  <c r="Y280" i="32"/>
  <c r="Y218" i="32"/>
  <c r="Y251" i="32"/>
  <c r="Y79" i="32"/>
  <c r="Y222" i="32"/>
  <c r="Y100" i="32"/>
  <c r="Y76" i="32"/>
  <c r="Y54" i="32"/>
  <c r="Y28" i="32"/>
  <c r="Y44" i="32"/>
  <c r="Y24" i="32"/>
  <c r="Y49" i="32"/>
  <c r="Y14" i="32"/>
  <c r="Y38" i="32"/>
  <c r="Y32" i="32"/>
  <c r="Y117" i="32"/>
  <c r="Y91" i="32"/>
  <c r="Y109" i="32"/>
  <c r="Y75" i="32"/>
  <c r="Y104" i="32"/>
  <c r="Y88" i="32"/>
  <c r="Y161" i="32"/>
  <c r="Y34" i="32"/>
  <c r="Y265" i="32"/>
  <c r="Y61" i="32"/>
  <c r="Y127" i="32"/>
  <c r="Y57" i="32"/>
  <c r="Y210" i="32"/>
  <c r="Y245" i="32"/>
  <c r="Y4" i="32"/>
  <c r="Y286" i="32"/>
  <c r="Y13" i="32"/>
  <c r="Y5" i="32"/>
  <c r="Y211" i="32"/>
  <c r="Y229" i="32"/>
  <c r="Y213" i="32"/>
  <c r="Y209" i="32"/>
  <c r="Y93" i="32"/>
  <c r="Y136" i="32"/>
  <c r="Y174" i="32"/>
  <c r="Y240" i="32"/>
  <c r="Y80" i="32"/>
  <c r="Y16" i="32"/>
  <c r="Y189" i="32"/>
  <c r="Y8" i="32"/>
  <c r="Y130" i="32"/>
  <c r="Y41" i="32"/>
  <c r="Y152" i="32"/>
  <c r="Y67" i="32"/>
  <c r="Y258" i="32"/>
  <c r="Y273" i="32"/>
  <c r="Y6" i="32"/>
  <c r="Y143" i="32"/>
  <c r="Y164" i="32"/>
  <c r="Y284" i="32"/>
  <c r="Y95" i="32"/>
  <c r="Y182" i="32"/>
  <c r="Y124" i="32"/>
  <c r="Y260" i="32"/>
  <c r="Y46" i="32"/>
  <c r="Y300" i="32"/>
  <c r="Y163" i="32"/>
  <c r="Y43" i="32"/>
  <c r="Y85" i="32"/>
  <c r="Y119" i="32"/>
  <c r="Y184" i="32"/>
  <c r="Y282" i="32"/>
  <c r="Y123" i="32"/>
  <c r="Y132" i="32"/>
  <c r="Y267" i="32"/>
  <c r="Y12" i="32"/>
  <c r="Y25" i="32"/>
  <c r="Y33" i="32"/>
  <c r="Y193" i="32"/>
  <c r="Y175" i="32"/>
  <c r="Y131" i="32"/>
  <c r="Y246" i="32"/>
  <c r="U2" i="2" l="1"/>
  <c r="S11" i="2"/>
  <c r="G11" i="2"/>
  <c r="Y102" i="32"/>
  <c r="Y226" i="32"/>
  <c r="Y11" i="32"/>
  <c r="Y160" i="32"/>
  <c r="Y254" i="32"/>
  <c r="Y216" i="32"/>
  <c r="Y83" i="32"/>
  <c r="Y71" i="32"/>
  <c r="Y17" i="32"/>
  <c r="Y7" i="32"/>
  <c r="Y166" i="32"/>
  <c r="Y64" i="32"/>
  <c r="Y183" i="32"/>
  <c r="Y144" i="32"/>
  <c r="Y244" i="32"/>
  <c r="Y243" i="32"/>
  <c r="Y106" i="32"/>
  <c r="Y65" i="32"/>
  <c r="Y191" i="32" l="1"/>
  <c r="Y3" i="32"/>
  <c r="Y305" i="32" s="1"/>
  <c r="U11" i="2" l="1"/>
</calcChain>
</file>

<file path=xl/sharedStrings.xml><?xml version="1.0" encoding="utf-8"?>
<sst xmlns="http://schemas.openxmlformats.org/spreadsheetml/2006/main" count="679" uniqueCount="137">
  <si>
    <t>CLIN</t>
  </si>
  <si>
    <t>FTEs</t>
  </si>
  <si>
    <t>CPFF</t>
  </si>
  <si>
    <t>CR</t>
  </si>
  <si>
    <t>CLIN Description</t>
  </si>
  <si>
    <t>Material Handling and/or G&amp;A Rate</t>
  </si>
  <si>
    <t>Fee</t>
  </si>
  <si>
    <t>Labor Rate</t>
  </si>
  <si>
    <t>G&amp;A</t>
  </si>
  <si>
    <t>Grand Total</t>
  </si>
  <si>
    <t>Labor Category</t>
  </si>
  <si>
    <t>FFP</t>
  </si>
  <si>
    <t>Phase-In</t>
  </si>
  <si>
    <t>Notes:</t>
  </si>
  <si>
    <t>Supply Technician</t>
  </si>
  <si>
    <t>Other Direct Costs</t>
  </si>
  <si>
    <t>Type
CLIN</t>
  </si>
  <si>
    <t>Program Manager</t>
  </si>
  <si>
    <t>Labor - Base Period (4 years 11 months)</t>
  </si>
  <si>
    <t>Contractor Acquired Property (CAP)</t>
  </si>
  <si>
    <t>Delivery of CAP</t>
  </si>
  <si>
    <t>CDRLs</t>
  </si>
  <si>
    <t>Service Contract Reporting</t>
  </si>
  <si>
    <t>Automotive Maintenance Section Supervisor</t>
  </si>
  <si>
    <t>Buyer</t>
  </si>
  <si>
    <t>Contract Administrator</t>
  </si>
  <si>
    <t>Human Resource Specialist</t>
  </si>
  <si>
    <t>IT Section Lead</t>
  </si>
  <si>
    <t>LAN Administrator</t>
  </si>
  <si>
    <t>Logistics Department Manager</t>
  </si>
  <si>
    <t>Safety/Security Manager</t>
  </si>
  <si>
    <t>Supply Services Section Supervisor</t>
  </si>
  <si>
    <t>Sr Software Engineer</t>
  </si>
  <si>
    <t>Environmental Compliance Manager</t>
  </si>
  <si>
    <t>Accounting Clerk III</t>
  </si>
  <si>
    <t>Automotive Mechanic</t>
  </si>
  <si>
    <t>Automotive Mechanic (Fort Bliss)</t>
  </si>
  <si>
    <t>Business Operations Specialist</t>
  </si>
  <si>
    <t>Computer Operator I</t>
  </si>
  <si>
    <t>Computer Operator II</t>
  </si>
  <si>
    <t>Computer Operator III</t>
  </si>
  <si>
    <t>Carpenter</t>
  </si>
  <si>
    <t>Electrician, Maintenance</t>
  </si>
  <si>
    <t>Electronics Technician II</t>
  </si>
  <si>
    <t>First Line Supervisor - Field Operations Controller</t>
  </si>
  <si>
    <t>HVAC Mechanic</t>
  </si>
  <si>
    <t>Laborer/ Grounds Maintenance</t>
  </si>
  <si>
    <t>Metrology Technician III (TMDE)</t>
  </si>
  <si>
    <t>PC Technician</t>
  </si>
  <si>
    <t>Personnel Assistant III</t>
  </si>
  <si>
    <t>Production Control Clerk</t>
  </si>
  <si>
    <t>Plumber, Maintenance</t>
  </si>
  <si>
    <t>Shipping/Receiving Clerk</t>
  </si>
  <si>
    <t>Warehouse Specialist</t>
  </si>
  <si>
    <t xml:space="preserve">Site Manager/Data Manager (Fort Bragg) </t>
  </si>
  <si>
    <t>Photographer IV (Fort Bragg) (On Call)</t>
  </si>
  <si>
    <t>Electronics Technician II (Fort Bragg)</t>
  </si>
  <si>
    <t>Base Period Year 1 (11 Months) Cost</t>
  </si>
  <si>
    <t>Base Period Year 1 (11 Months) Fee</t>
  </si>
  <si>
    <t>c. CLIN 0003: $50,000.00</t>
  </si>
  <si>
    <t>d. CLIN 0004: $25,000.00</t>
  </si>
  <si>
    <t>Period</t>
  </si>
  <si>
    <t>FT/PT</t>
  </si>
  <si>
    <t>BOL/WD Code</t>
  </si>
  <si>
    <t>WD Job Title</t>
  </si>
  <si>
    <t>Location</t>
  </si>
  <si>
    <t>BOE Hours (Regular)</t>
  </si>
  <si>
    <t>BOE Hours (OT)</t>
  </si>
  <si>
    <t>Productive Wages (Regular)</t>
  </si>
  <si>
    <t>Productive Wages (OT)</t>
  </si>
  <si>
    <t>Productive Wages (Total)</t>
  </si>
  <si>
    <t>Loaded Labor Cost</t>
  </si>
  <si>
    <t>Base Year</t>
  </si>
  <si>
    <t>Year 2</t>
  </si>
  <si>
    <t>Year 3</t>
  </si>
  <si>
    <t>Year 4</t>
  </si>
  <si>
    <t>Year 5</t>
  </si>
  <si>
    <t>Cost Element</t>
  </si>
  <si>
    <t>Direct Labor</t>
  </si>
  <si>
    <t>Fringe</t>
  </si>
  <si>
    <t>Overhead</t>
  </si>
  <si>
    <t>Subcontract</t>
  </si>
  <si>
    <t xml:space="preserve">Subtotal </t>
  </si>
  <si>
    <t>FAR 52.217-8</t>
  </si>
  <si>
    <t>Total</t>
  </si>
  <si>
    <t xml:space="preserve">  </t>
  </si>
  <si>
    <t xml:space="preserve"> </t>
  </si>
  <si>
    <t xml:space="preserve">   </t>
  </si>
  <si>
    <t>Prime/Sub</t>
  </si>
  <si>
    <t>PWS</t>
  </si>
  <si>
    <t>Fringe Cost*</t>
  </si>
  <si>
    <t>Overhead Cost*</t>
  </si>
  <si>
    <t>G&amp;A Cost*</t>
  </si>
  <si>
    <t>Company Name</t>
  </si>
  <si>
    <t>Exempt / Non-Exempt</t>
  </si>
  <si>
    <t>*If position is a subcontracted position, use "Sub" not "Subcontractor"</t>
  </si>
  <si>
    <t>Base Year Totals</t>
  </si>
  <si>
    <t>Year 2 Totals</t>
  </si>
  <si>
    <t>Year 3 Totals</t>
  </si>
  <si>
    <t>Year 4 Totals</t>
  </si>
  <si>
    <t>Year 5 Totals</t>
  </si>
  <si>
    <t>Fee Total*</t>
  </si>
  <si>
    <t>*Below are example positions for this requirement based on historicals. Any additional proposed labor categories can be added in the blue cells below</t>
  </si>
  <si>
    <t>1 Oct 2026 thru 31 August 2027</t>
  </si>
  <si>
    <t>1 Oct 2027 thru 31 August 2028</t>
  </si>
  <si>
    <t>1 Oct 2028 thru 31 August 2029</t>
  </si>
  <si>
    <t>1 Oct 2029 thru 31 August 2030</t>
  </si>
  <si>
    <t>1 Oct 2030 thru 31 August 2031</t>
  </si>
  <si>
    <t>Year 2 Cost</t>
  </si>
  <si>
    <t>Year 2 Fee</t>
  </si>
  <si>
    <t>Year 3 Cost</t>
  </si>
  <si>
    <t>Year 3 Fee</t>
  </si>
  <si>
    <t>Year 4 Cost</t>
  </si>
  <si>
    <t>Year 4 Fee</t>
  </si>
  <si>
    <t>Year 5 Cost</t>
  </si>
  <si>
    <t>Year 5 Fee</t>
  </si>
  <si>
    <t>*These columns should link to the appropriate rate tab, with calculation of the dollars in the cells below based on allocation of the applicable rate. Ensure all formulas in these columns are correct prior to submission. Please note that if a column is not applicable to your submission, it can be left blank.</t>
  </si>
  <si>
    <t>Subcontract Handling</t>
  </si>
  <si>
    <t>Subcontract Handling*</t>
  </si>
  <si>
    <t>Material Handling*</t>
  </si>
  <si>
    <t>Material Handling</t>
  </si>
  <si>
    <r>
      <t xml:space="preserve">IAW M.5.4.4.6, the sum of all the CLINs’ evaluated price plus the evaluated price for the “6-Month Extension of Services” plus the evaluated price of the Sample Test, Sample TOP* represents the TEPC/P.
</t>
    </r>
    <r>
      <rPr>
        <b/>
        <sz val="10"/>
        <color theme="1"/>
        <rFont val="Times New Roman"/>
        <family val="1"/>
      </rPr>
      <t xml:space="preserve">*The Government acknowledges calculating the Sample TOP pricing into the TEPC/P effectively “double counts” this scope of work already incorporated as a portion of the total CLIN 0001, and potentially 0002 costs, however, the TEPC/P does not impact the ceiling value established under the proposed IDIQ contract and is done for evaluation purposes only. </t>
    </r>
  </si>
  <si>
    <t>Include your proposed amount for the Phase-In CLIN (0006) in Cell D10</t>
  </si>
  <si>
    <t>a. CLIN 0002:  $11,349,077.44</t>
  </si>
  <si>
    <t>b. CLIN 0002: FAR52.217-8 estimate, $1,202,972.30</t>
  </si>
  <si>
    <t>Sample TO Cost</t>
  </si>
  <si>
    <t>Sample TO Fee</t>
  </si>
  <si>
    <t>Sample TO</t>
  </si>
  <si>
    <t>FAR 52.217-8 Cost</t>
  </si>
  <si>
    <t>FAR 52.217-8 Fee</t>
  </si>
  <si>
    <t>Total Evaluated Price</t>
  </si>
  <si>
    <t>Total Proposed Cost</t>
  </si>
  <si>
    <t>Total Proposed Fee</t>
  </si>
  <si>
    <t>Base/Test</t>
  </si>
  <si>
    <t>Sample TO Totals</t>
  </si>
  <si>
    <t xml:space="preserve">For CLIN 0001, the pricing should auto-populate based on the total proposed price input into the Labor Build-up CLIN 1 tabs. </t>
  </si>
  <si>
    <t>The Not to Exceed (NTE) amounts have been provided for CLINs 0002-0004; do not adjust these amounts. If a Material Handling or G&amp;A rate will be applied to the CR CLIN 0002, then include the percentage rate in Cell(s) G5.  Include 0% if no indirect rate will be applied.  The rate will become part of the contract and will not be adjusted during the life of the Task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</si>
</sst>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quot;$&quot;#,##0.00"/>
    <numFmt numFmtId="165" formatCode="[$-409]mmm\-yy;@"/>
    <numFmt numFmtId="166" formatCode="0000"/>
    <numFmt numFmtId="167" formatCode="_(&quot;$&quot;* #,##0_);_(&quot;$&quot;* \(#,##0\);_(&quot;$&quot;* &quot;-&quot;??_);_(@_)"/>
  </numFmts>
  <fonts count="24" x14ac:knownFonts="1">
    <font>
      <sz val="11"/>
      <color theme="1"/>
      <name val="Calibri"/>
      <family val="2"/>
      <scheme val="minor"/>
    </font>
    <font>
      <sz val="11"/>
      <color theme="1"/>
      <name val="Calibri"/>
      <family val="2"/>
      <scheme val="minor"/>
    </font>
    <font>
      <sz val="10"/>
      <name val="Arial"/>
      <family val="2"/>
    </font>
    <font>
      <b/>
      <sz val="12"/>
      <name val="Times New Roman"/>
      <family val="1"/>
    </font>
    <font>
      <sz val="12"/>
      <color theme="1"/>
      <name val="Times New Roman"/>
      <family val="1"/>
    </font>
    <font>
      <sz val="12"/>
      <name val="Times New Roman"/>
      <family val="1"/>
    </font>
    <font>
      <b/>
      <sz val="12"/>
      <color theme="1"/>
      <name val="Times New Roman"/>
      <family val="1"/>
    </font>
    <font>
      <b/>
      <i/>
      <u/>
      <sz val="12"/>
      <color theme="1"/>
      <name val="Times New Roman"/>
      <family val="1"/>
    </font>
    <font>
      <b/>
      <sz val="11"/>
      <color theme="1"/>
      <name val="Times New Roman"/>
      <family val="1"/>
    </font>
    <font>
      <sz val="11"/>
      <color theme="1"/>
      <name val="Times New Roman"/>
      <family val="1"/>
    </font>
    <font>
      <sz val="8"/>
      <name val="Calibri"/>
      <family val="2"/>
      <scheme val="minor"/>
    </font>
    <font>
      <sz val="12"/>
      <color rgb="FFFF0000"/>
      <name val="Times New Roman"/>
      <family val="1"/>
    </font>
    <font>
      <b/>
      <sz val="12"/>
      <color rgb="FFFF0000"/>
      <name val="Times New Roman"/>
      <family val="1"/>
    </font>
    <font>
      <b/>
      <sz val="11"/>
      <color theme="1"/>
      <name val="Calibri"/>
      <family val="2"/>
      <scheme val="minor"/>
    </font>
    <font>
      <sz val="12"/>
      <color theme="1"/>
      <name val="Arial"/>
      <family val="2"/>
    </font>
    <font>
      <b/>
      <sz val="12"/>
      <color theme="1"/>
      <name val="Arial"/>
      <family val="2"/>
    </font>
    <font>
      <sz val="12"/>
      <name val="Arial"/>
      <family val="2"/>
    </font>
    <font>
      <b/>
      <sz val="12"/>
      <color theme="0"/>
      <name val="Arial"/>
      <family val="2"/>
    </font>
    <font>
      <b/>
      <sz val="12"/>
      <name val="Arial"/>
      <family val="2"/>
    </font>
    <font>
      <sz val="10"/>
      <name val="Arial"/>
      <family val="2"/>
    </font>
    <font>
      <b/>
      <sz val="10"/>
      <name val="Arial"/>
      <family val="2"/>
    </font>
    <font>
      <b/>
      <i/>
      <sz val="12"/>
      <color theme="1"/>
      <name val="Arial"/>
      <family val="2"/>
    </font>
    <font>
      <b/>
      <i/>
      <sz val="12"/>
      <name val="Arial"/>
      <family val="2"/>
    </font>
    <font>
      <b/>
      <sz val="10"/>
      <color theme="1"/>
      <name val="Times New Roman"/>
      <family val="1"/>
    </font>
  </fonts>
  <fills count="9">
    <fill>
      <patternFill patternType="none"/>
    </fill>
    <fill>
      <patternFill patternType="gray125"/>
    </fill>
    <fill>
      <patternFill patternType="solid">
        <fgColor theme="3"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1"/>
        <bgColor theme="4"/>
      </patternFill>
    </fill>
    <fill>
      <patternFill patternType="solid">
        <fgColor theme="0" tint="-0.14999847407452621"/>
        <bgColor theme="4" tint="0.79998168889431442"/>
      </patternFill>
    </fill>
    <fill>
      <patternFill patternType="solid">
        <fgColor theme="0"/>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right/>
      <top style="medium">
        <color theme="4" tint="-0.249977111117893"/>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s>
  <cellStyleXfs count="13">
    <xf numFmtId="0" fontId="0" fillId="0" borderId="0"/>
    <xf numFmtId="44" fontId="1" fillId="0" borderId="0" applyFont="0" applyFill="0" applyBorder="0" applyAlignment="0" applyProtection="0"/>
    <xf numFmtId="0" fontId="2" fillId="0" borderId="0"/>
    <xf numFmtId="0" fontId="2" fillId="0" borderId="0"/>
    <xf numFmtId="165" fontId="2" fillId="0" borderId="0"/>
    <xf numFmtId="0" fontId="1" fillId="0" borderId="0"/>
    <xf numFmtId="0" fontId="1" fillId="0" borderId="0"/>
    <xf numFmtId="43" fontId="1"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0" fontId="19" fillId="0" borderId="0"/>
    <xf numFmtId="9" fontId="1" fillId="0" borderId="0" applyFont="0" applyFill="0" applyBorder="0" applyAlignment="0" applyProtection="0"/>
  </cellStyleXfs>
  <cellXfs count="96">
    <xf numFmtId="0" fontId="0" fillId="0" borderId="0" xfId="0"/>
    <xf numFmtId="0" fontId="6" fillId="0" borderId="1" xfId="0" applyFont="1" applyBorder="1"/>
    <xf numFmtId="0" fontId="4" fillId="0" borderId="0" xfId="0" applyFont="1"/>
    <xf numFmtId="0" fontId="3" fillId="0" borderId="1" xfId="0" applyFont="1" applyBorder="1"/>
    <xf numFmtId="164" fontId="4" fillId="0" borderId="1" xfId="1" applyNumberFormat="1" applyFont="1" applyFill="1" applyBorder="1" applyAlignment="1">
      <alignment horizontal="center"/>
    </xf>
    <xf numFmtId="164" fontId="4" fillId="0" borderId="0" xfId="0" applyNumberFormat="1" applyFont="1"/>
    <xf numFmtId="0" fontId="7" fillId="0" borderId="0" xfId="0" applyFont="1"/>
    <xf numFmtId="164" fontId="5" fillId="0" borderId="1" xfId="1" applyNumberFormat="1" applyFont="1" applyFill="1" applyBorder="1" applyAlignment="1">
      <alignment horizontal="center"/>
    </xf>
    <xf numFmtId="0" fontId="9" fillId="0" borderId="0" xfId="0" applyFont="1"/>
    <xf numFmtId="0" fontId="4" fillId="0" borderId="0" xfId="0" applyFont="1" applyAlignment="1">
      <alignment vertical="center"/>
    </xf>
    <xf numFmtId="44" fontId="4" fillId="0" borderId="0" xfId="0" applyNumberFormat="1" applyFont="1"/>
    <xf numFmtId="44" fontId="4" fillId="0" borderId="0" xfId="1" applyFont="1"/>
    <xf numFmtId="164" fontId="4" fillId="0" borderId="0" xfId="1" applyNumberFormat="1" applyFont="1"/>
    <xf numFmtId="0" fontId="6" fillId="0" borderId="1" xfId="0" quotePrefix="1" applyFont="1" applyBorder="1" applyAlignment="1">
      <alignment horizontal="center" vertical="center"/>
    </xf>
    <xf numFmtId="0" fontId="3" fillId="2" borderId="9" xfId="0" applyFont="1" applyFill="1" applyBorder="1" applyAlignment="1">
      <alignment horizontal="center" vertical="center" wrapText="1"/>
    </xf>
    <xf numFmtId="164" fontId="11" fillId="0" borderId="1" xfId="1" applyNumberFormat="1" applyFont="1" applyFill="1" applyBorder="1" applyAlignment="1">
      <alignment horizontal="center"/>
    </xf>
    <xf numFmtId="0" fontId="4" fillId="3" borderId="0" xfId="0" applyFont="1" applyFill="1"/>
    <xf numFmtId="0" fontId="4" fillId="0" borderId="1" xfId="0" applyFont="1" applyBorder="1"/>
    <xf numFmtId="0" fontId="6" fillId="0" borderId="1" xfId="0" quotePrefix="1" applyFont="1" applyBorder="1" applyAlignment="1">
      <alignment horizontal="center"/>
    </xf>
    <xf numFmtId="0" fontId="3" fillId="0" borderId="1" xfId="0" applyFont="1" applyBorder="1" applyAlignment="1">
      <alignment horizontal="right"/>
    </xf>
    <xf numFmtId="164" fontId="12" fillId="0" borderId="1" xfId="1" applyNumberFormat="1" applyFont="1" applyFill="1" applyBorder="1" applyAlignment="1">
      <alignment horizontal="center"/>
    </xf>
    <xf numFmtId="0" fontId="3" fillId="2" borderId="7" xfId="0" applyFont="1" applyFill="1" applyBorder="1" applyAlignment="1">
      <alignment horizontal="center" vertical="center"/>
    </xf>
    <xf numFmtId="0" fontId="3" fillId="2" borderId="7" xfId="0" applyFont="1" applyFill="1" applyBorder="1" applyAlignment="1">
      <alignment horizontal="center" vertical="center" wrapText="1"/>
    </xf>
    <xf numFmtId="166" fontId="6" fillId="0" borderId="1" xfId="0" applyNumberFormat="1" applyFont="1" applyBorder="1" applyAlignment="1">
      <alignment horizontal="center" vertical="center"/>
    </xf>
    <xf numFmtId="164" fontId="6" fillId="0" borderId="1" xfId="0" quotePrefix="1" applyNumberFormat="1" applyFont="1" applyBorder="1" applyAlignment="1">
      <alignment horizontal="center" vertical="center"/>
    </xf>
    <xf numFmtId="164" fontId="6" fillId="0" borderId="1" xfId="0" applyNumberFormat="1" applyFont="1" applyBorder="1"/>
    <xf numFmtId="0" fontId="4" fillId="4" borderId="0" xfId="0" applyFont="1" applyFill="1"/>
    <xf numFmtId="0" fontId="14" fillId="0" borderId="0" xfId="6" applyFont="1"/>
    <xf numFmtId="0" fontId="14" fillId="0" borderId="0" xfId="6" applyFont="1" applyAlignment="1">
      <alignment horizontal="left"/>
    </xf>
    <xf numFmtId="43" fontId="16" fillId="0" borderId="0" xfId="7" applyFont="1"/>
    <xf numFmtId="43" fontId="16" fillId="0" borderId="0" xfId="7" applyFont="1" applyAlignment="1">
      <alignment horizontal="left"/>
    </xf>
    <xf numFmtId="43" fontId="16" fillId="0" borderId="0" xfId="7" applyFont="1" applyAlignment="1">
      <alignment horizontal="center"/>
    </xf>
    <xf numFmtId="43" fontId="14" fillId="0" borderId="0" xfId="6" applyNumberFormat="1" applyFont="1"/>
    <xf numFmtId="167" fontId="14" fillId="0" borderId="0" xfId="6" applyNumberFormat="1" applyFont="1"/>
    <xf numFmtId="0" fontId="14" fillId="0" borderId="0" xfId="6" applyFont="1" applyAlignment="1">
      <alignment horizontal="center"/>
    </xf>
    <xf numFmtId="43" fontId="16" fillId="0" borderId="0" xfId="8" applyFont="1"/>
    <xf numFmtId="43" fontId="16" fillId="0" borderId="0" xfId="8" applyFont="1" applyAlignment="1">
      <alignment horizontal="left"/>
    </xf>
    <xf numFmtId="43" fontId="16" fillId="0" borderId="0" xfId="8" applyFont="1" applyAlignment="1">
      <alignment horizontal="center"/>
    </xf>
    <xf numFmtId="0" fontId="16" fillId="0" borderId="0" xfId="6" applyFont="1" applyAlignment="1">
      <alignment horizontal="left"/>
    </xf>
    <xf numFmtId="44" fontId="16" fillId="0" borderId="0" xfId="9" applyFont="1"/>
    <xf numFmtId="167" fontId="16" fillId="0" borderId="0" xfId="9" applyNumberFormat="1" applyFont="1"/>
    <xf numFmtId="167" fontId="16" fillId="0" borderId="0" xfId="10" applyNumberFormat="1" applyFont="1"/>
    <xf numFmtId="0" fontId="15" fillId="0" borderId="0" xfId="6" applyFont="1" applyAlignment="1">
      <alignment horizontal="left"/>
    </xf>
    <xf numFmtId="43" fontId="18" fillId="0" borderId="0" xfId="7" applyFont="1"/>
    <xf numFmtId="0" fontId="19" fillId="0" borderId="0" xfId="11"/>
    <xf numFmtId="0" fontId="13" fillId="0" borderId="4" xfId="11" applyFont="1" applyBorder="1" applyAlignment="1">
      <alignment horizontal="center"/>
    </xf>
    <xf numFmtId="0" fontId="13" fillId="0" borderId="5" xfId="11" applyFont="1" applyBorder="1" applyAlignment="1">
      <alignment horizontal="center"/>
    </xf>
    <xf numFmtId="0" fontId="20" fillId="0" borderId="0" xfId="11" applyFont="1" applyAlignment="1">
      <alignment horizontal="center"/>
    </xf>
    <xf numFmtId="0" fontId="19" fillId="0" borderId="12" xfId="11" applyBorder="1"/>
    <xf numFmtId="44" fontId="19" fillId="0" borderId="2" xfId="11" applyNumberFormat="1" applyBorder="1" applyAlignment="1">
      <alignment horizontal="left"/>
    </xf>
    <xf numFmtId="44" fontId="0" fillId="0" borderId="0" xfId="10" applyFont="1"/>
    <xf numFmtId="0" fontId="19" fillId="0" borderId="6" xfId="11" applyBorder="1"/>
    <xf numFmtId="44" fontId="19" fillId="0" borderId="1" xfId="11" applyNumberFormat="1" applyBorder="1" applyAlignment="1">
      <alignment horizontal="left"/>
    </xf>
    <xf numFmtId="0" fontId="17" fillId="5" borderId="11" xfId="6" applyFont="1" applyFill="1" applyBorder="1" applyAlignment="1">
      <alignment horizontal="center" vertical="center" wrapText="1"/>
    </xf>
    <xf numFmtId="0" fontId="14" fillId="0" borderId="0" xfId="6" applyFont="1" applyFill="1"/>
    <xf numFmtId="0" fontId="17" fillId="5" borderId="0" xfId="6" applyFont="1" applyFill="1" applyAlignment="1">
      <alignment horizontal="center" vertical="center" wrapText="1"/>
    </xf>
    <xf numFmtId="167" fontId="17" fillId="5" borderId="0" xfId="6" applyNumberFormat="1" applyFont="1" applyFill="1" applyAlignment="1">
      <alignment horizontal="center" vertical="center" wrapText="1"/>
    </xf>
    <xf numFmtId="43" fontId="17" fillId="5" borderId="11" xfId="7" applyFont="1" applyFill="1" applyBorder="1" applyAlignment="1">
      <alignment horizontal="center" vertical="center" wrapText="1"/>
    </xf>
    <xf numFmtId="0" fontId="14" fillId="0" borderId="0" xfId="6" applyFont="1" applyAlignment="1">
      <alignment horizontal="center" vertical="center" wrapText="1"/>
    </xf>
    <xf numFmtId="44" fontId="18" fillId="0" borderId="0" xfId="1" applyFont="1"/>
    <xf numFmtId="43" fontId="17" fillId="5" borderId="0" xfId="7" applyFont="1" applyFill="1" applyBorder="1" applyAlignment="1">
      <alignment horizontal="center" vertical="center" wrapText="1"/>
    </xf>
    <xf numFmtId="44" fontId="19" fillId="0" borderId="1" xfId="11" applyNumberFormat="1" applyFill="1" applyBorder="1" applyAlignment="1">
      <alignment horizontal="left"/>
    </xf>
    <xf numFmtId="0" fontId="17" fillId="5" borderId="0" xfId="6" applyFont="1" applyFill="1" applyBorder="1" applyAlignment="1">
      <alignment horizontal="center" vertical="center" wrapText="1"/>
    </xf>
    <xf numFmtId="0" fontId="21" fillId="0" borderId="1" xfId="6" applyFont="1" applyBorder="1" applyAlignment="1">
      <alignment vertical="center" wrapText="1"/>
    </xf>
    <xf numFmtId="43" fontId="22" fillId="0" borderId="1" xfId="7" applyFont="1" applyBorder="1" applyAlignment="1">
      <alignment horizontal="center" vertical="center" wrapText="1"/>
    </xf>
    <xf numFmtId="0" fontId="15" fillId="0" borderId="0" xfId="6" applyFont="1" applyFill="1"/>
    <xf numFmtId="0" fontId="21" fillId="0" borderId="1" xfId="6" applyFont="1" applyBorder="1" applyAlignment="1">
      <alignment horizontal="center" vertical="center" wrapText="1"/>
    </xf>
    <xf numFmtId="164" fontId="3" fillId="0" borderId="1" xfId="0" applyNumberFormat="1" applyFont="1" applyBorder="1" applyAlignment="1">
      <alignment horizontal="center"/>
    </xf>
    <xf numFmtId="164" fontId="3" fillId="0" borderId="1" xfId="1" applyNumberFormat="1" applyFont="1" applyFill="1" applyBorder="1" applyAlignment="1">
      <alignment horizontal="center"/>
    </xf>
    <xf numFmtId="0" fontId="14" fillId="6" borderId="0" xfId="6" applyFont="1" applyFill="1"/>
    <xf numFmtId="0" fontId="2" fillId="0" borderId="6" xfId="11" applyFont="1" applyBorder="1"/>
    <xf numFmtId="44" fontId="19" fillId="7" borderId="1" xfId="11" applyNumberFormat="1" applyFill="1" applyBorder="1" applyAlignment="1">
      <alignment horizontal="left"/>
    </xf>
    <xf numFmtId="0" fontId="20" fillId="0" borderId="13" xfId="11" applyFont="1" applyBorder="1"/>
    <xf numFmtId="44" fontId="20" fillId="0" borderId="14" xfId="11" applyNumberFormat="1" applyFont="1" applyBorder="1" applyAlignment="1">
      <alignment horizontal="left"/>
    </xf>
    <xf numFmtId="0" fontId="6" fillId="0" borderId="0" xfId="0" applyFont="1"/>
    <xf numFmtId="0" fontId="21" fillId="0" borderId="8" xfId="6" applyFont="1" applyBorder="1" applyAlignment="1">
      <alignment horizontal="center" vertical="center" wrapText="1"/>
    </xf>
    <xf numFmtId="44" fontId="6" fillId="0" borderId="0" xfId="1" applyFont="1"/>
    <xf numFmtId="0" fontId="4" fillId="0" borderId="0" xfId="1" applyNumberFormat="1" applyFont="1" applyAlignment="1">
      <alignment horizontal="center"/>
    </xf>
    <xf numFmtId="164" fontId="5" fillId="8" borderId="1" xfId="1" applyNumberFormat="1" applyFont="1" applyFill="1" applyBorder="1" applyAlignment="1">
      <alignment horizontal="center"/>
    </xf>
    <xf numFmtId="164" fontId="4" fillId="8" borderId="1" xfId="1" applyNumberFormat="1" applyFont="1" applyFill="1" applyBorder="1" applyAlignment="1">
      <alignment horizontal="center"/>
    </xf>
    <xf numFmtId="164" fontId="11" fillId="8" borderId="1" xfId="1" applyNumberFormat="1" applyFont="1" applyFill="1" applyBorder="1" applyAlignment="1">
      <alignment horizontal="center"/>
    </xf>
    <xf numFmtId="0" fontId="3" fillId="8" borderId="1" xfId="0" applyFont="1" applyFill="1" applyBorder="1"/>
    <xf numFmtId="0" fontId="6" fillId="8" borderId="1" xfId="0" applyFont="1" applyFill="1" applyBorder="1"/>
    <xf numFmtId="0" fontId="14" fillId="0" borderId="0" xfId="6" applyFont="1" applyAlignment="1">
      <alignment vertical="center"/>
    </xf>
    <xf numFmtId="0" fontId="14" fillId="0" borderId="0" xfId="6" applyFont="1" applyAlignment="1">
      <alignment horizontal="left" vertical="center"/>
    </xf>
    <xf numFmtId="43" fontId="16" fillId="0" borderId="0" xfId="7" applyFont="1" applyAlignment="1">
      <alignment vertical="center"/>
    </xf>
    <xf numFmtId="43" fontId="16" fillId="0" borderId="0" xfId="7" applyFont="1" applyAlignment="1">
      <alignment horizontal="left" vertical="center"/>
    </xf>
    <xf numFmtId="43" fontId="14" fillId="0" borderId="0" xfId="6" applyNumberFormat="1" applyFont="1" applyAlignment="1">
      <alignment vertical="center"/>
    </xf>
    <xf numFmtId="0" fontId="13" fillId="0" borderId="15" xfId="11" applyFont="1" applyBorder="1" applyAlignment="1">
      <alignment horizontal="center"/>
    </xf>
    <xf numFmtId="44" fontId="19" fillId="0" borderId="16" xfId="11" applyNumberFormat="1" applyBorder="1"/>
    <xf numFmtId="44" fontId="19" fillId="0" borderId="8" xfId="11" applyNumberFormat="1" applyBorder="1"/>
    <xf numFmtId="0" fontId="8" fillId="0" borderId="0" xfId="0" applyFont="1" applyAlignment="1">
      <alignment horizontal="left" vertical="top" wrapText="1"/>
    </xf>
    <xf numFmtId="0" fontId="6" fillId="0" borderId="0" xfId="0" applyFont="1" applyAlignment="1">
      <alignment horizontal="left" vertical="center" wrapText="1"/>
    </xf>
    <xf numFmtId="0" fontId="21" fillId="0" borderId="3" xfId="6" applyNumberFormat="1" applyFont="1" applyBorder="1" applyAlignment="1">
      <alignment horizontal="left" vertical="center" wrapText="1"/>
    </xf>
    <xf numFmtId="0" fontId="21" fillId="0" borderId="10" xfId="6" applyNumberFormat="1" applyFont="1" applyBorder="1" applyAlignment="1">
      <alignment horizontal="left" vertical="center" wrapText="1"/>
    </xf>
    <xf numFmtId="0" fontId="21" fillId="0" borderId="8" xfId="6" applyNumberFormat="1" applyFont="1" applyBorder="1" applyAlignment="1">
      <alignment horizontal="left" vertical="center" wrapText="1"/>
    </xf>
  </cellXfs>
  <cellStyles count="13">
    <cellStyle name="Comma 2" xfId="7" xr:uid="{9D732E43-956C-47A6-B1ED-EAE52CF4AA1C}"/>
    <cellStyle name="Comma 3" xfId="8" xr:uid="{1B324FF2-2ED4-4AC0-9359-1B8D1DB66F73}"/>
    <cellStyle name="Currency" xfId="1" builtinId="4"/>
    <cellStyle name="Currency 2" xfId="9" xr:uid="{3A40E02D-A8FA-49BF-947C-2DC9D3302EC3}"/>
    <cellStyle name="Currency 3" xfId="10" xr:uid="{EA4C965B-9442-44B6-ADD0-8B85F55BB8F4}"/>
    <cellStyle name="Normal" xfId="0" builtinId="0"/>
    <cellStyle name="Normal 2" xfId="3" xr:uid="{00000000-0005-0000-0000-000003000000}"/>
    <cellStyle name="Normal 2 2" xfId="4" xr:uid="{00000000-0005-0000-0000-000004000000}"/>
    <cellStyle name="Normal 2 3" xfId="6" xr:uid="{ADC54DB2-8C52-4D3E-BCDF-9F2E77839BE5}"/>
    <cellStyle name="Normal 3" xfId="5" xr:uid="{824F83F5-497C-43E6-93A3-1029B377E6B0}"/>
    <cellStyle name="Normal 4" xfId="11" xr:uid="{FC19AA43-3839-4B64-844F-43CC42A82068}"/>
    <cellStyle name="Normal 7 2" xfId="2" xr:uid="{00000000-0005-0000-0000-000005000000}"/>
    <cellStyle name="Percent 10 10" xfId="12" xr:uid="{94FF3549-8432-4508-B5FB-DF4A5496FE7A}"/>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rmyeitaas-my.sharepoint-mil.us/personal/cody_l_colvin_civ_army_mil/Documents/Desktop/Cases/Pre-Award/TSC/OTC%20BTSS%20Follow-On/Prior%20(Current)%20Contract%20Docs/Copy%20of%20WESTECH,%20Volume%20IV%20-%20Attachment%205%20-%20Revision%201.xlsx" TargetMode="External"/><Relationship Id="rId1" Type="http://schemas.openxmlformats.org/officeDocument/2006/relationships/externalLinkPath" Target="Prior%20(Current)%20Contract%20Docs/Copy%20of%20WESTECH,%20Volume%20IV%20-%20Attachment%205%20-%20Revision%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1512308712.CIV\AppData\Local\Microsoft\Windows\INetCache\Content.Outlook\CETIK492\Formatted%20-%20YPG%20MTSS_Volume%20IV_Cost_Workbook_Astrion_FPR.xlsx" TargetMode="External"/><Relationship Id="rId1" Type="http://schemas.openxmlformats.org/officeDocument/2006/relationships/externalLinkPath" Target="file:///C:\Users\1512308712.CIV\AppData\Local\Microsoft\Windows\INetCache\Content.Outlook\CETIK492\Formatted%20-%20YPG%20MTSS_Volume%20IV_Cost_Workbook_Astrion_FP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harepoint2013.traxintl.com/sites/corporate/bd/Proposals/costproposals/archived/ARMY_TRTC/TTSS_Extension_(Nov_2018-May_2019)/CostPrice/FINAL/TTSS%20Extension%20Cost%20Workbook-Nov%202018-May%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Summary"/>
      <sheetName val="Phase-in"/>
      <sheetName val="Base Year"/>
      <sheetName val="Year 2"/>
      <sheetName val="Year 3"/>
      <sheetName val="Year 4"/>
      <sheetName val="Year 5"/>
      <sheetName val="SECTION B"/>
      <sheetName val="Contract Summary"/>
      <sheetName val="ODC Summary"/>
      <sheetName val="Labor build-up"/>
      <sheetName val="Subcontractor Cost"/>
      <sheetName val="Allocation Rates"/>
      <sheetName val="Fringe Rate Forecast"/>
      <sheetName val="OH Rate Forecast"/>
      <sheetName val="G&amp;A Rate Forecast"/>
      <sheetName val="Fringe build-up"/>
      <sheetName val="BOE"/>
      <sheetName val="Rates Table"/>
      <sheetName val="Labor Rates"/>
      <sheetName val="WD Rates"/>
      <sheetName val="Productive Hou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A3" t="str">
            <v>Base Year</v>
          </cell>
          <cell r="C3">
            <v>1956691</v>
          </cell>
        </row>
        <row r="4">
          <cell r="A4" t="str">
            <v>Year 2</v>
          </cell>
          <cell r="C4">
            <v>2015392</v>
          </cell>
        </row>
        <row r="5">
          <cell r="A5" t="str">
            <v>Year 3</v>
          </cell>
          <cell r="C5">
            <v>2075853</v>
          </cell>
        </row>
        <row r="6">
          <cell r="A6" t="str">
            <v>Year 4</v>
          </cell>
          <cell r="C6">
            <v>2138129</v>
          </cell>
        </row>
        <row r="7">
          <cell r="A7" t="str">
            <v>Year 5</v>
          </cell>
          <cell r="C7">
            <v>2202273</v>
          </cell>
        </row>
        <row r="13">
          <cell r="A13" t="str">
            <v>Base Year</v>
          </cell>
          <cell r="C13">
            <v>50000</v>
          </cell>
        </row>
        <row r="14">
          <cell r="A14" t="str">
            <v>Year 2</v>
          </cell>
          <cell r="C14">
            <v>50000</v>
          </cell>
        </row>
        <row r="15">
          <cell r="A15" t="str">
            <v>Year 3</v>
          </cell>
          <cell r="C15">
            <v>50000</v>
          </cell>
        </row>
        <row r="16">
          <cell r="A16" t="str">
            <v>Year 4</v>
          </cell>
          <cell r="C16">
            <v>50000</v>
          </cell>
        </row>
        <row r="17">
          <cell r="A17" t="str">
            <v>Year 5</v>
          </cell>
          <cell r="C17">
            <v>50000</v>
          </cell>
        </row>
      </sheetData>
      <sheetData sheetId="11" refreshError="1"/>
      <sheetData sheetId="12">
        <row r="3">
          <cell r="A3" t="str">
            <v>Base Year</v>
          </cell>
          <cell r="E3" t="str">
            <v>Data/Site Manager</v>
          </cell>
          <cell r="I3" t="str">
            <v>Ft. Bragg</v>
          </cell>
          <cell r="L3">
            <v>45.988994257217918</v>
          </cell>
          <cell r="Q3">
            <v>78579.861520833016</v>
          </cell>
        </row>
        <row r="4">
          <cell r="A4" t="str">
            <v>Base Year</v>
          </cell>
          <cell r="E4" t="str">
            <v>Electronic Technician II</v>
          </cell>
          <cell r="I4" t="str">
            <v>Ft. Bragg</v>
          </cell>
          <cell r="L4">
            <v>39.274601095664103</v>
          </cell>
          <cell r="Q4">
            <v>134214.40347758279</v>
          </cell>
        </row>
        <row r="5">
          <cell r="A5" t="str">
            <v>Base Year</v>
          </cell>
          <cell r="E5" t="str">
            <v>Photographer IV (on call)</v>
          </cell>
          <cell r="I5" t="str">
            <v>Ft. Bragg</v>
          </cell>
          <cell r="L5">
            <v>38.339491545767345</v>
          </cell>
          <cell r="Q5">
            <v>43860.378328357845</v>
          </cell>
        </row>
        <row r="6">
          <cell r="A6" t="str">
            <v>Base Year</v>
          </cell>
          <cell r="E6" t="str">
            <v>Data Authentication Group (DAG) Specialist</v>
          </cell>
          <cell r="I6" t="str">
            <v>Ft. Hood</v>
          </cell>
          <cell r="L6">
            <v>23.393068412171516</v>
          </cell>
          <cell r="Q6">
            <v>144900.56458972572</v>
          </cell>
        </row>
        <row r="7">
          <cell r="A7" t="str">
            <v>Base Year</v>
          </cell>
          <cell r="E7" t="str">
            <v>Data Collector/General Clerk I</v>
          </cell>
          <cell r="I7" t="str">
            <v>Ft. Hood</v>
          </cell>
          <cell r="L7">
            <v>19.57598188882243</v>
          </cell>
          <cell r="Q7">
            <v>124470.61817642927</v>
          </cell>
        </row>
        <row r="8">
          <cell r="A8" t="str">
            <v>Base Year</v>
          </cell>
          <cell r="E8" t="str">
            <v>Data Entry Operator</v>
          </cell>
          <cell r="I8" t="str">
            <v>Ft. Hood</v>
          </cell>
          <cell r="L8">
            <v>19.361366582288746</v>
          </cell>
          <cell r="Q8">
            <v>1755914.60429207</v>
          </cell>
        </row>
        <row r="9">
          <cell r="A9" t="str">
            <v>Base Year</v>
          </cell>
          <cell r="E9" t="str">
            <v>Data Manager</v>
          </cell>
          <cell r="I9" t="str">
            <v>Ft. Hood</v>
          </cell>
          <cell r="L9">
            <v>30.475373527783074</v>
          </cell>
          <cell r="Q9">
            <v>692552.86341887037</v>
          </cell>
        </row>
        <row r="10">
          <cell r="A10" t="str">
            <v>Base Year</v>
          </cell>
          <cell r="E10" t="str">
            <v>Data Quality Control (QC)</v>
          </cell>
          <cell r="I10" t="str">
            <v>Ft. Hood</v>
          </cell>
          <cell r="L10">
            <v>26.167737732356997</v>
          </cell>
          <cell r="Q10">
            <v>71132.633735790427</v>
          </cell>
        </row>
        <row r="11">
          <cell r="A11" t="str">
            <v>Base Year</v>
          </cell>
          <cell r="E11" t="str">
            <v>Document Control Specialist</v>
          </cell>
          <cell r="I11" t="str">
            <v>Ft. Hood</v>
          </cell>
          <cell r="L11">
            <v>24.20554064404903</v>
          </cell>
          <cell r="Q11">
            <v>278807.48565170472</v>
          </cell>
        </row>
        <row r="12">
          <cell r="A12" t="str">
            <v>Base Year</v>
          </cell>
          <cell r="E12" t="str">
            <v>Lead Data Collector</v>
          </cell>
          <cell r="I12" t="str">
            <v>Ft. Hood</v>
          </cell>
          <cell r="L12">
            <v>24.20554064404903</v>
          </cell>
          <cell r="Q12">
            <v>389104.06585308816</v>
          </cell>
        </row>
        <row r="13">
          <cell r="A13" t="str">
            <v>Base Year Total</v>
          </cell>
          <cell r="Q13">
            <v>3713537.4790444523</v>
          </cell>
        </row>
        <row r="14">
          <cell r="A14" t="str">
            <v>Year 2</v>
          </cell>
          <cell r="E14" t="str">
            <v>Data/Site Manager</v>
          </cell>
          <cell r="I14" t="str">
            <v>Ft. Bragg</v>
          </cell>
          <cell r="L14">
            <v>47.312346475004759</v>
          </cell>
          <cell r="Q14">
            <v>88190.213829408865</v>
          </cell>
        </row>
        <row r="15">
          <cell r="A15" t="str">
            <v>Year 2</v>
          </cell>
          <cell r="E15" t="str">
            <v>Electronic Technician II</v>
          </cell>
          <cell r="I15" t="str">
            <v>Ft. Bragg</v>
          </cell>
          <cell r="L15">
            <v>39.419262331369815</v>
          </cell>
          <cell r="Q15">
            <v>146955.00997134668</v>
          </cell>
        </row>
        <row r="16">
          <cell r="A16" t="str">
            <v>Year 2</v>
          </cell>
          <cell r="E16" t="str">
            <v>Photographer IV (on call)</v>
          </cell>
          <cell r="I16" t="str">
            <v>Ft. Bragg</v>
          </cell>
          <cell r="L16">
            <v>38.480708466337205</v>
          </cell>
          <cell r="Q16">
            <v>48023.924165988836</v>
          </cell>
        </row>
        <row r="17">
          <cell r="A17" t="str">
            <v>Year 2</v>
          </cell>
          <cell r="E17" t="str">
            <v>Data Authentication Group (DAG) Specialist</v>
          </cell>
          <cell r="I17" t="str">
            <v>Ft. Hood</v>
          </cell>
          <cell r="L17">
            <v>23.479232754750328</v>
          </cell>
          <cell r="Q17">
            <v>158543.51917645158</v>
          </cell>
        </row>
        <row r="18">
          <cell r="A18" t="str">
            <v>Year 2</v>
          </cell>
          <cell r="E18" t="str">
            <v>Data Collector/General Clerk I</v>
          </cell>
          <cell r="I18" t="str">
            <v>Ft. Hood</v>
          </cell>
          <cell r="L18">
            <v>19.648086649945064</v>
          </cell>
          <cell r="Q18">
            <v>133606.98921962644</v>
          </cell>
        </row>
        <row r="19">
          <cell r="A19" t="str">
            <v>Year 2</v>
          </cell>
          <cell r="E19" t="str">
            <v>Data Entry Operator</v>
          </cell>
          <cell r="I19" t="str">
            <v>Ft. Hood</v>
          </cell>
          <cell r="L19">
            <v>19.432680844855614</v>
          </cell>
          <cell r="Q19">
            <v>1919948.8674717348</v>
          </cell>
        </row>
        <row r="20">
          <cell r="A20" t="str">
            <v>Year 2</v>
          </cell>
          <cell r="E20" t="str">
            <v>Data Manager</v>
          </cell>
          <cell r="I20" t="str">
            <v>Ft. Hood</v>
          </cell>
          <cell r="L20">
            <v>30.587624322702261</v>
          </cell>
          <cell r="Q20">
            <v>757043.70198688097</v>
          </cell>
        </row>
        <row r="21">
          <cell r="A21" t="str">
            <v>Year 2</v>
          </cell>
          <cell r="E21" t="str">
            <v>Data Quality Control (QC)</v>
          </cell>
          <cell r="I21" t="str">
            <v>Ft. Hood</v>
          </cell>
          <cell r="L21">
            <v>26.264122091978251</v>
          </cell>
          <cell r="Q21">
            <v>77741.801392255627</v>
          </cell>
        </row>
        <row r="22">
          <cell r="A22" t="str">
            <v>Year 2</v>
          </cell>
          <cell r="E22" t="str">
            <v>Document Control Specialist</v>
          </cell>
          <cell r="I22" t="str">
            <v>Ft. Hood</v>
          </cell>
          <cell r="L22">
            <v>24.294697588303254</v>
          </cell>
          <cell r="Q22">
            <v>305141.40170908882</v>
          </cell>
        </row>
        <row r="23">
          <cell r="A23" t="str">
            <v>Year 2</v>
          </cell>
          <cell r="E23" t="str">
            <v>Lead Data Collector</v>
          </cell>
          <cell r="I23" t="str">
            <v>Ft. Hood</v>
          </cell>
          <cell r="L23">
            <v>24.294697588303254</v>
          </cell>
          <cell r="Q23">
            <v>424549.84035559936</v>
          </cell>
        </row>
        <row r="24">
          <cell r="A24" t="str">
            <v>Year 2 Total</v>
          </cell>
          <cell r="Q24">
            <v>4059745.269278382</v>
          </cell>
        </row>
        <row r="25">
          <cell r="A25" t="str">
            <v>Year 3</v>
          </cell>
          <cell r="E25" t="str">
            <v>Data/Site Manager</v>
          </cell>
          <cell r="I25" t="str">
            <v>Ft. Bragg</v>
          </cell>
          <cell r="L25">
            <v>48.458586035047723</v>
          </cell>
          <cell r="Q25">
            <v>90326.804369328951</v>
          </cell>
        </row>
        <row r="26">
          <cell r="A26" t="str">
            <v>Year 3</v>
          </cell>
          <cell r="E26" t="str">
            <v>Electronic Technician II</v>
          </cell>
          <cell r="I26" t="str">
            <v>Ft. Bragg</v>
          </cell>
          <cell r="L26">
            <v>39.38797507036557</v>
          </cell>
          <cell r="Q26">
            <v>146838.37106232284</v>
          </cell>
        </row>
        <row r="27">
          <cell r="A27" t="str">
            <v>Year 3</v>
          </cell>
          <cell r="E27" t="str">
            <v>Photographer IV (on call)</v>
          </cell>
          <cell r="I27" t="str">
            <v>Ft. Bragg</v>
          </cell>
          <cell r="L27">
            <v>38.450166140118768</v>
          </cell>
          <cell r="Q27">
            <v>47985.807342868226</v>
          </cell>
        </row>
        <row r="28">
          <cell r="A28" t="str">
            <v>Year 3</v>
          </cell>
          <cell r="E28" t="str">
            <v>Data Authentication Group (DAG) Specialist</v>
          </cell>
          <cell r="I28" t="str">
            <v>Ft. Hood</v>
          </cell>
          <cell r="L28">
            <v>23.46059717305927</v>
          </cell>
          <cell r="Q28">
            <v>158417.6824110827</v>
          </cell>
        </row>
        <row r="29">
          <cell r="A29" t="str">
            <v>Year 3</v>
          </cell>
          <cell r="E29" t="str">
            <v>Data Collector/General Clerk I</v>
          </cell>
          <cell r="I29" t="str">
            <v>Ft. Hood</v>
          </cell>
          <cell r="L29">
            <v>19.632491867625614</v>
          </cell>
          <cell r="Q29">
            <v>133500.94469985418</v>
          </cell>
        </row>
        <row r="30">
          <cell r="A30" t="str">
            <v>Year 3</v>
          </cell>
          <cell r="E30" t="str">
            <v>Data Entry Operator</v>
          </cell>
          <cell r="I30" t="str">
            <v>Ft. Hood</v>
          </cell>
          <cell r="L30">
            <v>19.417257031175531</v>
          </cell>
          <cell r="Q30">
            <v>1918424.9946801423</v>
          </cell>
        </row>
        <row r="31">
          <cell r="A31" t="str">
            <v>Year 3</v>
          </cell>
          <cell r="E31" t="str">
            <v>Data Manager</v>
          </cell>
          <cell r="I31" t="str">
            <v>Ft. Hood</v>
          </cell>
          <cell r="L31">
            <v>30.563346775912077</v>
          </cell>
          <cell r="Q31">
            <v>756442.83270382381</v>
          </cell>
        </row>
        <row r="32">
          <cell r="A32" t="str">
            <v>Year 3</v>
          </cell>
          <cell r="E32" t="str">
            <v>Data Quality Control (QC)</v>
          </cell>
          <cell r="I32" t="str">
            <v>Ft. Hood</v>
          </cell>
          <cell r="L32">
            <v>26.243276130021087</v>
          </cell>
          <cell r="Q32">
            <v>77680.097344862414</v>
          </cell>
        </row>
        <row r="33">
          <cell r="A33" t="str">
            <v>Year 3</v>
          </cell>
          <cell r="E33" t="str">
            <v>Document Control Specialist</v>
          </cell>
          <cell r="I33" t="str">
            <v>Ft. Hood</v>
          </cell>
          <cell r="L33">
            <v>24.275414768191734</v>
          </cell>
          <cell r="Q33">
            <v>304899.20948848821</v>
          </cell>
        </row>
        <row r="34">
          <cell r="A34" t="str">
            <v>Year 3</v>
          </cell>
          <cell r="E34" t="str">
            <v>Lead Data Collector</v>
          </cell>
          <cell r="I34" t="str">
            <v>Ft. Hood</v>
          </cell>
          <cell r="L34">
            <v>24.275414768191734</v>
          </cell>
          <cell r="Q34">
            <v>424212.87307415053</v>
          </cell>
        </row>
        <row r="35">
          <cell r="A35" t="str">
            <v>Year 3 Total</v>
          </cell>
          <cell r="Q35">
            <v>4058729.6171769239</v>
          </cell>
        </row>
        <row r="36">
          <cell r="A36" t="str">
            <v>Year 4</v>
          </cell>
          <cell r="E36" t="str">
            <v>Data/Site Manager</v>
          </cell>
          <cell r="I36" t="str">
            <v>Ft. Bragg</v>
          </cell>
          <cell r="L36">
            <v>49.635649928403453</v>
          </cell>
          <cell r="Q36">
            <v>92520.851466544031</v>
          </cell>
        </row>
        <row r="37">
          <cell r="A37" t="str">
            <v>Year 4</v>
          </cell>
          <cell r="E37" t="str">
            <v>Electronic Technician II</v>
          </cell>
          <cell r="I37" t="str">
            <v>Ft. Bragg</v>
          </cell>
          <cell r="L37">
            <v>39.35825908900329</v>
          </cell>
          <cell r="Q37">
            <v>146727.58988380426</v>
          </cell>
        </row>
        <row r="38">
          <cell r="A38" t="str">
            <v>Year 4</v>
          </cell>
          <cell r="E38" t="str">
            <v>Photographer IV (on call)</v>
          </cell>
          <cell r="I38" t="str">
            <v>Ft. Bragg</v>
          </cell>
          <cell r="L38">
            <v>38.421157682122264</v>
          </cell>
          <cell r="Q38">
            <v>47949.604787288583</v>
          </cell>
        </row>
        <row r="39">
          <cell r="A39" t="str">
            <v>Year 4</v>
          </cell>
          <cell r="E39" t="str">
            <v>Data Authentication Group (DAG) Specialist</v>
          </cell>
          <cell r="I39" t="str">
            <v>Ft. Hood</v>
          </cell>
          <cell r="L39">
            <v>23.442897490171358</v>
          </cell>
          <cell r="Q39">
            <v>158298.16530238208</v>
          </cell>
        </row>
        <row r="40">
          <cell r="A40" t="str">
            <v>Year 4</v>
          </cell>
          <cell r="E40" t="str">
            <v>Data Collector/General Clerk I</v>
          </cell>
          <cell r="I40" t="str">
            <v>Ft. Hood</v>
          </cell>
          <cell r="L40">
            <v>19.617680271919284</v>
          </cell>
          <cell r="Q40">
            <v>133400.22584905114</v>
          </cell>
        </row>
        <row r="41">
          <cell r="A41" t="str">
            <v>Year 4</v>
          </cell>
          <cell r="E41" t="str">
            <v>Data Entry Operator</v>
          </cell>
          <cell r="I41" t="str">
            <v>Ft. Hood</v>
          </cell>
          <cell r="L41">
            <v>19.402607817881016</v>
          </cell>
          <cell r="Q41">
            <v>1916977.6524066443</v>
          </cell>
        </row>
        <row r="42">
          <cell r="A42" t="str">
            <v>Year 4</v>
          </cell>
          <cell r="E42" t="str">
            <v>Data Manager</v>
          </cell>
          <cell r="I42" t="str">
            <v>Ft. Hood</v>
          </cell>
          <cell r="L42">
            <v>30.540288473434245</v>
          </cell>
          <cell r="Q42">
            <v>755872.13971749751</v>
          </cell>
        </row>
        <row r="43">
          <cell r="A43" t="str">
            <v>Year 4</v>
          </cell>
          <cell r="E43" t="str">
            <v>Data Quality Control (QC)</v>
          </cell>
          <cell r="I43" t="str">
            <v>Ft. Hood</v>
          </cell>
          <cell r="L43">
            <v>26.22347707452327</v>
          </cell>
          <cell r="Q43">
            <v>77621.492140588874</v>
          </cell>
        </row>
        <row r="44">
          <cell r="A44" t="str">
            <v>Year 4</v>
          </cell>
          <cell r="E44" t="str">
            <v>Document Control Specialist</v>
          </cell>
          <cell r="I44" t="str">
            <v>Ft. Hood</v>
          </cell>
          <cell r="L44">
            <v>24.257100351887662</v>
          </cell>
          <cell r="Q44">
            <v>304669.18041970901</v>
          </cell>
        </row>
        <row r="45">
          <cell r="A45" t="str">
            <v>Year 4</v>
          </cell>
          <cell r="E45" t="str">
            <v>Lead Data Collector</v>
          </cell>
          <cell r="I45" t="str">
            <v>Ft. Hood</v>
          </cell>
          <cell r="L45">
            <v>24.257100351887662</v>
          </cell>
          <cell r="Q45">
            <v>423892.82864923694</v>
          </cell>
        </row>
        <row r="46">
          <cell r="A46" t="str">
            <v>Year 4 Total</v>
          </cell>
          <cell r="Q46">
            <v>4057929.7306227465</v>
          </cell>
        </row>
        <row r="47">
          <cell r="A47" t="str">
            <v>Year 5</v>
          </cell>
          <cell r="E47" t="str">
            <v>Data/Site Manager</v>
          </cell>
          <cell r="I47" t="str">
            <v>Ft. Bragg</v>
          </cell>
          <cell r="L47">
            <v>50.659355039115802</v>
          </cell>
          <cell r="Q47">
            <v>94429.037792911855</v>
          </cell>
        </row>
        <row r="48">
          <cell r="A48" t="str">
            <v>Year 5</v>
          </cell>
          <cell r="E48" t="str">
            <v>Electronic Technician II</v>
          </cell>
          <cell r="I48" t="str">
            <v>Ft. Bragg</v>
          </cell>
          <cell r="L48">
            <v>39.1875808001856</v>
          </cell>
          <cell r="Q48">
            <v>146091.30122309193</v>
          </cell>
        </row>
        <row r="49">
          <cell r="A49" t="str">
            <v>Year 5</v>
          </cell>
          <cell r="E49" t="str">
            <v>Photographer IV (on call)</v>
          </cell>
          <cell r="I49" t="str">
            <v>Ft. Bragg</v>
          </cell>
          <cell r="L49">
            <v>38.254543162085945</v>
          </cell>
          <cell r="Q49">
            <v>47741.669866283257</v>
          </cell>
        </row>
        <row r="50">
          <cell r="A50" t="str">
            <v>Year 5</v>
          </cell>
          <cell r="E50" t="str">
            <v>Data Authentication Group (DAG) Specialist</v>
          </cell>
          <cell r="I50" t="str">
            <v>Ft. Hood</v>
          </cell>
          <cell r="L50">
            <v>23.341236651476667</v>
          </cell>
          <cell r="Q50">
            <v>157611.70048909617</v>
          </cell>
        </row>
        <row r="51">
          <cell r="A51" t="str">
            <v>Year 5</v>
          </cell>
          <cell r="E51" t="str">
            <v>Data Collector/General Clerk I</v>
          </cell>
          <cell r="I51" t="str">
            <v>Ft. Hood</v>
          </cell>
          <cell r="L51">
            <v>19.532607604151838</v>
          </cell>
          <cell r="Q51">
            <v>132821.73170823249</v>
          </cell>
        </row>
        <row r="52">
          <cell r="A52" t="str">
            <v>Year 5</v>
          </cell>
          <cell r="E52" t="str">
            <v>Data Entry Operator</v>
          </cell>
          <cell r="I52" t="str">
            <v>Ft. Hood</v>
          </cell>
          <cell r="L52">
            <v>19.318467818358474</v>
          </cell>
          <cell r="Q52">
            <v>1908664.6204538173</v>
          </cell>
        </row>
        <row r="53">
          <cell r="A53" t="str">
            <v>Year 5</v>
          </cell>
          <cell r="E53" t="str">
            <v>Data Manager</v>
          </cell>
          <cell r="I53" t="str">
            <v>Ft. Hood</v>
          </cell>
          <cell r="L53">
            <v>30.407849582657676</v>
          </cell>
          <cell r="Q53">
            <v>752594.27717077755</v>
          </cell>
        </row>
        <row r="54">
          <cell r="A54" t="str">
            <v>Year 5</v>
          </cell>
          <cell r="E54" t="str">
            <v>Data Quality Control (QC)</v>
          </cell>
          <cell r="I54" t="str">
            <v>Ft. Hood</v>
          </cell>
          <cell r="L54">
            <v>26.109758167805158</v>
          </cell>
          <cell r="Q54">
            <v>77284.884176703257</v>
          </cell>
        </row>
        <row r="55">
          <cell r="A55" t="str">
            <v>Year 5</v>
          </cell>
          <cell r="E55" t="str">
            <v>Document Control Specialist</v>
          </cell>
          <cell r="I55" t="str">
            <v>Ft. Hood</v>
          </cell>
          <cell r="L55">
            <v>24.151908697694402</v>
          </cell>
          <cell r="Q55">
            <v>303347.97324304166</v>
          </cell>
        </row>
        <row r="56">
          <cell r="A56" t="str">
            <v>Year 5</v>
          </cell>
          <cell r="E56" t="str">
            <v>Lead Data Collector</v>
          </cell>
          <cell r="I56" t="str">
            <v>Ft. Hood</v>
          </cell>
          <cell r="L56">
            <v>24.151908697694402</v>
          </cell>
          <cell r="Q56">
            <v>422054.60449220968</v>
          </cell>
        </row>
      </sheetData>
      <sheetData sheetId="13">
        <row r="1">
          <cell r="B1" t="str">
            <v>Base Year</v>
          </cell>
          <cell r="C1" t="str">
            <v>Year 2</v>
          </cell>
          <cell r="D1" t="str">
            <v>Year 3</v>
          </cell>
          <cell r="E1" t="str">
            <v>Year 4</v>
          </cell>
          <cell r="F1" t="str">
            <v>Year 5</v>
          </cell>
        </row>
        <row r="5">
          <cell r="B5">
            <v>0.40290694644017022</v>
          </cell>
          <cell r="C5">
            <v>0.39925911495715766</v>
          </cell>
          <cell r="D5">
            <v>0.39667014714585702</v>
          </cell>
          <cell r="E5">
            <v>0.39409407723653295</v>
          </cell>
          <cell r="F5">
            <v>0.39153163118308887</v>
          </cell>
        </row>
        <row r="12">
          <cell r="B12">
            <v>1.1846342367027484E-2</v>
          </cell>
          <cell r="C12">
            <v>1.1677914520627854E-2</v>
          </cell>
          <cell r="D12">
            <v>1.1487741620297616E-2</v>
          </cell>
          <cell r="E12">
            <v>1.1298935589359349E-2</v>
          </cell>
          <cell r="F12">
            <v>1.111152787859161E-2</v>
          </cell>
        </row>
        <row r="19">
          <cell r="B19">
            <v>5.3921992967508332E-2</v>
          </cell>
          <cell r="C19">
            <v>4.7514012463920861E-2</v>
          </cell>
          <cell r="D19">
            <v>4.2486996986289965E-2</v>
          </cell>
          <cell r="E19">
            <v>3.7553308816945651E-2</v>
          </cell>
          <cell r="F19">
            <v>3.7430506712041185E-2</v>
          </cell>
        </row>
        <row r="24">
          <cell r="B24">
            <v>0.06</v>
          </cell>
          <cell r="C24">
            <v>0.06</v>
          </cell>
          <cell r="D24">
            <v>0.06</v>
          </cell>
          <cell r="E24">
            <v>0.06</v>
          </cell>
          <cell r="F24">
            <v>0.06</v>
          </cell>
        </row>
      </sheetData>
      <sheetData sheetId="14" refreshError="1"/>
      <sheetData sheetId="15" refreshError="1"/>
      <sheetData sheetId="16" refreshError="1"/>
      <sheetData sheetId="17">
        <row r="3">
          <cell r="A3" t="str">
            <v>Base Year</v>
          </cell>
          <cell r="P3">
            <v>28415.126666666663</v>
          </cell>
          <cell r="Q3">
            <v>1219.5333333333335</v>
          </cell>
          <cell r="R3">
            <v>1219.5333333333335</v>
          </cell>
          <cell r="S3">
            <v>853.67333333333329</v>
          </cell>
          <cell r="T3">
            <v>7142.2266666666656</v>
          </cell>
          <cell r="U3">
            <v>2408.705786666666</v>
          </cell>
          <cell r="V3">
            <v>563.32635333333326</v>
          </cell>
          <cell r="W3">
            <v>42</v>
          </cell>
          <cell r="X3">
            <v>572.4</v>
          </cell>
          <cell r="Y3">
            <v>38.850093333333326</v>
          </cell>
          <cell r="Z3">
            <v>14060.248899999997</v>
          </cell>
        </row>
        <row r="4">
          <cell r="A4" t="str">
            <v>Base Year</v>
          </cell>
          <cell r="P4">
            <v>51353.066666666658</v>
          </cell>
          <cell r="Q4">
            <v>2203.9942775393424</v>
          </cell>
          <cell r="R4">
            <v>2203.9942775393424</v>
          </cell>
          <cell r="S4">
            <v>1542.7959942775394</v>
          </cell>
          <cell r="T4">
            <v>7351.2266666666656</v>
          </cell>
          <cell r="U4">
            <v>4008.6148287267524</v>
          </cell>
          <cell r="V4">
            <v>937.49862929899859</v>
          </cell>
          <cell r="W4">
            <v>43.229028482247372</v>
          </cell>
          <cell r="X4">
            <v>589.149902458057</v>
          </cell>
          <cell r="Y4">
            <v>64.655077882689554</v>
          </cell>
          <cell r="Z4">
            <v>18945.158682871635</v>
          </cell>
        </row>
        <row r="5">
          <cell r="A5" t="str">
            <v>Base Year</v>
          </cell>
          <cell r="P5">
            <v>59154.039999999994</v>
          </cell>
          <cell r="Q5">
            <v>2538.8000000000002</v>
          </cell>
          <cell r="R5">
            <v>2538.8000000000002</v>
          </cell>
          <cell r="S5">
            <v>1777.1599999999999</v>
          </cell>
          <cell r="T5">
            <v>14284.453333333331</v>
          </cell>
          <cell r="U5">
            <v>4978.1817066666663</v>
          </cell>
          <cell r="V5">
            <v>1164.2521733333333</v>
          </cell>
          <cell r="W5">
            <v>84</v>
          </cell>
          <cell r="X5">
            <v>1144.8</v>
          </cell>
          <cell r="Y5">
            <v>1340.8973306666664</v>
          </cell>
          <cell r="Z5">
            <v>29851.344544</v>
          </cell>
        </row>
        <row r="6">
          <cell r="A6" t="str">
            <v>Base Year</v>
          </cell>
          <cell r="P6">
            <v>194901.20666666664</v>
          </cell>
          <cell r="Q6">
            <v>8283.0560801144493</v>
          </cell>
          <cell r="R6">
            <v>8283.0560801144493</v>
          </cell>
          <cell r="S6">
            <v>5798.1392560801141</v>
          </cell>
          <cell r="T6">
            <v>42325.28666666666</v>
          </cell>
          <cell r="U6">
            <v>16094.626174477822</v>
          </cell>
          <cell r="V6">
            <v>3764.0657988698135</v>
          </cell>
          <cell r="W6">
            <v>248.89465470152166</v>
          </cell>
          <cell r="X6">
            <v>3392.0785797893095</v>
          </cell>
          <cell r="Y6">
            <v>4303.3352373190255</v>
          </cell>
          <cell r="Z6">
            <v>92492.538528133155</v>
          </cell>
        </row>
        <row r="7">
          <cell r="A7" t="str">
            <v>Base Year</v>
          </cell>
          <cell r="P7">
            <v>37659.013333333329</v>
          </cell>
          <cell r="Q7">
            <v>1616.2666666666669</v>
          </cell>
          <cell r="R7">
            <v>1616.2666666666669</v>
          </cell>
          <cell r="S7">
            <v>1131.3866666666668</v>
          </cell>
          <cell r="T7">
            <v>7142.2266666666656</v>
          </cell>
          <cell r="U7">
            <v>3048.23992</v>
          </cell>
          <cell r="V7">
            <v>712.8948200000001</v>
          </cell>
          <cell r="W7">
            <v>42</v>
          </cell>
          <cell r="X7">
            <v>572.4</v>
          </cell>
          <cell r="Y7">
            <v>49.165160000000007</v>
          </cell>
          <cell r="Z7">
            <v>15930.846566666665</v>
          </cell>
        </row>
        <row r="8">
          <cell r="A8" t="str">
            <v>Base Year</v>
          </cell>
          <cell r="P8">
            <v>0</v>
          </cell>
          <cell r="Q8">
            <v>0</v>
          </cell>
          <cell r="R8">
            <v>0</v>
          </cell>
          <cell r="S8">
            <v>0</v>
          </cell>
          <cell r="T8">
            <v>0</v>
          </cell>
          <cell r="U8">
            <v>0</v>
          </cell>
          <cell r="V8">
            <v>0</v>
          </cell>
          <cell r="W8">
            <v>0</v>
          </cell>
          <cell r="X8">
            <v>0</v>
          </cell>
          <cell r="Y8">
            <v>0</v>
          </cell>
          <cell r="Z8">
            <v>0</v>
          </cell>
        </row>
        <row r="9">
          <cell r="A9" t="str">
            <v>Base Year</v>
          </cell>
          <cell r="P9">
            <v>117966.34666666666</v>
          </cell>
          <cell r="Q9">
            <v>5062.9333333333343</v>
          </cell>
          <cell r="R9">
            <v>5062.9333333333343</v>
          </cell>
          <cell r="S9">
            <v>3544.0533333333337</v>
          </cell>
          <cell r="T9">
            <v>14284.453333333331</v>
          </cell>
          <cell r="U9">
            <v>9047.0846399999991</v>
          </cell>
          <cell r="V9">
            <v>2115.8504400000002</v>
          </cell>
          <cell r="W9">
            <v>84</v>
          </cell>
          <cell r="X9">
            <v>1144.8</v>
          </cell>
          <cell r="Y9">
            <v>145.92072000000002</v>
          </cell>
          <cell r="Z9">
            <v>40492.029133333337</v>
          </cell>
        </row>
        <row r="10">
          <cell r="A10" t="str">
            <v>Base Year</v>
          </cell>
          <cell r="P10">
            <v>712271.58333333326</v>
          </cell>
          <cell r="Q10">
            <v>30569.595851216025</v>
          </cell>
          <cell r="R10">
            <v>30569.595851216025</v>
          </cell>
          <cell r="S10">
            <v>21398.717095851214</v>
          </cell>
          <cell r="T10">
            <v>78618.833333333328</v>
          </cell>
          <cell r="U10">
            <v>54152.55617882689</v>
          </cell>
          <cell r="V10">
            <v>12664.710719241773</v>
          </cell>
          <cell r="W10">
            <v>462.3195474053843</v>
          </cell>
          <cell r="X10">
            <v>6300.7549746390941</v>
          </cell>
          <cell r="Y10">
            <v>873.42832546494981</v>
          </cell>
          <cell r="Z10">
            <v>235610.51187719466</v>
          </cell>
        </row>
        <row r="11">
          <cell r="A11" t="str">
            <v>Base Year</v>
          </cell>
          <cell r="P11">
            <v>0</v>
          </cell>
          <cell r="Q11">
            <v>0</v>
          </cell>
          <cell r="R11">
            <v>0</v>
          </cell>
          <cell r="S11">
            <v>0</v>
          </cell>
          <cell r="T11">
            <v>0</v>
          </cell>
          <cell r="U11">
            <v>0</v>
          </cell>
          <cell r="V11">
            <v>0</v>
          </cell>
          <cell r="W11">
            <v>0</v>
          </cell>
          <cell r="X11">
            <v>0</v>
          </cell>
          <cell r="Y11">
            <v>0</v>
          </cell>
          <cell r="Z11">
            <v>0</v>
          </cell>
        </row>
        <row r="12">
          <cell r="A12" t="str">
            <v>Base Year</v>
          </cell>
          <cell r="P12">
            <v>0</v>
          </cell>
          <cell r="Q12">
            <v>0</v>
          </cell>
          <cell r="R12">
            <v>0</v>
          </cell>
          <cell r="S12">
            <v>0</v>
          </cell>
          <cell r="T12">
            <v>0</v>
          </cell>
          <cell r="U12">
            <v>0</v>
          </cell>
          <cell r="V12">
            <v>0</v>
          </cell>
          <cell r="W12">
            <v>0</v>
          </cell>
          <cell r="X12">
            <v>0</v>
          </cell>
          <cell r="Y12">
            <v>0</v>
          </cell>
          <cell r="Z12">
            <v>0</v>
          </cell>
        </row>
        <row r="13">
          <cell r="A13" t="str">
            <v>Base Year</v>
          </cell>
          <cell r="P13">
            <v>74936.533333333326</v>
          </cell>
          <cell r="Q13">
            <v>3197.6623748211732</v>
          </cell>
          <cell r="R13">
            <v>3197.6623748211732</v>
          </cell>
          <cell r="S13">
            <v>2238.3636623748212</v>
          </cell>
          <cell r="T13">
            <v>14451.653333333332</v>
          </cell>
          <cell r="U13">
            <v>6077.3562548783966</v>
          </cell>
          <cell r="V13">
            <v>1421.3171886409154</v>
          </cell>
          <cell r="W13">
            <v>84.983222785797878</v>
          </cell>
          <cell r="X13">
            <v>1158.1999219664453</v>
          </cell>
          <cell r="Y13">
            <v>3074.1125649785404</v>
          </cell>
          <cell r="Z13">
            <v>34901.310898600597</v>
          </cell>
        </row>
        <row r="14">
          <cell r="A14" t="str">
            <v>Base Year</v>
          </cell>
          <cell r="P14">
            <v>58394.366800000003</v>
          </cell>
          <cell r="Q14">
            <v>2506.1960000000004</v>
          </cell>
          <cell r="R14">
            <v>2506.1960000000004</v>
          </cell>
          <cell r="S14">
            <v>1754.3372000000002</v>
          </cell>
          <cell r="T14">
            <v>7142.2266666666656</v>
          </cell>
          <cell r="U14">
            <v>4482.8060053333338</v>
          </cell>
          <cell r="V14">
            <v>1048.3981786666668</v>
          </cell>
          <cell r="W14">
            <v>42</v>
          </cell>
          <cell r="X14">
            <v>572.4</v>
          </cell>
          <cell r="Y14">
            <v>72.303322666666688</v>
          </cell>
          <cell r="Z14">
            <v>20126.863373333337</v>
          </cell>
        </row>
        <row r="15">
          <cell r="A15" t="str">
            <v>Base Year</v>
          </cell>
          <cell r="P15">
            <v>132024.74999999997</v>
          </cell>
          <cell r="Q15">
            <v>5666.2982832618027</v>
          </cell>
          <cell r="R15">
            <v>5666.2982832618027</v>
          </cell>
          <cell r="S15">
            <v>3966.4087982832616</v>
          </cell>
          <cell r="T15">
            <v>21439.916666666664</v>
          </cell>
          <cell r="U15">
            <v>10463.347665951356</v>
          </cell>
          <cell r="V15">
            <v>2447.0732444563655</v>
          </cell>
          <cell r="W15">
            <v>126.07783847054233</v>
          </cell>
          <cell r="X15">
            <v>1718.2608271556769</v>
          </cell>
          <cell r="Y15">
            <v>168.7636720314735</v>
          </cell>
          <cell r="Z15">
            <v>51662.445279538937</v>
          </cell>
        </row>
        <row r="16">
          <cell r="A16" t="str">
            <v>Base Year</v>
          </cell>
          <cell r="P16">
            <v>21819.673333333332</v>
          </cell>
          <cell r="Q16">
            <v>936.46666666666681</v>
          </cell>
          <cell r="R16">
            <v>936.46666666666681</v>
          </cell>
          <cell r="S16">
            <v>655.52666666666664</v>
          </cell>
          <cell r="T16">
            <v>7142.2266666666656</v>
          </cell>
          <cell r="U16">
            <v>1952.4023199999997</v>
          </cell>
          <cell r="V16">
            <v>456.61021999999997</v>
          </cell>
          <cell r="W16">
            <v>42</v>
          </cell>
          <cell r="X16">
            <v>572.4</v>
          </cell>
          <cell r="Y16">
            <v>31.490359999999999</v>
          </cell>
          <cell r="Z16">
            <v>12725.589566666664</v>
          </cell>
        </row>
        <row r="17">
          <cell r="A17" t="str">
            <v>Base Year</v>
          </cell>
          <cell r="P17">
            <v>51259.999999999993</v>
          </cell>
          <cell r="Q17">
            <v>2200.0000000000005</v>
          </cell>
          <cell r="R17">
            <v>2200.0000000000005</v>
          </cell>
          <cell r="S17">
            <v>1540</v>
          </cell>
          <cell r="T17">
            <v>7142.2266666666656</v>
          </cell>
          <cell r="U17">
            <v>3989.2180533333326</v>
          </cell>
          <cell r="V17">
            <v>932.9622866666665</v>
          </cell>
          <cell r="W17">
            <v>42</v>
          </cell>
          <cell r="X17">
            <v>572.4</v>
          </cell>
          <cell r="Y17">
            <v>64.342226666666662</v>
          </cell>
          <cell r="Z17">
            <v>18683.149233333334</v>
          </cell>
        </row>
        <row r="18">
          <cell r="A18" t="str">
            <v>Base Year</v>
          </cell>
          <cell r="P18">
            <v>22131.505000000001</v>
          </cell>
          <cell r="Q18">
            <v>949.85000000000014</v>
          </cell>
          <cell r="R18">
            <v>949.85000000000014</v>
          </cell>
          <cell r="S18">
            <v>664.8950000000001</v>
          </cell>
          <cell r="T18">
            <v>5356.67</v>
          </cell>
          <cell r="U18">
            <v>1863.2717399999997</v>
          </cell>
          <cell r="V18">
            <v>435.76516499999997</v>
          </cell>
          <cell r="W18">
            <v>31.500000000000004</v>
          </cell>
          <cell r="X18">
            <v>429.30000000000007</v>
          </cell>
          <cell r="Y18">
            <v>1078.8944429999999</v>
          </cell>
          <cell r="Z18">
            <v>11759.996347999999</v>
          </cell>
        </row>
        <row r="19">
          <cell r="A19" t="str">
            <v>Base Year</v>
          </cell>
          <cell r="P19">
            <v>41670.726666666655</v>
          </cell>
          <cell r="Q19">
            <v>1788.4432045779688</v>
          </cell>
          <cell r="R19">
            <v>1788.4432045779688</v>
          </cell>
          <cell r="S19">
            <v>1251.9102432045779</v>
          </cell>
          <cell r="T19">
            <v>7309.4266666666654</v>
          </cell>
          <cell r="U19">
            <v>3336.1548991130176</v>
          </cell>
          <cell r="V19">
            <v>780.22977479256065</v>
          </cell>
          <cell r="W19">
            <v>42.983222785797892</v>
          </cell>
          <cell r="X19">
            <v>585.79992196644559</v>
          </cell>
          <cell r="Y19">
            <v>398.18622989413439</v>
          </cell>
          <cell r="Z19">
            <v>17281.577367579139</v>
          </cell>
        </row>
        <row r="20">
          <cell r="A20" t="str">
            <v>Base Year</v>
          </cell>
          <cell r="P20">
            <v>61597.43333333332</v>
          </cell>
          <cell r="Q20">
            <v>2643.666666666667</v>
          </cell>
          <cell r="R20">
            <v>2643.666666666667</v>
          </cell>
          <cell r="S20">
            <v>1850.5666666666666</v>
          </cell>
          <cell r="T20">
            <v>7142.2266666666656</v>
          </cell>
          <cell r="U20">
            <v>4704.4087199999985</v>
          </cell>
          <cell r="V20">
            <v>1100.2246199999997</v>
          </cell>
          <cell r="W20">
            <v>42</v>
          </cell>
          <cell r="X20">
            <v>572.4</v>
          </cell>
          <cell r="Y20">
            <v>75.877559999999988</v>
          </cell>
          <cell r="Z20">
            <v>20775.03756666667</v>
          </cell>
        </row>
        <row r="21">
          <cell r="A21" t="str">
            <v>Base Year</v>
          </cell>
          <cell r="P21">
            <v>20914.079999999998</v>
          </cell>
          <cell r="Q21">
            <v>897.60000000000014</v>
          </cell>
          <cell r="R21">
            <v>897.60000000000014</v>
          </cell>
          <cell r="S21">
            <v>628.32000000000005</v>
          </cell>
          <cell r="T21">
            <v>7142.2266666666656</v>
          </cell>
          <cell r="U21">
            <v>1889.7492533333329</v>
          </cell>
          <cell r="V21">
            <v>441.95748666666663</v>
          </cell>
          <cell r="W21">
            <v>42</v>
          </cell>
          <cell r="X21">
            <v>572.4</v>
          </cell>
          <cell r="Y21">
            <v>856.48312933333318</v>
          </cell>
          <cell r="Z21">
            <v>13368.336535999999</v>
          </cell>
        </row>
        <row r="22">
          <cell r="A22" t="str">
            <v>Base Year</v>
          </cell>
          <cell r="P22">
            <v>49927.239999999991</v>
          </cell>
          <cell r="Q22">
            <v>2142.8000000000002</v>
          </cell>
          <cell r="R22">
            <v>2142.8000000000002</v>
          </cell>
          <cell r="S22">
            <v>1499.96</v>
          </cell>
          <cell r="T22">
            <v>7142.2266666666656</v>
          </cell>
          <cell r="U22">
            <v>3897.0116533333326</v>
          </cell>
          <cell r="V22">
            <v>911.39788666666664</v>
          </cell>
          <cell r="W22">
            <v>42</v>
          </cell>
          <cell r="X22">
            <v>572.4</v>
          </cell>
          <cell r="Y22">
            <v>62.855026666666667</v>
          </cell>
          <cell r="Z22">
            <v>18413.451233333333</v>
          </cell>
        </row>
        <row r="23">
          <cell r="A23" t="str">
            <v>Base Year</v>
          </cell>
          <cell r="P23">
            <v>109503.65</v>
          </cell>
          <cell r="Q23">
            <v>4686.1738197424902</v>
          </cell>
          <cell r="R23">
            <v>4686.1738197424902</v>
          </cell>
          <cell r="S23">
            <v>3280.321673819743</v>
          </cell>
          <cell r="T23">
            <v>28904.699999999997</v>
          </cell>
          <cell r="U23">
            <v>9365.7831974248911</v>
          </cell>
          <cell r="V23">
            <v>2190.384780042918</v>
          </cell>
          <cell r="W23">
            <v>169.97463909481078</v>
          </cell>
          <cell r="X23">
            <v>2316.5115099492787</v>
          </cell>
          <cell r="Y23">
            <v>150.74521931330474</v>
          </cell>
          <cell r="Z23">
            <v>55750.768659129928</v>
          </cell>
        </row>
        <row r="24">
          <cell r="A24" t="str">
            <v>Base Year</v>
          </cell>
          <cell r="P24">
            <v>66039.96666666666</v>
          </cell>
          <cell r="Q24">
            <v>2834.3333333333335</v>
          </cell>
          <cell r="R24">
            <v>2834.3333333333335</v>
          </cell>
          <cell r="S24">
            <v>1984.0333333333333</v>
          </cell>
          <cell r="T24">
            <v>7142.2266666666656</v>
          </cell>
          <cell r="U24">
            <v>5011.7633866666665</v>
          </cell>
          <cell r="V24">
            <v>1172.1059533333332</v>
          </cell>
          <cell r="W24">
            <v>42</v>
          </cell>
          <cell r="X24">
            <v>572.4</v>
          </cell>
          <cell r="Y24">
            <v>80.834893333333326</v>
          </cell>
          <cell r="Z24">
            <v>21674.030899999998</v>
          </cell>
        </row>
        <row r="25">
          <cell r="A25" t="str">
            <v>Base Year</v>
          </cell>
          <cell r="P25">
            <v>39521.459999999992</v>
          </cell>
          <cell r="Q25">
            <v>1696.2</v>
          </cell>
          <cell r="R25">
            <v>1696.2</v>
          </cell>
          <cell r="S25">
            <v>1187.3399999999999</v>
          </cell>
          <cell r="T25">
            <v>7142.2266666666656</v>
          </cell>
          <cell r="U25">
            <v>3177.0924533333323</v>
          </cell>
          <cell r="V25">
            <v>743.02968666666652</v>
          </cell>
          <cell r="W25">
            <v>42</v>
          </cell>
          <cell r="X25">
            <v>572.4</v>
          </cell>
          <cell r="Y25">
            <v>379.20135733333319</v>
          </cell>
          <cell r="Z25">
            <v>16635.690163999996</v>
          </cell>
        </row>
        <row r="26">
          <cell r="A26" t="str">
            <v>Base Year</v>
          </cell>
          <cell r="P26">
            <v>196286.83666666664</v>
          </cell>
          <cell r="Q26">
            <v>8260.5938483547943</v>
          </cell>
          <cell r="R26">
            <v>8260.5938483547943</v>
          </cell>
          <cell r="S26">
            <v>5782.4156938483547</v>
          </cell>
          <cell r="T26">
            <v>52721.643333333326</v>
          </cell>
          <cell r="U26">
            <v>16821.349170214591</v>
          </cell>
          <cell r="V26">
            <v>3934.02520916309</v>
          </cell>
          <cell r="W26">
            <v>310.03062817011312</v>
          </cell>
          <cell r="X26">
            <v>4225.2745610612565</v>
          </cell>
          <cell r="Y26">
            <v>267.49708339055792</v>
          </cell>
          <cell r="Z26">
            <v>100583.42337589087</v>
          </cell>
        </row>
        <row r="27">
          <cell r="A27" t="str">
            <v>Base Year</v>
          </cell>
          <cell r="P27">
            <v>75249.679999999993</v>
          </cell>
          <cell r="Q27">
            <v>3229.6000000000004</v>
          </cell>
          <cell r="R27">
            <v>3229.6000000000004</v>
          </cell>
          <cell r="S27">
            <v>2260.7200000000003</v>
          </cell>
          <cell r="T27">
            <v>14284.453333333331</v>
          </cell>
          <cell r="U27">
            <v>6091.751306666667</v>
          </cell>
          <cell r="V27">
            <v>1424.6837733333336</v>
          </cell>
          <cell r="W27">
            <v>84</v>
          </cell>
          <cell r="X27">
            <v>1144.8</v>
          </cell>
          <cell r="Y27">
            <v>727.07999466666672</v>
          </cell>
          <cell r="Z27">
            <v>32476.688408000002</v>
          </cell>
        </row>
        <row r="28">
          <cell r="A28" t="str">
            <v>Base Year</v>
          </cell>
          <cell r="P28">
            <v>32550.1</v>
          </cell>
          <cell r="Q28">
            <v>1397.0000000000002</v>
          </cell>
          <cell r="R28">
            <v>1397.0000000000002</v>
          </cell>
          <cell r="S28">
            <v>977.90000000000009</v>
          </cell>
          <cell r="T28">
            <v>7142.2266666666656</v>
          </cell>
          <cell r="U28">
            <v>2694.7820533333334</v>
          </cell>
          <cell r="V28">
            <v>630.23128666666673</v>
          </cell>
          <cell r="W28">
            <v>42</v>
          </cell>
          <cell r="X28">
            <v>572.4</v>
          </cell>
          <cell r="Y28">
            <v>43.464226666666676</v>
          </cell>
          <cell r="Z28">
            <v>14897.004233333333</v>
          </cell>
        </row>
        <row r="29">
          <cell r="A29" t="str">
            <v>Base Year</v>
          </cell>
          <cell r="P29">
            <v>71593.133333333331</v>
          </cell>
          <cell r="Q29">
            <v>3072.666666666667</v>
          </cell>
          <cell r="R29">
            <v>3072.666666666667</v>
          </cell>
          <cell r="S29">
            <v>2150.8666666666668</v>
          </cell>
          <cell r="T29">
            <v>14284.453333333331</v>
          </cell>
          <cell r="U29">
            <v>5838.7747733333345</v>
          </cell>
          <cell r="V29">
            <v>1365.5199066666669</v>
          </cell>
          <cell r="W29">
            <v>84</v>
          </cell>
          <cell r="X29">
            <v>1144.8</v>
          </cell>
          <cell r="Y29">
            <v>94.173786666666686</v>
          </cell>
          <cell r="Z29">
            <v>31107.9218</v>
          </cell>
        </row>
        <row r="30">
          <cell r="A30" t="str">
            <v>Base Year</v>
          </cell>
          <cell r="P30">
            <v>0</v>
          </cell>
          <cell r="Q30">
            <v>0</v>
          </cell>
          <cell r="R30">
            <v>0</v>
          </cell>
          <cell r="S30">
            <v>0</v>
          </cell>
          <cell r="T30">
            <v>0</v>
          </cell>
          <cell r="U30">
            <v>0</v>
          </cell>
          <cell r="V30">
            <v>0</v>
          </cell>
          <cell r="W30">
            <v>0</v>
          </cell>
          <cell r="X30">
            <v>0</v>
          </cell>
          <cell r="Y30">
            <v>0</v>
          </cell>
          <cell r="Z30">
            <v>0</v>
          </cell>
        </row>
        <row r="31">
          <cell r="A31" t="str">
            <v>Base Year</v>
          </cell>
          <cell r="P31">
            <v>79213.786666666652</v>
          </cell>
          <cell r="Q31">
            <v>3399.7333333333336</v>
          </cell>
          <cell r="R31">
            <v>3399.7333333333336</v>
          </cell>
          <cell r="S31">
            <v>2379.8133333333335</v>
          </cell>
          <cell r="T31">
            <v>7142.2266666666656</v>
          </cell>
          <cell r="U31">
            <v>5923.1881866666663</v>
          </cell>
          <cell r="V31">
            <v>1385.2617533333334</v>
          </cell>
          <cell r="W31">
            <v>42</v>
          </cell>
          <cell r="X31">
            <v>572.4</v>
          </cell>
          <cell r="Y31">
            <v>95.535293333333343</v>
          </cell>
          <cell r="Z31">
            <v>24339.891900000002</v>
          </cell>
        </row>
        <row r="32">
          <cell r="A32" t="str">
            <v>Base Year</v>
          </cell>
          <cell r="P32">
            <v>54574.813333333332</v>
          </cell>
          <cell r="Q32">
            <v>2342.2666666666669</v>
          </cell>
          <cell r="R32">
            <v>2342.2666666666669</v>
          </cell>
          <cell r="S32">
            <v>1639.5866666666668</v>
          </cell>
          <cell r="T32">
            <v>7142.2266666666656</v>
          </cell>
          <cell r="U32">
            <v>4218.5519199999999</v>
          </cell>
          <cell r="V32">
            <v>986.59682000000009</v>
          </cell>
          <cell r="W32">
            <v>42</v>
          </cell>
          <cell r="X32">
            <v>572.4</v>
          </cell>
          <cell r="Y32">
            <v>68.041160000000005</v>
          </cell>
          <cell r="Z32">
            <v>19353.936566666667</v>
          </cell>
        </row>
        <row r="33">
          <cell r="A33" t="str">
            <v>Base Year</v>
          </cell>
          <cell r="P33">
            <v>28175.913333333327</v>
          </cell>
          <cell r="Q33">
            <v>1209.2666666666667</v>
          </cell>
          <cell r="R33">
            <v>1209.2666666666667</v>
          </cell>
          <cell r="S33">
            <v>846.48666666666668</v>
          </cell>
          <cell r="T33">
            <v>7142.2266666666656</v>
          </cell>
          <cell r="U33">
            <v>2392.1559199999992</v>
          </cell>
          <cell r="V33">
            <v>559.4558199999999</v>
          </cell>
          <cell r="W33">
            <v>42</v>
          </cell>
          <cell r="X33">
            <v>572.4</v>
          </cell>
          <cell r="Y33">
            <v>38.583159999999992</v>
          </cell>
          <cell r="Z33">
            <v>14011.841566666664</v>
          </cell>
        </row>
        <row r="34">
          <cell r="A34" t="str">
            <v>Base Year</v>
          </cell>
          <cell r="P34">
            <v>66467.133333333331</v>
          </cell>
          <cell r="Q34">
            <v>2852.666666666667</v>
          </cell>
          <cell r="R34">
            <v>2852.666666666667</v>
          </cell>
          <cell r="S34">
            <v>1996.8666666666668</v>
          </cell>
          <cell r="T34">
            <v>7142.2266666666656</v>
          </cell>
          <cell r="U34">
            <v>5041.3167200000007</v>
          </cell>
          <cell r="V34">
            <v>1179.0176200000003</v>
          </cell>
          <cell r="W34">
            <v>42</v>
          </cell>
          <cell r="X34">
            <v>572.4</v>
          </cell>
          <cell r="Y34">
            <v>65.049248000000006</v>
          </cell>
          <cell r="Z34">
            <v>21744.210254666668</v>
          </cell>
        </row>
        <row r="35">
          <cell r="A35" t="str">
            <v>Base Year</v>
          </cell>
          <cell r="P35">
            <v>49722.2</v>
          </cell>
          <cell r="Q35">
            <v>2134.0000000000005</v>
          </cell>
          <cell r="R35">
            <v>2134.0000000000005</v>
          </cell>
          <cell r="S35">
            <v>1493.8000000000002</v>
          </cell>
          <cell r="T35">
            <v>7142.2266666666656</v>
          </cell>
          <cell r="U35">
            <v>3882.8260533333337</v>
          </cell>
          <cell r="V35">
            <v>908.08028666666678</v>
          </cell>
          <cell r="W35">
            <v>42</v>
          </cell>
          <cell r="X35">
            <v>572.4</v>
          </cell>
          <cell r="Y35">
            <v>1997.7766306666667</v>
          </cell>
          <cell r="Z35">
            <v>20307.109637333335</v>
          </cell>
        </row>
        <row r="36">
          <cell r="A36" t="str">
            <v>Base Year</v>
          </cell>
          <cell r="P36">
            <v>248644.68166666667</v>
          </cell>
          <cell r="Q36">
            <v>10239.02067238913</v>
          </cell>
          <cell r="R36">
            <v>10239.02067238913</v>
          </cell>
          <cell r="S36">
            <v>7167.3144706723897</v>
          </cell>
          <cell r="T36">
            <v>44538.596666666665</v>
          </cell>
          <cell r="U36">
            <v>19891.375317224607</v>
          </cell>
          <cell r="V36">
            <v>4652.015195157368</v>
          </cell>
          <cell r="W36">
            <v>261.91006632852128</v>
          </cell>
          <cell r="X36">
            <v>3569.4600468201324</v>
          </cell>
          <cell r="Y36">
            <v>9913.0249793462081</v>
          </cell>
          <cell r="Z36">
            <v>110471.73808699416</v>
          </cell>
        </row>
        <row r="37">
          <cell r="A37" t="str">
            <v>Base Year</v>
          </cell>
          <cell r="P37">
            <v>135260.84000000003</v>
          </cell>
          <cell r="Q37">
            <v>5805.1862660944225</v>
          </cell>
          <cell r="R37">
            <v>5805.1862660944225</v>
          </cell>
          <cell r="S37">
            <v>4063.6303862660952</v>
          </cell>
          <cell r="T37">
            <v>15541.24</v>
          </cell>
          <cell r="U37">
            <v>10321.517140944206</v>
          </cell>
          <cell r="V37">
            <v>2413.9032023175969</v>
          </cell>
          <cell r="W37">
            <v>91.390557939914174</v>
          </cell>
          <cell r="X37">
            <v>1245.522746781116</v>
          </cell>
          <cell r="Y37">
            <v>166.47608291845495</v>
          </cell>
          <cell r="Z37">
            <v>45454.052649356221</v>
          </cell>
        </row>
        <row r="38">
          <cell r="A38" t="str">
            <v>Base Year</v>
          </cell>
          <cell r="P38">
            <v>0</v>
          </cell>
          <cell r="Q38">
            <v>0</v>
          </cell>
          <cell r="R38">
            <v>0</v>
          </cell>
          <cell r="S38">
            <v>0</v>
          </cell>
          <cell r="T38">
            <v>0</v>
          </cell>
          <cell r="U38">
            <v>0</v>
          </cell>
          <cell r="V38">
            <v>0</v>
          </cell>
          <cell r="W38">
            <v>0</v>
          </cell>
          <cell r="X38">
            <v>0</v>
          </cell>
          <cell r="Y38">
            <v>0</v>
          </cell>
          <cell r="Z38">
            <v>0</v>
          </cell>
        </row>
        <row r="39">
          <cell r="A39" t="str">
            <v>Base Year</v>
          </cell>
          <cell r="P39">
            <v>51670.079999999994</v>
          </cell>
          <cell r="Q39">
            <v>2217.6000000000004</v>
          </cell>
          <cell r="R39">
            <v>2217.6000000000004</v>
          </cell>
          <cell r="S39">
            <v>1552.32</v>
          </cell>
          <cell r="T39">
            <v>14284.453333333331</v>
          </cell>
          <cell r="U39">
            <v>4460.4073066666651</v>
          </cell>
          <cell r="V39">
            <v>1043.1597733333331</v>
          </cell>
          <cell r="W39">
            <v>84</v>
          </cell>
          <cell r="X39">
            <v>1144.8</v>
          </cell>
          <cell r="Y39">
            <v>2294.951501333333</v>
          </cell>
          <cell r="Z39">
            <v>29299.291914666661</v>
          </cell>
        </row>
        <row r="40">
          <cell r="A40" t="str">
            <v>Year 2</v>
          </cell>
          <cell r="P40">
            <v>30998.32</v>
          </cell>
          <cell r="Q40">
            <v>1330.3999999999999</v>
          </cell>
          <cell r="R40">
            <v>1330.3999999999999</v>
          </cell>
          <cell r="S40">
            <v>931.28</v>
          </cell>
          <cell r="T40">
            <v>7791.5199999999995</v>
          </cell>
          <cell r="U40">
            <v>2627.67904</v>
          </cell>
          <cell r="V40">
            <v>614.53783999999996</v>
          </cell>
          <cell r="W40">
            <v>42</v>
          </cell>
          <cell r="X40">
            <v>572.4</v>
          </cell>
          <cell r="Y40">
            <v>43.441467999999993</v>
          </cell>
          <cell r="Z40">
            <v>15283.658347999999</v>
          </cell>
        </row>
        <row r="41">
          <cell r="A41" t="str">
            <v>Year 2</v>
          </cell>
          <cell r="P41">
            <v>57286.02</v>
          </cell>
          <cell r="Q41">
            <v>2458.6274678111586</v>
          </cell>
          <cell r="R41">
            <v>2458.6274678111586</v>
          </cell>
          <cell r="S41">
            <v>1721.0392274678109</v>
          </cell>
          <cell r="T41">
            <v>8000.5199999999995</v>
          </cell>
          <cell r="U41">
            <v>4459.3397181115879</v>
          </cell>
          <cell r="V41">
            <v>1042.9100953648069</v>
          </cell>
          <cell r="W41">
            <v>43.126609442060087</v>
          </cell>
          <cell r="X41">
            <v>587.75407725321884</v>
          </cell>
          <cell r="Y41">
            <v>73.722955017167365</v>
          </cell>
          <cell r="Z41">
            <v>20845.667618278971</v>
          </cell>
        </row>
        <row r="42">
          <cell r="A42" t="str">
            <v>Year 2</v>
          </cell>
          <cell r="P42">
            <v>64531.679999999993</v>
          </cell>
          <cell r="Q42">
            <v>2769.6</v>
          </cell>
          <cell r="R42">
            <v>2769.6</v>
          </cell>
          <cell r="S42">
            <v>1938.7199999999998</v>
          </cell>
          <cell r="T42">
            <v>15583.039999999999</v>
          </cell>
          <cell r="U42">
            <v>5430.7436799999996</v>
          </cell>
          <cell r="V42">
            <v>1270.09328</v>
          </cell>
          <cell r="W42">
            <v>84</v>
          </cell>
          <cell r="X42">
            <v>1144.8</v>
          </cell>
          <cell r="Y42">
            <v>1499.3670152</v>
          </cell>
          <cell r="Z42">
            <v>32489.9639752</v>
          </cell>
        </row>
        <row r="43">
          <cell r="A43" t="str">
            <v>Year 2</v>
          </cell>
          <cell r="P43">
            <v>212099.68</v>
          </cell>
          <cell r="Q43">
            <v>9021.1879828326182</v>
          </cell>
          <cell r="R43">
            <v>9021.1879828326182</v>
          </cell>
          <cell r="S43">
            <v>6314.8315879828315</v>
          </cell>
          <cell r="T43">
            <v>46097.039999999994</v>
          </cell>
          <cell r="U43">
            <v>17518.343508326176</v>
          </cell>
          <cell r="V43">
            <v>4097.0319495278964</v>
          </cell>
          <cell r="W43">
            <v>248.48497854077252</v>
          </cell>
          <cell r="X43">
            <v>3386.4952789699569</v>
          </cell>
          <cell r="Y43">
            <v>4803.9908998995697</v>
          </cell>
          <cell r="Z43">
            <v>100508.59416891243</v>
          </cell>
        </row>
        <row r="44">
          <cell r="A44" t="str">
            <v>Year 2</v>
          </cell>
          <cell r="P44">
            <v>42107.76</v>
          </cell>
          <cell r="Q44">
            <v>1807.2</v>
          </cell>
          <cell r="R44">
            <v>1807.2</v>
          </cell>
          <cell r="S44">
            <v>1265.04</v>
          </cell>
          <cell r="T44">
            <v>7791.5199999999995</v>
          </cell>
          <cell r="U44">
            <v>3396.2806399999995</v>
          </cell>
          <cell r="V44">
            <v>794.29143999999997</v>
          </cell>
          <cell r="W44">
            <v>42</v>
          </cell>
          <cell r="X44">
            <v>572.4</v>
          </cell>
          <cell r="Y44">
            <v>56.148187999999998</v>
          </cell>
          <cell r="Z44">
            <v>17532.080267999998</v>
          </cell>
        </row>
        <row r="45">
          <cell r="A45" t="str">
            <v>Year 2</v>
          </cell>
          <cell r="P45">
            <v>0</v>
          </cell>
          <cell r="Q45">
            <v>0</v>
          </cell>
          <cell r="R45">
            <v>0</v>
          </cell>
          <cell r="S45">
            <v>0</v>
          </cell>
          <cell r="T45">
            <v>0</v>
          </cell>
          <cell r="U45">
            <v>0</v>
          </cell>
          <cell r="V45">
            <v>0</v>
          </cell>
          <cell r="W45">
            <v>0</v>
          </cell>
          <cell r="X45">
            <v>0</v>
          </cell>
          <cell r="Y45">
            <v>0</v>
          </cell>
          <cell r="Z45">
            <v>0</v>
          </cell>
        </row>
        <row r="46">
          <cell r="A46" t="str">
            <v>Year 2</v>
          </cell>
          <cell r="P46">
            <v>131896.64000000001</v>
          </cell>
          <cell r="Q46">
            <v>5660.8</v>
          </cell>
          <cell r="R46">
            <v>5660.8</v>
          </cell>
          <cell r="S46">
            <v>3962.5600000000004</v>
          </cell>
          <cell r="T46">
            <v>15583.039999999999</v>
          </cell>
          <cell r="U46">
            <v>10091.35808</v>
          </cell>
          <cell r="V46">
            <v>2360.0756799999999</v>
          </cell>
          <cell r="W46">
            <v>84</v>
          </cell>
          <cell r="X46">
            <v>1144.8</v>
          </cell>
          <cell r="Y46">
            <v>166.83293599999999</v>
          </cell>
          <cell r="Z46">
            <v>44714.266695999999</v>
          </cell>
        </row>
        <row r="47">
          <cell r="A47" t="str">
            <v>Year 2</v>
          </cell>
          <cell r="P47">
            <v>795810</v>
          </cell>
          <cell r="Q47">
            <v>34154.9356223176</v>
          </cell>
          <cell r="R47">
            <v>34154.9356223176</v>
          </cell>
          <cell r="S47">
            <v>23908.454935622318</v>
          </cell>
          <cell r="T47">
            <v>85690</v>
          </cell>
          <cell r="U47">
            <v>60370.536223175965</v>
          </cell>
          <cell r="V47">
            <v>14118.915729613735</v>
          </cell>
          <cell r="W47">
            <v>461.90987124463521</v>
          </cell>
          <cell r="X47">
            <v>6295.171673819742</v>
          </cell>
          <cell r="Y47">
            <v>998.06128433476385</v>
          </cell>
          <cell r="Z47">
            <v>260152.92096244637</v>
          </cell>
        </row>
        <row r="48">
          <cell r="A48" t="str">
            <v>Year 2</v>
          </cell>
          <cell r="P48">
            <v>0</v>
          </cell>
          <cell r="Q48">
            <v>0</v>
          </cell>
          <cell r="R48">
            <v>0</v>
          </cell>
          <cell r="S48">
            <v>0</v>
          </cell>
          <cell r="T48">
            <v>0</v>
          </cell>
          <cell r="U48">
            <v>0</v>
          </cell>
          <cell r="V48">
            <v>0</v>
          </cell>
          <cell r="W48">
            <v>0</v>
          </cell>
          <cell r="X48">
            <v>0</v>
          </cell>
          <cell r="Y48">
            <v>0</v>
          </cell>
          <cell r="Z48">
            <v>0</v>
          </cell>
        </row>
        <row r="49">
          <cell r="A49" t="str">
            <v>Year 2</v>
          </cell>
          <cell r="P49">
            <v>0</v>
          </cell>
          <cell r="Q49">
            <v>0</v>
          </cell>
          <cell r="R49">
            <v>0</v>
          </cell>
          <cell r="S49">
            <v>0</v>
          </cell>
          <cell r="T49">
            <v>0</v>
          </cell>
          <cell r="U49">
            <v>0</v>
          </cell>
          <cell r="V49">
            <v>0</v>
          </cell>
          <cell r="W49">
            <v>0</v>
          </cell>
          <cell r="X49">
            <v>0</v>
          </cell>
          <cell r="Y49">
            <v>0</v>
          </cell>
          <cell r="Z49">
            <v>0</v>
          </cell>
        </row>
        <row r="50">
          <cell r="A50" t="str">
            <v>Year 2</v>
          </cell>
          <cell r="P50">
            <v>81631.400000000009</v>
          </cell>
          <cell r="Q50">
            <v>3484.9957081545067</v>
          </cell>
          <cell r="R50">
            <v>3484.9957081545067</v>
          </cell>
          <cell r="S50">
            <v>2439.4969957081548</v>
          </cell>
          <cell r="T50">
            <v>15750.24</v>
          </cell>
          <cell r="U50">
            <v>6621.0499615450644</v>
          </cell>
          <cell r="V50">
            <v>1548.471361974249</v>
          </cell>
          <cell r="W50">
            <v>84.901287553648075</v>
          </cell>
          <cell r="X50">
            <v>1157.0832618025752</v>
          </cell>
          <cell r="Y50">
            <v>3434.1026461030037</v>
          </cell>
          <cell r="Z50">
            <v>38005.336930995712</v>
          </cell>
        </row>
        <row r="51">
          <cell r="A51" t="str">
            <v>Year 2</v>
          </cell>
          <cell r="P51">
            <v>65295.920000000006</v>
          </cell>
          <cell r="Q51">
            <v>2802.4</v>
          </cell>
          <cell r="R51">
            <v>2802.4</v>
          </cell>
          <cell r="S51">
            <v>1961.68</v>
          </cell>
          <cell r="T51">
            <v>7791.5199999999995</v>
          </cell>
          <cell r="U51">
            <v>5000.5430399999996</v>
          </cell>
          <cell r="V51">
            <v>1169.4818400000001</v>
          </cell>
          <cell r="W51">
            <v>42</v>
          </cell>
          <cell r="X51">
            <v>572.4</v>
          </cell>
          <cell r="Y51">
            <v>82.670267999999993</v>
          </cell>
          <cell r="Z51">
            <v>22225.095148000004</v>
          </cell>
        </row>
        <row r="52">
          <cell r="A52" t="str">
            <v>Year 2</v>
          </cell>
          <cell r="P52">
            <v>146409</v>
          </cell>
          <cell r="Q52">
            <v>6283.6480686695277</v>
          </cell>
          <cell r="R52">
            <v>6283.6480686695277</v>
          </cell>
          <cell r="S52">
            <v>4398.5536480686696</v>
          </cell>
          <cell r="T52">
            <v>23199</v>
          </cell>
          <cell r="U52">
            <v>11567.578686695277</v>
          </cell>
          <cell r="V52">
            <v>2705.3208218884115</v>
          </cell>
          <cell r="W52">
            <v>125.05364806866953</v>
          </cell>
          <cell r="X52">
            <v>1704.302575107296</v>
          </cell>
          <cell r="Y52">
            <v>191.23819603004284</v>
          </cell>
          <cell r="Z52">
            <v>56458.343713197421</v>
          </cell>
        </row>
        <row r="53">
          <cell r="A53" t="str">
            <v>Year 2</v>
          </cell>
          <cell r="P53">
            <v>23803.279999999999</v>
          </cell>
          <cell r="Q53">
            <v>1021.5999999999999</v>
          </cell>
          <cell r="R53">
            <v>1021.5999999999999</v>
          </cell>
          <cell r="S53">
            <v>715.12</v>
          </cell>
          <cell r="T53">
            <v>7791.5199999999995</v>
          </cell>
          <cell r="U53">
            <v>2129.8934399999998</v>
          </cell>
          <cell r="V53">
            <v>498.12023999999997</v>
          </cell>
          <cell r="W53">
            <v>42</v>
          </cell>
          <cell r="X53">
            <v>572.4</v>
          </cell>
          <cell r="Y53">
            <v>35.211947999999992</v>
          </cell>
          <cell r="Z53">
            <v>13827.465628</v>
          </cell>
        </row>
        <row r="54">
          <cell r="A54" t="str">
            <v>Year 2</v>
          </cell>
          <cell r="P54">
            <v>57318</v>
          </cell>
          <cell r="Q54">
            <v>2460</v>
          </cell>
          <cell r="R54">
            <v>2460</v>
          </cell>
          <cell r="S54">
            <v>1722</v>
          </cell>
          <cell r="T54">
            <v>7791.5199999999995</v>
          </cell>
          <cell r="U54">
            <v>4448.5942400000004</v>
          </cell>
          <cell r="V54">
            <v>1040.3970400000001</v>
          </cell>
          <cell r="W54">
            <v>42</v>
          </cell>
          <cell r="X54">
            <v>572.4</v>
          </cell>
          <cell r="Y54">
            <v>73.545308000000006</v>
          </cell>
          <cell r="Z54">
            <v>20610.456588000005</v>
          </cell>
        </row>
        <row r="55">
          <cell r="A55" t="str">
            <v>Year 2</v>
          </cell>
          <cell r="P55">
            <v>24143.46</v>
          </cell>
          <cell r="Q55">
            <v>1036.1999999999998</v>
          </cell>
          <cell r="R55">
            <v>1036.1999999999998</v>
          </cell>
          <cell r="S55">
            <v>725.34</v>
          </cell>
          <cell r="T55">
            <v>5843.6399999999994</v>
          </cell>
          <cell r="U55">
            <v>2032.6600799999999</v>
          </cell>
          <cell r="V55">
            <v>475.38018</v>
          </cell>
          <cell r="W55">
            <v>31.5</v>
          </cell>
          <cell r="X55">
            <v>429.29999999999995</v>
          </cell>
          <cell r="Y55">
            <v>1206.4001498999996</v>
          </cell>
          <cell r="Z55">
            <v>12816.620409899999</v>
          </cell>
        </row>
        <row r="56">
          <cell r="A56" t="str">
            <v>Year 2</v>
          </cell>
          <cell r="P56">
            <v>46514.719999999994</v>
          </cell>
          <cell r="Q56">
            <v>1996.3399141630903</v>
          </cell>
          <cell r="R56">
            <v>1996.3399141630903</v>
          </cell>
          <cell r="S56">
            <v>1397.4379399141631</v>
          </cell>
          <cell r="T56">
            <v>7958.7199999999993</v>
          </cell>
          <cell r="U56">
            <v>3711.5405816309003</v>
          </cell>
          <cell r="V56">
            <v>868.02158763948489</v>
          </cell>
          <cell r="W56">
            <v>42.901287553648068</v>
          </cell>
          <cell r="X56">
            <v>584.68326180257509</v>
          </cell>
          <cell r="Y56">
            <v>454.0650856721029</v>
          </cell>
          <cell r="Z56">
            <v>19010.049572539054</v>
          </cell>
        </row>
        <row r="57">
          <cell r="A57" t="str">
            <v>Year 2</v>
          </cell>
          <cell r="P57">
            <v>68874.8</v>
          </cell>
          <cell r="Q57">
            <v>2956</v>
          </cell>
          <cell r="R57">
            <v>2956</v>
          </cell>
          <cell r="S57">
            <v>2069.2000000000003</v>
          </cell>
          <cell r="T57">
            <v>7791.5199999999995</v>
          </cell>
          <cell r="U57">
            <v>5248.14624</v>
          </cell>
          <cell r="V57">
            <v>1227.38904</v>
          </cell>
          <cell r="W57">
            <v>42</v>
          </cell>
          <cell r="X57">
            <v>572.4</v>
          </cell>
          <cell r="Y57">
            <v>86.763708000000008</v>
          </cell>
          <cell r="Z57">
            <v>22949.418988000005</v>
          </cell>
        </row>
        <row r="58">
          <cell r="A58" t="str">
            <v>Year 2</v>
          </cell>
          <cell r="P58">
            <v>22815.360000000001</v>
          </cell>
          <cell r="Q58">
            <v>979.2</v>
          </cell>
          <cell r="R58">
            <v>979.2</v>
          </cell>
          <cell r="S58">
            <v>685.44</v>
          </cell>
          <cell r="T58">
            <v>7791.5199999999995</v>
          </cell>
          <cell r="U58">
            <v>2061.5446400000001</v>
          </cell>
          <cell r="V58">
            <v>482.13544000000002</v>
          </cell>
          <cell r="W58">
            <v>42</v>
          </cell>
          <cell r="X58">
            <v>572.4</v>
          </cell>
          <cell r="Y58">
            <v>957.70386279999991</v>
          </cell>
          <cell r="Z58">
            <v>14551.143942799999</v>
          </cell>
        </row>
        <row r="59">
          <cell r="A59" t="str">
            <v>Year 2</v>
          </cell>
          <cell r="P59">
            <v>55826.799999999996</v>
          </cell>
          <cell r="Q59">
            <v>2396</v>
          </cell>
          <cell r="R59">
            <v>2396</v>
          </cell>
          <cell r="S59">
            <v>1677.2</v>
          </cell>
          <cell r="T59">
            <v>7791.5199999999995</v>
          </cell>
          <cell r="U59">
            <v>4345.4262399999989</v>
          </cell>
          <cell r="V59">
            <v>1016.2690399999999</v>
          </cell>
          <cell r="W59">
            <v>42</v>
          </cell>
          <cell r="X59">
            <v>572.4</v>
          </cell>
          <cell r="Y59">
            <v>71.839707999999987</v>
          </cell>
          <cell r="Z59">
            <v>20308.654987999998</v>
          </cell>
        </row>
        <row r="60">
          <cell r="A60" t="str">
            <v>Year 2</v>
          </cell>
          <cell r="P60">
            <v>119372.4</v>
          </cell>
          <cell r="Q60">
            <v>5109.7253218884116</v>
          </cell>
          <cell r="R60">
            <v>5109.7253218884116</v>
          </cell>
          <cell r="S60">
            <v>3576.8077253218885</v>
          </cell>
          <cell r="T60">
            <v>31517.199999999997</v>
          </cell>
          <cell r="U60">
            <v>10210.523218884118</v>
          </cell>
          <cell r="V60">
            <v>2387.9449463519309</v>
          </cell>
          <cell r="W60">
            <v>169.89270386266094</v>
          </cell>
          <cell r="X60">
            <v>2315.3948497854076</v>
          </cell>
          <cell r="Y60">
            <v>168.47930982832619</v>
          </cell>
          <cell r="Z60">
            <v>60565.693397811156</v>
          </cell>
        </row>
        <row r="61">
          <cell r="A61" t="str">
            <v>Year 2</v>
          </cell>
          <cell r="P61">
            <v>73851.679999999993</v>
          </cell>
          <cell r="Q61">
            <v>3169.6</v>
          </cell>
          <cell r="R61">
            <v>3169.6</v>
          </cell>
          <cell r="S61">
            <v>2218.7199999999998</v>
          </cell>
          <cell r="T61">
            <v>7791.5199999999995</v>
          </cell>
          <cell r="U61">
            <v>5592.4694400000008</v>
          </cell>
          <cell r="V61">
            <v>1307.9162400000002</v>
          </cell>
          <cell r="W61">
            <v>42</v>
          </cell>
          <cell r="X61">
            <v>572.4</v>
          </cell>
          <cell r="Y61">
            <v>92.456148000000013</v>
          </cell>
          <cell r="Z61">
            <v>23956.681828000001</v>
          </cell>
        </row>
        <row r="62">
          <cell r="A62" t="str">
            <v>Year 2</v>
          </cell>
          <cell r="P62">
            <v>43114.32</v>
          </cell>
          <cell r="Q62">
            <v>1850.3999999999999</v>
          </cell>
          <cell r="R62">
            <v>1850.3999999999999</v>
          </cell>
          <cell r="S62">
            <v>1295.28</v>
          </cell>
          <cell r="T62">
            <v>7791.5199999999995</v>
          </cell>
          <cell r="U62">
            <v>3465.9190399999998</v>
          </cell>
          <cell r="V62">
            <v>810.57784000000004</v>
          </cell>
          <cell r="W62">
            <v>42</v>
          </cell>
          <cell r="X62">
            <v>572.4</v>
          </cell>
          <cell r="Y62">
            <v>424.01606319999996</v>
          </cell>
          <cell r="Z62">
            <v>18102.512943200003</v>
          </cell>
        </row>
        <row r="63">
          <cell r="A63" t="str">
            <v>Year 2</v>
          </cell>
          <cell r="P63">
            <v>213090.63999999998</v>
          </cell>
          <cell r="Q63">
            <v>8981.7871244635189</v>
          </cell>
          <cell r="R63">
            <v>8981.7871244635189</v>
          </cell>
          <cell r="S63">
            <v>6287.2509871244629</v>
          </cell>
          <cell r="T63">
            <v>57324.52</v>
          </cell>
          <cell r="U63">
            <v>18269.291084635192</v>
          </cell>
          <cell r="V63">
            <v>4272.6567859227471</v>
          </cell>
          <cell r="W63">
            <v>309.00643776824035</v>
          </cell>
          <cell r="X63">
            <v>4211.3163090128755</v>
          </cell>
          <cell r="Y63">
            <v>298.12225986695279</v>
          </cell>
          <cell r="Z63">
            <v>108935.73811325751</v>
          </cell>
        </row>
        <row r="64">
          <cell r="A64" t="str">
            <v>Year 2</v>
          </cell>
          <cell r="P64">
            <v>82090.559999999998</v>
          </cell>
          <cell r="Q64">
            <v>3523.2</v>
          </cell>
          <cell r="R64">
            <v>3523.2</v>
          </cell>
          <cell r="S64">
            <v>2466.2399999999998</v>
          </cell>
          <cell r="T64">
            <v>15583.039999999999</v>
          </cell>
          <cell r="U64">
            <v>6645.546879999999</v>
          </cell>
          <cell r="V64">
            <v>1554.20048</v>
          </cell>
          <cell r="W64">
            <v>84</v>
          </cell>
          <cell r="X64">
            <v>1144.8</v>
          </cell>
          <cell r="Y64">
            <v>813.00763039999993</v>
          </cell>
          <cell r="Z64">
            <v>35337.234990400008</v>
          </cell>
        </row>
        <row r="65">
          <cell r="A65" t="str">
            <v>Year 2</v>
          </cell>
          <cell r="P65">
            <v>35509.200000000004</v>
          </cell>
          <cell r="Q65">
            <v>1524</v>
          </cell>
          <cell r="R65">
            <v>1524</v>
          </cell>
          <cell r="S65">
            <v>1066.8</v>
          </cell>
          <cell r="T65">
            <v>7791.5199999999995</v>
          </cell>
          <cell r="U65">
            <v>2939.76224</v>
          </cell>
          <cell r="V65">
            <v>687.5250400000001</v>
          </cell>
          <cell r="W65">
            <v>42</v>
          </cell>
          <cell r="X65">
            <v>572.4</v>
          </cell>
          <cell r="Y65">
            <v>48.600907999999997</v>
          </cell>
          <cell r="Z65">
            <v>16196.608188</v>
          </cell>
        </row>
        <row r="66">
          <cell r="A66" t="str">
            <v>Year 2</v>
          </cell>
          <cell r="P66">
            <v>78101.599999999991</v>
          </cell>
          <cell r="Q66">
            <v>3352</v>
          </cell>
          <cell r="R66">
            <v>3352</v>
          </cell>
          <cell r="S66">
            <v>2346.4</v>
          </cell>
          <cell r="T66">
            <v>15583.039999999999</v>
          </cell>
          <cell r="U66">
            <v>6369.5724799999989</v>
          </cell>
          <cell r="V66">
            <v>1489.6580799999997</v>
          </cell>
          <cell r="W66">
            <v>84</v>
          </cell>
          <cell r="X66">
            <v>1144.8</v>
          </cell>
          <cell r="Y66">
            <v>105.30341599999998</v>
          </cell>
          <cell r="Z66">
            <v>33826.773976000004</v>
          </cell>
        </row>
        <row r="67">
          <cell r="A67" t="str">
            <v>Year 2</v>
          </cell>
          <cell r="P67">
            <v>0</v>
          </cell>
          <cell r="Q67">
            <v>0</v>
          </cell>
          <cell r="R67">
            <v>0</v>
          </cell>
          <cell r="S67">
            <v>0</v>
          </cell>
          <cell r="T67">
            <v>0</v>
          </cell>
          <cell r="U67">
            <v>0</v>
          </cell>
          <cell r="V67">
            <v>0</v>
          </cell>
          <cell r="W67">
            <v>0</v>
          </cell>
          <cell r="X67">
            <v>0</v>
          </cell>
          <cell r="Y67">
            <v>0</v>
          </cell>
          <cell r="Z67">
            <v>0</v>
          </cell>
        </row>
        <row r="68">
          <cell r="A68" t="str">
            <v>Year 2</v>
          </cell>
          <cell r="P68">
            <v>88577.279999999999</v>
          </cell>
          <cell r="Q68">
            <v>3801.6000000000004</v>
          </cell>
          <cell r="R68">
            <v>3801.6000000000004</v>
          </cell>
          <cell r="S68">
            <v>2661.1200000000003</v>
          </cell>
          <cell r="T68">
            <v>7791.5199999999995</v>
          </cell>
          <cell r="U68">
            <v>6611.2534400000004</v>
          </cell>
          <cell r="V68">
            <v>1546.1802400000001</v>
          </cell>
          <cell r="W68">
            <v>42</v>
          </cell>
          <cell r="X68">
            <v>572.4</v>
          </cell>
          <cell r="Y68">
            <v>109.298948</v>
          </cell>
          <cell r="Z68">
            <v>26936.972628000003</v>
          </cell>
        </row>
        <row r="69">
          <cell r="A69" t="str">
            <v>Year 2</v>
          </cell>
          <cell r="P69">
            <v>61027.360000000001</v>
          </cell>
          <cell r="Q69">
            <v>2619.2000000000003</v>
          </cell>
          <cell r="R69">
            <v>2619.2000000000003</v>
          </cell>
          <cell r="S69">
            <v>1833.44</v>
          </cell>
          <cell r="T69">
            <v>7791.5199999999995</v>
          </cell>
          <cell r="U69">
            <v>4705.2246400000004</v>
          </cell>
          <cell r="V69">
            <v>1100.41544</v>
          </cell>
          <cell r="W69">
            <v>42</v>
          </cell>
          <cell r="X69">
            <v>572.4</v>
          </cell>
          <cell r="Y69">
            <v>77.787987999999999</v>
          </cell>
          <cell r="Z69">
            <v>21361.188068000003</v>
          </cell>
        </row>
        <row r="70">
          <cell r="A70" t="str">
            <v>Year 2</v>
          </cell>
          <cell r="P70">
            <v>30737.359999999997</v>
          </cell>
          <cell r="Q70">
            <v>1319.1999999999998</v>
          </cell>
          <cell r="R70">
            <v>1319.1999999999998</v>
          </cell>
          <cell r="S70">
            <v>923.43999999999994</v>
          </cell>
          <cell r="T70">
            <v>7791.5199999999995</v>
          </cell>
          <cell r="U70">
            <v>2609.6246399999995</v>
          </cell>
          <cell r="V70">
            <v>610.31543999999997</v>
          </cell>
          <cell r="W70">
            <v>42</v>
          </cell>
          <cell r="X70">
            <v>572.4</v>
          </cell>
          <cell r="Y70">
            <v>43.142987999999988</v>
          </cell>
          <cell r="Z70">
            <v>15230.843067999998</v>
          </cell>
        </row>
        <row r="71">
          <cell r="A71" t="str">
            <v>Year 2</v>
          </cell>
          <cell r="P71">
            <v>74317.679999999993</v>
          </cell>
          <cell r="Q71">
            <v>3189.6</v>
          </cell>
          <cell r="R71">
            <v>3189.6</v>
          </cell>
          <cell r="S71">
            <v>2232.7199999999998</v>
          </cell>
          <cell r="T71">
            <v>7791.5199999999995</v>
          </cell>
          <cell r="U71">
            <v>5624.7094400000005</v>
          </cell>
          <cell r="V71">
            <v>1315.4562400000002</v>
          </cell>
          <cell r="W71">
            <v>42</v>
          </cell>
          <cell r="X71">
            <v>572.4</v>
          </cell>
          <cell r="Y71">
            <v>74.391318400000003</v>
          </cell>
          <cell r="Z71">
            <v>24032.396998400003</v>
          </cell>
        </row>
        <row r="72">
          <cell r="A72" t="str">
            <v>Year 2</v>
          </cell>
          <cell r="P72">
            <v>55603.119999999995</v>
          </cell>
          <cell r="Q72">
            <v>2386.3999999999996</v>
          </cell>
          <cell r="R72">
            <v>2386.3999999999996</v>
          </cell>
          <cell r="S72">
            <v>1670.48</v>
          </cell>
          <cell r="T72">
            <v>7791.5199999999995</v>
          </cell>
          <cell r="U72">
            <v>4329.9510399999999</v>
          </cell>
          <cell r="V72">
            <v>1012.64984</v>
          </cell>
          <cell r="W72">
            <v>42</v>
          </cell>
          <cell r="X72">
            <v>572.4</v>
          </cell>
          <cell r="Y72">
            <v>2283.5253891999996</v>
          </cell>
          <cell r="Z72">
            <v>22475.326269200003</v>
          </cell>
        </row>
        <row r="73">
          <cell r="A73" t="str">
            <v>Year 2</v>
          </cell>
          <cell r="P73">
            <v>268500.88</v>
          </cell>
          <cell r="Q73">
            <v>11091.218025751074</v>
          </cell>
          <cell r="R73">
            <v>11091.218025751074</v>
          </cell>
          <cell r="S73">
            <v>7763.8526180257513</v>
          </cell>
          <cell r="T73">
            <v>48245.56</v>
          </cell>
          <cell r="U73">
            <v>21494.949177510727</v>
          </cell>
          <cell r="V73">
            <v>5027.0445657081546</v>
          </cell>
          <cell r="W73">
            <v>260.06652360515022</v>
          </cell>
          <cell r="X73">
            <v>3544.3351931330471</v>
          </cell>
          <cell r="Y73">
            <v>11006.541834421887</v>
          </cell>
          <cell r="Z73">
            <v>119524.78596390688</v>
          </cell>
        </row>
        <row r="74">
          <cell r="A74" t="str">
            <v>Year 2</v>
          </cell>
          <cell r="P74">
            <v>148898.97</v>
          </cell>
          <cell r="Q74">
            <v>6390.5137339055791</v>
          </cell>
          <cell r="R74">
            <v>6390.5137339055791</v>
          </cell>
          <cell r="S74">
            <v>4473.3596137339046</v>
          </cell>
          <cell r="T74">
            <v>16690.739999999998</v>
          </cell>
          <cell r="U74">
            <v>11336.334019055792</v>
          </cell>
          <cell r="V74">
            <v>2651.2394076824035</v>
          </cell>
          <cell r="W74">
            <v>89.971030042918457</v>
          </cell>
          <cell r="X74">
            <v>1226.17660944206</v>
          </cell>
          <cell r="Y74">
            <v>187.41519950858364</v>
          </cell>
          <cell r="Z74">
            <v>49436.263347276828</v>
          </cell>
        </row>
        <row r="75">
          <cell r="A75" t="str">
            <v>Year 2</v>
          </cell>
          <cell r="P75">
            <v>0</v>
          </cell>
          <cell r="Q75">
            <v>0</v>
          </cell>
          <cell r="R75">
            <v>0</v>
          </cell>
          <cell r="S75">
            <v>0</v>
          </cell>
          <cell r="T75">
            <v>0</v>
          </cell>
          <cell r="U75">
            <v>0</v>
          </cell>
          <cell r="V75">
            <v>0</v>
          </cell>
          <cell r="W75">
            <v>0</v>
          </cell>
          <cell r="X75">
            <v>0</v>
          </cell>
          <cell r="Y75">
            <v>0</v>
          </cell>
          <cell r="Z75">
            <v>0</v>
          </cell>
        </row>
        <row r="76">
          <cell r="A76" t="str">
            <v>Year 2</v>
          </cell>
          <cell r="P76">
            <v>56367.360000000001</v>
          </cell>
          <cell r="Q76">
            <v>2419.1999999999998</v>
          </cell>
          <cell r="R76">
            <v>2419.1999999999998</v>
          </cell>
          <cell r="S76">
            <v>1693.4399999999998</v>
          </cell>
          <cell r="T76">
            <v>15583.039999999999</v>
          </cell>
          <cell r="U76">
            <v>4865.8988799999997</v>
          </cell>
          <cell r="V76">
            <v>1137.9924799999999</v>
          </cell>
          <cell r="W76">
            <v>84</v>
          </cell>
          <cell r="X76">
            <v>1144.8</v>
          </cell>
          <cell r="Y76">
            <v>2566.1730423999993</v>
          </cell>
          <cell r="Z76">
            <v>31913.744402399996</v>
          </cell>
        </row>
        <row r="77">
          <cell r="A77" t="str">
            <v>Year 3</v>
          </cell>
          <cell r="P77">
            <v>30998.32</v>
          </cell>
          <cell r="Q77">
            <v>1330.3999999999999</v>
          </cell>
          <cell r="R77">
            <v>1330.3999999999999</v>
          </cell>
          <cell r="S77">
            <v>931.28</v>
          </cell>
          <cell r="T77">
            <v>7791.5199999999995</v>
          </cell>
          <cell r="U77">
            <v>2627.67904</v>
          </cell>
          <cell r="V77">
            <v>614.53783999999996</v>
          </cell>
          <cell r="W77">
            <v>42</v>
          </cell>
          <cell r="X77">
            <v>572.4</v>
          </cell>
          <cell r="Y77">
            <v>44.527504699999987</v>
          </cell>
          <cell r="Z77">
            <v>15284.744384699998</v>
          </cell>
        </row>
        <row r="78">
          <cell r="A78" t="str">
            <v>Year 3</v>
          </cell>
          <cell r="P78">
            <v>58721.52</v>
          </cell>
          <cell r="Q78">
            <v>2520.2369098712447</v>
          </cell>
          <cell r="R78">
            <v>2520.2369098712447</v>
          </cell>
          <cell r="S78">
            <v>1764.1658369098711</v>
          </cell>
          <cell r="T78">
            <v>8000.5199999999995</v>
          </cell>
          <cell r="U78">
            <v>4558.6541387124462</v>
          </cell>
          <cell r="V78">
            <v>1066.1368550214593</v>
          </cell>
          <cell r="W78">
            <v>43.126609442060087</v>
          </cell>
          <cell r="X78">
            <v>587.75407725321884</v>
          </cell>
          <cell r="Y78">
            <v>77.248967814270372</v>
          </cell>
          <cell r="Z78">
            <v>21138.080304895815</v>
          </cell>
        </row>
        <row r="79">
          <cell r="A79" t="str">
            <v>Year 3</v>
          </cell>
          <cell r="P79">
            <v>64531.679999999993</v>
          </cell>
          <cell r="Q79">
            <v>2769.6</v>
          </cell>
          <cell r="R79">
            <v>2769.6</v>
          </cell>
          <cell r="S79">
            <v>1938.7199999999998</v>
          </cell>
          <cell r="T79">
            <v>15583.039999999999</v>
          </cell>
          <cell r="U79">
            <v>5430.7436799999996</v>
          </cell>
          <cell r="V79">
            <v>1270.09328</v>
          </cell>
          <cell r="W79">
            <v>84</v>
          </cell>
          <cell r="X79">
            <v>1144.8</v>
          </cell>
          <cell r="Y79">
            <v>1536.8511905799996</v>
          </cell>
          <cell r="Z79">
            <v>32527.448150579999</v>
          </cell>
        </row>
        <row r="80">
          <cell r="A80" t="str">
            <v>Year 3</v>
          </cell>
          <cell r="P80">
            <v>212099.68</v>
          </cell>
          <cell r="Q80">
            <v>9021.1879828326182</v>
          </cell>
          <cell r="R80">
            <v>9021.1879828326182</v>
          </cell>
          <cell r="S80">
            <v>6314.8315879828315</v>
          </cell>
          <cell r="T80">
            <v>46097.039999999994</v>
          </cell>
          <cell r="U80">
            <v>17518.343508326176</v>
          </cell>
          <cell r="V80">
            <v>4097.0319495278964</v>
          </cell>
          <cell r="W80">
            <v>248.48497854077252</v>
          </cell>
          <cell r="X80">
            <v>3386.4952789699569</v>
          </cell>
          <cell r="Y80">
            <v>4924.0906723970584</v>
          </cell>
          <cell r="Z80">
            <v>100628.69394140992</v>
          </cell>
        </row>
        <row r="81">
          <cell r="A81" t="str">
            <v>Year 3</v>
          </cell>
          <cell r="P81">
            <v>43151.6</v>
          </cell>
          <cell r="Q81">
            <v>1852</v>
          </cell>
          <cell r="R81">
            <v>1852</v>
          </cell>
          <cell r="S81">
            <v>1296.3999999999999</v>
          </cell>
          <cell r="T81">
            <v>7791.5199999999995</v>
          </cell>
          <cell r="U81">
            <v>3468.4982399999999</v>
          </cell>
          <cell r="V81">
            <v>811.18103999999994</v>
          </cell>
          <cell r="W81">
            <v>42</v>
          </cell>
          <cell r="X81">
            <v>572.4</v>
          </cell>
          <cell r="Y81">
            <v>58.775660699999996</v>
          </cell>
          <cell r="Z81">
            <v>17744.774940700001</v>
          </cell>
        </row>
        <row r="82">
          <cell r="A82" t="str">
            <v>Year 3</v>
          </cell>
          <cell r="P82">
            <v>0</v>
          </cell>
          <cell r="Q82">
            <v>0</v>
          </cell>
          <cell r="R82">
            <v>0</v>
          </cell>
          <cell r="S82">
            <v>0</v>
          </cell>
          <cell r="T82">
            <v>0</v>
          </cell>
          <cell r="U82">
            <v>0</v>
          </cell>
          <cell r="V82">
            <v>0</v>
          </cell>
          <cell r="W82">
            <v>0</v>
          </cell>
          <cell r="X82">
            <v>0</v>
          </cell>
          <cell r="Y82">
            <v>0</v>
          </cell>
          <cell r="Z82">
            <v>0</v>
          </cell>
        </row>
        <row r="83">
          <cell r="A83" t="str">
            <v>Year 3</v>
          </cell>
          <cell r="P83">
            <v>135177.28</v>
          </cell>
          <cell r="Q83">
            <v>5801.5999999999995</v>
          </cell>
          <cell r="R83">
            <v>5801.5999999999995</v>
          </cell>
          <cell r="S83">
            <v>4061.12</v>
          </cell>
          <cell r="T83">
            <v>15583.039999999999</v>
          </cell>
          <cell r="U83">
            <v>10318.32768</v>
          </cell>
          <cell r="V83">
            <v>2413.1572800000004</v>
          </cell>
          <cell r="W83">
            <v>84</v>
          </cell>
          <cell r="X83">
            <v>1144.8</v>
          </cell>
          <cell r="Y83">
            <v>174.8498874</v>
          </cell>
          <cell r="Z83">
            <v>45382.494847400005</v>
          </cell>
        </row>
        <row r="84">
          <cell r="A84" t="str">
            <v>Year 3</v>
          </cell>
          <cell r="P84">
            <v>815695</v>
          </cell>
          <cell r="Q84">
            <v>35008.369098712443</v>
          </cell>
          <cell r="R84">
            <v>35008.369098712443</v>
          </cell>
          <cell r="S84">
            <v>24505.858369098711</v>
          </cell>
          <cell r="T84">
            <v>85690</v>
          </cell>
          <cell r="U84">
            <v>61746.270987124466</v>
          </cell>
          <cell r="V84">
            <v>14440.660150214593</v>
          </cell>
          <cell r="W84">
            <v>461.90987124463521</v>
          </cell>
          <cell r="X84">
            <v>6295.171673819742</v>
          </cell>
          <cell r="Y84">
            <v>1046.3254186427039</v>
          </cell>
          <cell r="Z84">
            <v>264202.93466756976</v>
          </cell>
        </row>
        <row r="85">
          <cell r="A85" t="str">
            <v>Year 3</v>
          </cell>
          <cell r="P85">
            <v>0</v>
          </cell>
          <cell r="Q85">
            <v>0</v>
          </cell>
          <cell r="R85">
            <v>0</v>
          </cell>
          <cell r="S85">
            <v>0</v>
          </cell>
          <cell r="T85">
            <v>0</v>
          </cell>
          <cell r="U85">
            <v>0</v>
          </cell>
          <cell r="V85">
            <v>0</v>
          </cell>
          <cell r="W85">
            <v>0</v>
          </cell>
          <cell r="X85">
            <v>0</v>
          </cell>
          <cell r="Y85">
            <v>0</v>
          </cell>
          <cell r="Z85">
            <v>0</v>
          </cell>
        </row>
        <row r="86">
          <cell r="A86" t="str">
            <v>Year 3</v>
          </cell>
          <cell r="P86">
            <v>0</v>
          </cell>
          <cell r="Q86">
            <v>0</v>
          </cell>
          <cell r="R86">
            <v>0</v>
          </cell>
          <cell r="S86">
            <v>0</v>
          </cell>
          <cell r="T86">
            <v>0</v>
          </cell>
          <cell r="U86">
            <v>0</v>
          </cell>
          <cell r="V86">
            <v>0</v>
          </cell>
          <cell r="W86">
            <v>0</v>
          </cell>
          <cell r="X86">
            <v>0</v>
          </cell>
          <cell r="Y86">
            <v>0</v>
          </cell>
          <cell r="Z86">
            <v>0</v>
          </cell>
        </row>
        <row r="87">
          <cell r="A87" t="str">
            <v>Year 3</v>
          </cell>
          <cell r="P87">
            <v>81631.400000000009</v>
          </cell>
          <cell r="Q87">
            <v>3484.9957081545067</v>
          </cell>
          <cell r="R87">
            <v>3484.9957081545067</v>
          </cell>
          <cell r="S87">
            <v>2439.4969957081548</v>
          </cell>
          <cell r="T87">
            <v>15750.24</v>
          </cell>
          <cell r="U87">
            <v>6621.0499615450644</v>
          </cell>
          <cell r="V87">
            <v>1548.471361974249</v>
          </cell>
          <cell r="W87">
            <v>84.901287553648075</v>
          </cell>
          <cell r="X87">
            <v>1157.0832618025752</v>
          </cell>
          <cell r="Y87">
            <v>3519.9552122555783</v>
          </cell>
          <cell r="Z87">
            <v>38091.189497148283</v>
          </cell>
        </row>
        <row r="88">
          <cell r="A88" t="str">
            <v>Year 3</v>
          </cell>
          <cell r="P88">
            <v>66936.239999999991</v>
          </cell>
          <cell r="Q88">
            <v>2872.7999999999997</v>
          </cell>
          <cell r="R88">
            <v>2872.7999999999997</v>
          </cell>
          <cell r="S88">
            <v>2010.9599999999998</v>
          </cell>
          <cell r="T88">
            <v>7791.5199999999995</v>
          </cell>
          <cell r="U88">
            <v>5114.0278400000007</v>
          </cell>
          <cell r="V88">
            <v>1196.0226400000001</v>
          </cell>
          <cell r="W88">
            <v>42</v>
          </cell>
          <cell r="X88">
            <v>572.4</v>
          </cell>
          <cell r="Y88">
            <v>86.660088699999989</v>
          </cell>
          <cell r="Z88">
            <v>22559.190568699996</v>
          </cell>
        </row>
        <row r="89">
          <cell r="A89" t="str">
            <v>Year 3</v>
          </cell>
          <cell r="P89">
            <v>150072</v>
          </cell>
          <cell r="Q89">
            <v>6440.8583690987116</v>
          </cell>
          <cell r="R89">
            <v>6440.8583690987116</v>
          </cell>
          <cell r="S89">
            <v>4508.6008583690982</v>
          </cell>
          <cell r="T89">
            <v>23199</v>
          </cell>
          <cell r="U89">
            <v>11821.001690987125</v>
          </cell>
          <cell r="V89">
            <v>2764.5891051502144</v>
          </cell>
          <cell r="W89">
            <v>125.05364806866953</v>
          </cell>
          <cell r="X89">
            <v>1704.302575107296</v>
          </cell>
          <cell r="Y89">
            <v>200.31354679989266</v>
          </cell>
          <cell r="Z89">
            <v>57204.578162679718</v>
          </cell>
        </row>
        <row r="90">
          <cell r="A90" t="str">
            <v>Year 3</v>
          </cell>
          <cell r="P90">
            <v>23803.279999999999</v>
          </cell>
          <cell r="Q90">
            <v>1021.5999999999999</v>
          </cell>
          <cell r="R90">
            <v>1021.5999999999999</v>
          </cell>
          <cell r="S90">
            <v>715.12</v>
          </cell>
          <cell r="T90">
            <v>7791.5199999999995</v>
          </cell>
          <cell r="U90">
            <v>2129.8934399999998</v>
          </cell>
          <cell r="V90">
            <v>498.12023999999997</v>
          </cell>
          <cell r="W90">
            <v>42</v>
          </cell>
          <cell r="X90">
            <v>572.4</v>
          </cell>
          <cell r="Y90">
            <v>36.09224669999999</v>
          </cell>
          <cell r="Z90">
            <v>13828.3459267</v>
          </cell>
        </row>
        <row r="91">
          <cell r="A91" t="str">
            <v>Year 3</v>
          </cell>
          <cell r="P91">
            <v>58753.279999999999</v>
          </cell>
          <cell r="Q91">
            <v>2521.6</v>
          </cell>
          <cell r="R91">
            <v>2521.6</v>
          </cell>
          <cell r="S91">
            <v>1765.12</v>
          </cell>
          <cell r="T91">
            <v>7791.5199999999995</v>
          </cell>
          <cell r="U91">
            <v>4547.8934399999998</v>
          </cell>
          <cell r="V91">
            <v>1063.62024</v>
          </cell>
          <cell r="W91">
            <v>42</v>
          </cell>
          <cell r="X91">
            <v>572.4</v>
          </cell>
          <cell r="Y91">
            <v>77.066621699999985</v>
          </cell>
          <cell r="Z91">
            <v>20902.820301700001</v>
          </cell>
        </row>
        <row r="92">
          <cell r="A92" t="str">
            <v>Year 3</v>
          </cell>
          <cell r="P92">
            <v>24143.46</v>
          </cell>
          <cell r="Q92">
            <v>1036.1999999999998</v>
          </cell>
          <cell r="R92">
            <v>1036.1999999999998</v>
          </cell>
          <cell r="S92">
            <v>725.34</v>
          </cell>
          <cell r="T92">
            <v>5843.6399999999994</v>
          </cell>
          <cell r="U92">
            <v>2032.6600799999999</v>
          </cell>
          <cell r="V92">
            <v>475.38018</v>
          </cell>
          <cell r="W92">
            <v>31.5</v>
          </cell>
          <cell r="X92">
            <v>429.29999999999995</v>
          </cell>
          <cell r="Y92">
            <v>1236.5601536474996</v>
          </cell>
          <cell r="Z92">
            <v>12846.780413647499</v>
          </cell>
        </row>
        <row r="93">
          <cell r="A93" t="str">
            <v>Year 3</v>
          </cell>
          <cell r="P93">
            <v>47676.159999999996</v>
          </cell>
          <cell r="Q93">
            <v>2046.187124463519</v>
          </cell>
          <cell r="R93">
            <v>2046.187124463519</v>
          </cell>
          <cell r="S93">
            <v>1432.3309871244635</v>
          </cell>
          <cell r="T93">
            <v>7958.7199999999993</v>
          </cell>
          <cell r="U93">
            <v>3791.8942846351929</v>
          </cell>
          <cell r="V93">
            <v>886.81398592274672</v>
          </cell>
          <cell r="W93">
            <v>42.901287553648068</v>
          </cell>
          <cell r="X93">
            <v>584.68326180257509</v>
          </cell>
          <cell r="Y93">
            <v>475.4928403658368</v>
          </cell>
          <cell r="Z93">
            <v>19265.2108963315</v>
          </cell>
        </row>
        <row r="94">
          <cell r="A94" t="str">
            <v>Year 3</v>
          </cell>
          <cell r="P94">
            <v>70589.679999999993</v>
          </cell>
          <cell r="Q94">
            <v>3029.6</v>
          </cell>
          <cell r="R94">
            <v>3029.6</v>
          </cell>
          <cell r="S94">
            <v>2120.7199999999998</v>
          </cell>
          <cell r="T94">
            <v>7791.5199999999995</v>
          </cell>
          <cell r="U94">
            <v>5366.7894400000005</v>
          </cell>
          <cell r="V94">
            <v>1255.1362400000003</v>
          </cell>
          <cell r="W94">
            <v>42</v>
          </cell>
          <cell r="X94">
            <v>572.4</v>
          </cell>
          <cell r="Y94">
            <v>90.943276699999998</v>
          </cell>
          <cell r="Z94">
            <v>23298.7089567</v>
          </cell>
        </row>
        <row r="95">
          <cell r="A95" t="str">
            <v>Year 3</v>
          </cell>
          <cell r="P95">
            <v>22815.360000000001</v>
          </cell>
          <cell r="Q95">
            <v>979.2</v>
          </cell>
          <cell r="R95">
            <v>979.2</v>
          </cell>
          <cell r="S95">
            <v>685.44</v>
          </cell>
          <cell r="T95">
            <v>7791.5199999999995</v>
          </cell>
          <cell r="U95">
            <v>2061.5446400000001</v>
          </cell>
          <cell r="V95">
            <v>482.13544000000002</v>
          </cell>
          <cell r="W95">
            <v>42</v>
          </cell>
          <cell r="X95">
            <v>572.4</v>
          </cell>
          <cell r="Y95">
            <v>981.64645936999989</v>
          </cell>
          <cell r="Z95">
            <v>14575.086539370001</v>
          </cell>
        </row>
        <row r="96">
          <cell r="A96" t="str">
            <v>Year 3</v>
          </cell>
          <cell r="P96">
            <v>57224.799999999996</v>
          </cell>
          <cell r="Q96">
            <v>2456</v>
          </cell>
          <cell r="R96">
            <v>2456</v>
          </cell>
          <cell r="S96">
            <v>1719.2</v>
          </cell>
          <cell r="T96">
            <v>7791.5199999999995</v>
          </cell>
          <cell r="U96">
            <v>4442.1462399999991</v>
          </cell>
          <cell r="V96">
            <v>1038.8890399999998</v>
          </cell>
          <cell r="W96">
            <v>42</v>
          </cell>
          <cell r="X96">
            <v>572.4</v>
          </cell>
          <cell r="Y96">
            <v>75.274675699999975</v>
          </cell>
          <cell r="Z96">
            <v>20593.429955699998</v>
          </cell>
        </row>
        <row r="97">
          <cell r="A97" t="str">
            <v>Year 3</v>
          </cell>
          <cell r="P97">
            <v>119372.4</v>
          </cell>
          <cell r="Q97">
            <v>5109.7253218884116</v>
          </cell>
          <cell r="R97">
            <v>5109.7253218884116</v>
          </cell>
          <cell r="S97">
            <v>3576.8077253218885</v>
          </cell>
          <cell r="T97">
            <v>31517.199999999997</v>
          </cell>
          <cell r="U97">
            <v>10210.523218884118</v>
          </cell>
          <cell r="V97">
            <v>2387.9449463519309</v>
          </cell>
          <cell r="W97">
            <v>169.89270386266094</v>
          </cell>
          <cell r="X97">
            <v>2315.3948497854076</v>
          </cell>
          <cell r="Y97">
            <v>172.69129257403435</v>
          </cell>
          <cell r="Z97">
            <v>60569.905380556862</v>
          </cell>
        </row>
        <row r="98">
          <cell r="A98" t="str">
            <v>Year 3</v>
          </cell>
          <cell r="P98">
            <v>75697.039999999994</v>
          </cell>
          <cell r="Q98">
            <v>3248.8</v>
          </cell>
          <cell r="R98">
            <v>3248.8</v>
          </cell>
          <cell r="S98">
            <v>2274.16</v>
          </cell>
          <cell r="T98">
            <v>7791.5199999999995</v>
          </cell>
          <cell r="U98">
            <v>5720.1398400000007</v>
          </cell>
          <cell r="V98">
            <v>1337.7746400000001</v>
          </cell>
          <cell r="W98">
            <v>42</v>
          </cell>
          <cell r="X98">
            <v>572.4</v>
          </cell>
          <cell r="Y98">
            <v>96.930998699999989</v>
          </cell>
          <cell r="Z98">
            <v>24332.525478700001</v>
          </cell>
        </row>
        <row r="99">
          <cell r="A99" t="str">
            <v>Year 3</v>
          </cell>
          <cell r="P99">
            <v>43114.32</v>
          </cell>
          <cell r="Q99">
            <v>1850.3999999999999</v>
          </cell>
          <cell r="R99">
            <v>1850.3999999999999</v>
          </cell>
          <cell r="S99">
            <v>1295.28</v>
          </cell>
          <cell r="T99">
            <v>7791.5199999999995</v>
          </cell>
          <cell r="U99">
            <v>3465.9190399999998</v>
          </cell>
          <cell r="V99">
            <v>810.57784000000004</v>
          </cell>
          <cell r="W99">
            <v>42</v>
          </cell>
          <cell r="X99">
            <v>572.4</v>
          </cell>
          <cell r="Y99">
            <v>434.61646477999989</v>
          </cell>
          <cell r="Z99">
            <v>18113.113344780002</v>
          </cell>
        </row>
        <row r="100">
          <cell r="A100" t="str">
            <v>Year 3</v>
          </cell>
          <cell r="P100">
            <v>213090.63999999998</v>
          </cell>
          <cell r="Q100">
            <v>8981.7871244635189</v>
          </cell>
          <cell r="R100">
            <v>8981.7871244635189</v>
          </cell>
          <cell r="S100">
            <v>6287.2509871244629</v>
          </cell>
          <cell r="T100">
            <v>57324.52</v>
          </cell>
          <cell r="U100">
            <v>18269.291084635192</v>
          </cell>
          <cell r="V100">
            <v>4272.6567859227471</v>
          </cell>
          <cell r="W100">
            <v>309.00643776824035</v>
          </cell>
          <cell r="X100">
            <v>4211.3163090128755</v>
          </cell>
          <cell r="Y100">
            <v>305.57531636362654</v>
          </cell>
          <cell r="Z100">
            <v>108943.19116975418</v>
          </cell>
        </row>
        <row r="101">
          <cell r="A101" t="str">
            <v>Year 3</v>
          </cell>
          <cell r="P101">
            <v>82090.559999999998</v>
          </cell>
          <cell r="Q101">
            <v>3523.2</v>
          </cell>
          <cell r="R101">
            <v>3523.2</v>
          </cell>
          <cell r="S101">
            <v>2466.2399999999998</v>
          </cell>
          <cell r="T101">
            <v>15583.039999999999</v>
          </cell>
          <cell r="U101">
            <v>6645.546879999999</v>
          </cell>
          <cell r="V101">
            <v>1554.20048</v>
          </cell>
          <cell r="W101">
            <v>84</v>
          </cell>
          <cell r="X101">
            <v>1144.8</v>
          </cell>
          <cell r="Y101">
            <v>833.33282115999975</v>
          </cell>
          <cell r="Z101">
            <v>35357.560181160006</v>
          </cell>
        </row>
        <row r="102">
          <cell r="A102" t="str">
            <v>Year 3</v>
          </cell>
          <cell r="P102">
            <v>35509.200000000004</v>
          </cell>
          <cell r="Q102">
            <v>1524</v>
          </cell>
          <cell r="R102">
            <v>1524</v>
          </cell>
          <cell r="S102">
            <v>1066.8</v>
          </cell>
          <cell r="T102">
            <v>7791.5199999999995</v>
          </cell>
          <cell r="U102">
            <v>2939.76224</v>
          </cell>
          <cell r="V102">
            <v>687.5250400000001</v>
          </cell>
          <cell r="W102">
            <v>42</v>
          </cell>
          <cell r="X102">
            <v>572.4</v>
          </cell>
          <cell r="Y102">
            <v>49.815930699999996</v>
          </cell>
          <cell r="Z102">
            <v>16197.8232107</v>
          </cell>
        </row>
        <row r="103">
          <cell r="A103" t="str">
            <v>Year 3</v>
          </cell>
          <cell r="P103">
            <v>78101.599999999991</v>
          </cell>
          <cell r="Q103">
            <v>3352</v>
          </cell>
          <cell r="R103">
            <v>3352</v>
          </cell>
          <cell r="S103">
            <v>2346.4</v>
          </cell>
          <cell r="T103">
            <v>15583.039999999999</v>
          </cell>
          <cell r="U103">
            <v>6369.5724799999989</v>
          </cell>
          <cell r="V103">
            <v>1489.6580799999997</v>
          </cell>
          <cell r="W103">
            <v>84</v>
          </cell>
          <cell r="X103">
            <v>1144.8</v>
          </cell>
          <cell r="Y103">
            <v>107.93600139999997</v>
          </cell>
          <cell r="Z103">
            <v>33829.406561399999</v>
          </cell>
        </row>
        <row r="104">
          <cell r="A104" t="str">
            <v>Year 3</v>
          </cell>
          <cell r="P104">
            <v>0</v>
          </cell>
          <cell r="Q104">
            <v>0</v>
          </cell>
          <cell r="R104">
            <v>0</v>
          </cell>
          <cell r="S104">
            <v>0</v>
          </cell>
          <cell r="T104">
            <v>0</v>
          </cell>
          <cell r="U104">
            <v>0</v>
          </cell>
          <cell r="V104">
            <v>0</v>
          </cell>
          <cell r="W104">
            <v>0</v>
          </cell>
          <cell r="X104">
            <v>0</v>
          </cell>
          <cell r="Y104">
            <v>0</v>
          </cell>
          <cell r="Z104">
            <v>0</v>
          </cell>
        </row>
        <row r="105">
          <cell r="A105" t="str">
            <v>Year 3</v>
          </cell>
          <cell r="P105">
            <v>90795.44</v>
          </cell>
          <cell r="Q105">
            <v>3896.8</v>
          </cell>
          <cell r="R105">
            <v>3896.8</v>
          </cell>
          <cell r="S105">
            <v>2727.76</v>
          </cell>
          <cell r="T105">
            <v>7791.5199999999995</v>
          </cell>
          <cell r="U105">
            <v>6764.7158400000008</v>
          </cell>
          <cell r="V105">
            <v>1582.0706400000001</v>
          </cell>
          <cell r="W105">
            <v>42</v>
          </cell>
          <cell r="X105">
            <v>572.4</v>
          </cell>
          <cell r="Y105">
            <v>114.63192869999999</v>
          </cell>
          <cell r="Z105">
            <v>27388.698408700006</v>
          </cell>
        </row>
        <row r="106">
          <cell r="A106" t="str">
            <v>Year 3</v>
          </cell>
          <cell r="P106">
            <v>62555.840000000004</v>
          </cell>
          <cell r="Q106">
            <v>2684.8</v>
          </cell>
          <cell r="R106">
            <v>2684.8</v>
          </cell>
          <cell r="S106">
            <v>1879.3600000000001</v>
          </cell>
          <cell r="T106">
            <v>7791.5199999999995</v>
          </cell>
          <cell r="U106">
            <v>4810.9718400000002</v>
          </cell>
          <cell r="V106">
            <v>1125.1466400000002</v>
          </cell>
          <cell r="W106">
            <v>42</v>
          </cell>
          <cell r="X106">
            <v>572.4</v>
          </cell>
          <cell r="Y106">
            <v>81.524633699999995</v>
          </cell>
          <cell r="Z106">
            <v>21672.523113700001</v>
          </cell>
        </row>
        <row r="107">
          <cell r="A107" t="str">
            <v>Year 3</v>
          </cell>
          <cell r="P107">
            <v>30737.359999999997</v>
          </cell>
          <cell r="Q107">
            <v>1319.1999999999998</v>
          </cell>
          <cell r="R107">
            <v>1319.1999999999998</v>
          </cell>
          <cell r="S107">
            <v>923.43999999999994</v>
          </cell>
          <cell r="T107">
            <v>7791.5199999999995</v>
          </cell>
          <cell r="U107">
            <v>2609.6246399999995</v>
          </cell>
          <cell r="V107">
            <v>610.31543999999997</v>
          </cell>
          <cell r="W107">
            <v>42</v>
          </cell>
          <cell r="X107">
            <v>572.4</v>
          </cell>
          <cell r="Y107">
            <v>44.221562699999986</v>
          </cell>
          <cell r="Z107">
            <v>15231.921642699999</v>
          </cell>
        </row>
        <row r="108">
          <cell r="A108" t="str">
            <v>Year 3</v>
          </cell>
          <cell r="P108">
            <v>76181.679999999993</v>
          </cell>
          <cell r="Q108">
            <v>3269.6</v>
          </cell>
          <cell r="R108">
            <v>3269.6</v>
          </cell>
          <cell r="S108">
            <v>2288.7199999999998</v>
          </cell>
          <cell r="T108">
            <v>7791.5199999999995</v>
          </cell>
          <cell r="U108">
            <v>5753.6694400000006</v>
          </cell>
          <cell r="V108">
            <v>1345.6162400000003</v>
          </cell>
          <cell r="W108">
            <v>42</v>
          </cell>
          <cell r="X108">
            <v>572.4</v>
          </cell>
          <cell r="Y108">
            <v>77.999341360000003</v>
          </cell>
          <cell r="Z108">
            <v>24411.12502136</v>
          </cell>
        </row>
        <row r="109">
          <cell r="A109" t="str">
            <v>Year 3</v>
          </cell>
          <cell r="P109">
            <v>57001.119999999995</v>
          </cell>
          <cell r="Q109">
            <v>2446.3999999999996</v>
          </cell>
          <cell r="R109">
            <v>2446.3999999999996</v>
          </cell>
          <cell r="S109">
            <v>1712.48</v>
          </cell>
          <cell r="T109">
            <v>7791.5199999999995</v>
          </cell>
          <cell r="U109">
            <v>4426.6710400000002</v>
          </cell>
          <cell r="V109">
            <v>1035.2698399999999</v>
          </cell>
          <cell r="W109">
            <v>42</v>
          </cell>
          <cell r="X109">
            <v>572.4</v>
          </cell>
          <cell r="Y109">
            <v>2392.8968264299997</v>
          </cell>
          <cell r="Z109">
            <v>22866.037706430001</v>
          </cell>
        </row>
        <row r="110">
          <cell r="A110" t="str">
            <v>Year 3</v>
          </cell>
          <cell r="P110">
            <v>268500.88</v>
          </cell>
          <cell r="Q110">
            <v>11091.218025751074</v>
          </cell>
          <cell r="R110">
            <v>11091.218025751074</v>
          </cell>
          <cell r="S110">
            <v>7763.8526180257513</v>
          </cell>
          <cell r="T110">
            <v>48245.56</v>
          </cell>
          <cell r="U110">
            <v>21494.949177510727</v>
          </cell>
          <cell r="V110">
            <v>5027.0445657081546</v>
          </cell>
          <cell r="W110">
            <v>260.06652360515022</v>
          </cell>
          <cell r="X110">
            <v>3544.3351931330471</v>
          </cell>
          <cell r="Y110">
            <v>11281.705380282432</v>
          </cell>
          <cell r="Z110">
            <v>119799.94950976742</v>
          </cell>
        </row>
        <row r="111">
          <cell r="A111" t="str">
            <v>Year 3</v>
          </cell>
          <cell r="P111">
            <v>152612.46</v>
          </cell>
          <cell r="Q111">
            <v>6549.8909871244632</v>
          </cell>
          <cell r="R111">
            <v>6549.8909871244632</v>
          </cell>
          <cell r="S111">
            <v>4584.9236909871233</v>
          </cell>
          <cell r="T111">
            <v>16690.739999999998</v>
          </cell>
          <cell r="U111">
            <v>11593.250151244634</v>
          </cell>
          <cell r="V111">
            <v>2711.3246321459228</v>
          </cell>
          <cell r="W111">
            <v>89.971030042918457</v>
          </cell>
          <cell r="X111">
            <v>1226.17660944206</v>
          </cell>
          <cell r="Y111">
            <v>196.45416838953858</v>
          </cell>
          <cell r="Z111">
            <v>50192.622256501119</v>
          </cell>
        </row>
        <row r="112">
          <cell r="A112" t="str">
            <v>Year 3</v>
          </cell>
          <cell r="P112">
            <v>0</v>
          </cell>
          <cell r="Q112">
            <v>0</v>
          </cell>
          <cell r="R112">
            <v>0</v>
          </cell>
          <cell r="S112">
            <v>0</v>
          </cell>
          <cell r="T112">
            <v>0</v>
          </cell>
          <cell r="U112">
            <v>0</v>
          </cell>
          <cell r="V112">
            <v>0</v>
          </cell>
          <cell r="W112">
            <v>0</v>
          </cell>
          <cell r="X112">
            <v>0</v>
          </cell>
          <cell r="Y112">
            <v>0</v>
          </cell>
          <cell r="Z112">
            <v>0</v>
          </cell>
        </row>
        <row r="113">
          <cell r="A113" t="str">
            <v>Year 3</v>
          </cell>
          <cell r="P113">
            <v>56367.360000000001</v>
          </cell>
          <cell r="Q113">
            <v>2419.1999999999998</v>
          </cell>
          <cell r="R113">
            <v>2419.1999999999998</v>
          </cell>
          <cell r="S113">
            <v>1693.4399999999998</v>
          </cell>
          <cell r="T113">
            <v>15583.039999999999</v>
          </cell>
          <cell r="U113">
            <v>4865.8988799999997</v>
          </cell>
          <cell r="V113">
            <v>1137.9924799999999</v>
          </cell>
          <cell r="W113">
            <v>84</v>
          </cell>
          <cell r="X113">
            <v>1144.8</v>
          </cell>
          <cell r="Y113">
            <v>2630.3273684599994</v>
          </cell>
          <cell r="Z113">
            <v>31977.898728459997</v>
          </cell>
        </row>
        <row r="114">
          <cell r="A114" t="str">
            <v>Year 4</v>
          </cell>
          <cell r="P114">
            <v>30998.32</v>
          </cell>
          <cell r="Q114">
            <v>1330.3999999999999</v>
          </cell>
          <cell r="R114">
            <v>1330.3999999999999</v>
          </cell>
          <cell r="S114">
            <v>931.28</v>
          </cell>
          <cell r="T114">
            <v>7791.5199999999995</v>
          </cell>
          <cell r="U114">
            <v>2627.67904</v>
          </cell>
          <cell r="V114">
            <v>614.53783999999996</v>
          </cell>
          <cell r="W114">
            <v>42</v>
          </cell>
          <cell r="X114">
            <v>572.4</v>
          </cell>
          <cell r="Y114">
            <v>45.64069231749999</v>
          </cell>
          <cell r="Z114">
            <v>15285.857572317498</v>
          </cell>
        </row>
        <row r="115">
          <cell r="A115" t="str">
            <v>Year 4</v>
          </cell>
          <cell r="P115">
            <v>60195.299999999996</v>
          </cell>
          <cell r="Q115">
            <v>2583.4892703862661</v>
          </cell>
          <cell r="R115">
            <v>2583.4892703862661</v>
          </cell>
          <cell r="S115">
            <v>1808.4424892703862</v>
          </cell>
          <cell r="T115">
            <v>8000.5199999999995</v>
          </cell>
          <cell r="U115">
            <v>4660.6169438626612</v>
          </cell>
          <cell r="V115">
            <v>1089.9829949356224</v>
          </cell>
          <cell r="W115">
            <v>43.126609442060087</v>
          </cell>
          <cell r="X115">
            <v>587.75407725321884</v>
          </cell>
          <cell r="Y115">
            <v>80.95120473486854</v>
          </cell>
          <cell r="Z115">
            <v>21438.372860271349</v>
          </cell>
        </row>
        <row r="116">
          <cell r="A116" t="str">
            <v>Year 4</v>
          </cell>
          <cell r="P116">
            <v>64531.679999999993</v>
          </cell>
          <cell r="Q116">
            <v>2769.6</v>
          </cell>
          <cell r="R116">
            <v>2769.6</v>
          </cell>
          <cell r="S116">
            <v>1938.7199999999998</v>
          </cell>
          <cell r="T116">
            <v>15583.039999999999</v>
          </cell>
          <cell r="U116">
            <v>5430.7436799999996</v>
          </cell>
          <cell r="V116">
            <v>1270.09328</v>
          </cell>
          <cell r="W116">
            <v>84</v>
          </cell>
          <cell r="X116">
            <v>1144.8</v>
          </cell>
          <cell r="Y116">
            <v>1575.2724703444994</v>
          </cell>
          <cell r="Z116">
            <v>32565.869430344497</v>
          </cell>
        </row>
        <row r="117">
          <cell r="A117" t="str">
            <v>Year 4</v>
          </cell>
          <cell r="P117">
            <v>212099.68</v>
          </cell>
          <cell r="Q117">
            <v>9021.1879828326182</v>
          </cell>
          <cell r="R117">
            <v>9021.1879828326182</v>
          </cell>
          <cell r="S117">
            <v>6314.8315879828315</v>
          </cell>
          <cell r="T117">
            <v>46097.039999999994</v>
          </cell>
          <cell r="U117">
            <v>17518.343508326176</v>
          </cell>
          <cell r="V117">
            <v>4097.0319495278964</v>
          </cell>
          <cell r="W117">
            <v>248.48497854077252</v>
          </cell>
          <cell r="X117">
            <v>3386.4952789699569</v>
          </cell>
          <cell r="Y117">
            <v>5047.1929392069842</v>
          </cell>
          <cell r="Z117">
            <v>100751.79620821985</v>
          </cell>
        </row>
        <row r="118">
          <cell r="A118" t="str">
            <v>Year 4</v>
          </cell>
          <cell r="P118">
            <v>44232.72</v>
          </cell>
          <cell r="Q118">
            <v>1898.4</v>
          </cell>
          <cell r="R118">
            <v>1898.4</v>
          </cell>
          <cell r="S118">
            <v>1328.88</v>
          </cell>
          <cell r="T118">
            <v>7791.5199999999995</v>
          </cell>
          <cell r="U118">
            <v>3543.29504</v>
          </cell>
          <cell r="V118">
            <v>828.67384000000004</v>
          </cell>
          <cell r="W118">
            <v>42</v>
          </cell>
          <cell r="X118">
            <v>572.4</v>
          </cell>
          <cell r="Y118">
            <v>61.544213067499982</v>
          </cell>
          <cell r="Z118">
            <v>17965.113093067503</v>
          </cell>
        </row>
        <row r="119">
          <cell r="A119" t="str">
            <v>Year 4</v>
          </cell>
          <cell r="P119">
            <v>0</v>
          </cell>
          <cell r="Q119">
            <v>0</v>
          </cell>
          <cell r="R119">
            <v>0</v>
          </cell>
          <cell r="S119">
            <v>0</v>
          </cell>
          <cell r="T119">
            <v>0</v>
          </cell>
          <cell r="U119">
            <v>0</v>
          </cell>
          <cell r="V119">
            <v>0</v>
          </cell>
          <cell r="W119">
            <v>0</v>
          </cell>
          <cell r="X119">
            <v>0</v>
          </cell>
          <cell r="Y119">
            <v>0</v>
          </cell>
          <cell r="Z119">
            <v>0</v>
          </cell>
        </row>
        <row r="120">
          <cell r="A120" t="str">
            <v>Year 4</v>
          </cell>
          <cell r="P120">
            <v>138569.76</v>
          </cell>
          <cell r="Q120">
            <v>5947.2000000000007</v>
          </cell>
          <cell r="R120">
            <v>5947.2000000000007</v>
          </cell>
          <cell r="S120">
            <v>4163.04</v>
          </cell>
          <cell r="T120">
            <v>15583.039999999999</v>
          </cell>
          <cell r="U120">
            <v>10553.034880000003</v>
          </cell>
          <cell r="V120">
            <v>2468.0484800000008</v>
          </cell>
          <cell r="W120">
            <v>84</v>
          </cell>
          <cell r="X120">
            <v>1144.8</v>
          </cell>
          <cell r="Y120">
            <v>183.29781173500001</v>
          </cell>
          <cell r="Z120">
            <v>46073.661171735002</v>
          </cell>
        </row>
        <row r="121">
          <cell r="A121" t="str">
            <v>Year 4</v>
          </cell>
          <cell r="P121">
            <v>835990</v>
          </cell>
          <cell r="Q121">
            <v>35879.3991416309</v>
          </cell>
          <cell r="R121">
            <v>35879.3991416309</v>
          </cell>
          <cell r="S121">
            <v>25115.579399141636</v>
          </cell>
          <cell r="T121">
            <v>85690</v>
          </cell>
          <cell r="U121">
            <v>63150.371416309004</v>
          </cell>
          <cell r="V121">
            <v>14769.03847639485</v>
          </cell>
          <cell r="W121">
            <v>461.90987124463521</v>
          </cell>
          <cell r="X121">
            <v>6295.171673819742</v>
          </cell>
          <cell r="Y121">
            <v>1096.8716603788891</v>
          </cell>
          <cell r="Z121">
            <v>268337.74078055052</v>
          </cell>
        </row>
        <row r="122">
          <cell r="A122" t="str">
            <v>Year 4</v>
          </cell>
          <cell r="P122">
            <v>0</v>
          </cell>
          <cell r="Q122">
            <v>0</v>
          </cell>
          <cell r="R122">
            <v>0</v>
          </cell>
          <cell r="S122">
            <v>0</v>
          </cell>
          <cell r="T122">
            <v>0</v>
          </cell>
          <cell r="U122">
            <v>0</v>
          </cell>
          <cell r="V122">
            <v>0</v>
          </cell>
          <cell r="W122">
            <v>0</v>
          </cell>
          <cell r="X122">
            <v>0</v>
          </cell>
          <cell r="Y122">
            <v>0</v>
          </cell>
          <cell r="Z122">
            <v>0</v>
          </cell>
        </row>
        <row r="123">
          <cell r="A123" t="str">
            <v>Year 4</v>
          </cell>
          <cell r="P123">
            <v>0</v>
          </cell>
          <cell r="Q123">
            <v>0</v>
          </cell>
          <cell r="R123">
            <v>0</v>
          </cell>
          <cell r="S123">
            <v>0</v>
          </cell>
          <cell r="T123">
            <v>0</v>
          </cell>
          <cell r="U123">
            <v>0</v>
          </cell>
          <cell r="V123">
            <v>0</v>
          </cell>
          <cell r="W123">
            <v>0</v>
          </cell>
          <cell r="X123">
            <v>0</v>
          </cell>
          <cell r="Y123">
            <v>0</v>
          </cell>
          <cell r="Z123">
            <v>0</v>
          </cell>
        </row>
        <row r="124">
          <cell r="A124" t="str">
            <v>Year 4</v>
          </cell>
          <cell r="P124">
            <v>81631.400000000009</v>
          </cell>
          <cell r="Q124">
            <v>3484.9957081545067</v>
          </cell>
          <cell r="R124">
            <v>3484.9957081545067</v>
          </cell>
          <cell r="S124">
            <v>2439.4969957081548</v>
          </cell>
          <cell r="T124">
            <v>15750.24</v>
          </cell>
          <cell r="U124">
            <v>6621.0499615450644</v>
          </cell>
          <cell r="V124">
            <v>1548.471361974249</v>
          </cell>
          <cell r="W124">
            <v>84.901287553648075</v>
          </cell>
          <cell r="X124">
            <v>1157.0832618025752</v>
          </cell>
          <cell r="Y124">
            <v>3607.9540925619676</v>
          </cell>
          <cell r="Z124">
            <v>38179.188377454673</v>
          </cell>
        </row>
        <row r="125">
          <cell r="A125" t="str">
            <v>Year 4</v>
          </cell>
          <cell r="P125">
            <v>68613.840000000011</v>
          </cell>
          <cell r="Q125">
            <v>2944.8</v>
          </cell>
          <cell r="R125">
            <v>2944.8</v>
          </cell>
          <cell r="S125">
            <v>2061.36</v>
          </cell>
          <cell r="T125">
            <v>7791.5199999999995</v>
          </cell>
          <cell r="U125">
            <v>5230.091840000001</v>
          </cell>
          <cell r="V125">
            <v>1223.1666400000004</v>
          </cell>
          <cell r="W125">
            <v>42</v>
          </cell>
          <cell r="X125">
            <v>572.4</v>
          </cell>
          <cell r="Y125">
            <v>90.842530167500001</v>
          </cell>
          <cell r="Z125">
            <v>22900.981010167503</v>
          </cell>
        </row>
        <row r="126">
          <cell r="A126" t="str">
            <v>Year 4</v>
          </cell>
          <cell r="P126">
            <v>153846</v>
          </cell>
          <cell r="Q126">
            <v>6602.8326180257509</v>
          </cell>
          <cell r="R126">
            <v>6602.8326180257509</v>
          </cell>
          <cell r="S126">
            <v>4621.9828326180259</v>
          </cell>
          <cell r="T126">
            <v>23199</v>
          </cell>
          <cell r="U126">
            <v>12082.104180257509</v>
          </cell>
          <cell r="V126">
            <v>2825.6533969957081</v>
          </cell>
          <cell r="W126">
            <v>125.05364806866953</v>
          </cell>
          <cell r="X126">
            <v>1704.302575107296</v>
          </cell>
          <cell r="Y126">
            <v>209.85652777407449</v>
          </cell>
          <cell r="Z126">
            <v>57973.618396872786</v>
          </cell>
        </row>
        <row r="127">
          <cell r="A127" t="str">
            <v>Year 4</v>
          </cell>
          <cell r="P127">
            <v>23803.279999999999</v>
          </cell>
          <cell r="Q127">
            <v>1021.5999999999999</v>
          </cell>
          <cell r="R127">
            <v>1021.5999999999999</v>
          </cell>
          <cell r="S127">
            <v>715.12</v>
          </cell>
          <cell r="T127">
            <v>7791.5199999999995</v>
          </cell>
          <cell r="U127">
            <v>2129.8934399999998</v>
          </cell>
          <cell r="V127">
            <v>498.12023999999997</v>
          </cell>
          <cell r="W127">
            <v>42</v>
          </cell>
          <cell r="X127">
            <v>572.4</v>
          </cell>
          <cell r="Y127">
            <v>36.994552867499991</v>
          </cell>
          <cell r="Z127">
            <v>13829.2482328675</v>
          </cell>
        </row>
        <row r="128">
          <cell r="A128" t="str">
            <v>Year 4</v>
          </cell>
          <cell r="P128">
            <v>60225.840000000004</v>
          </cell>
          <cell r="Q128">
            <v>2584.8000000000002</v>
          </cell>
          <cell r="R128">
            <v>2584.8000000000002</v>
          </cell>
          <cell r="S128">
            <v>1809.3600000000001</v>
          </cell>
          <cell r="T128">
            <v>7791.5199999999995</v>
          </cell>
          <cell r="U128">
            <v>4649.7718400000003</v>
          </cell>
          <cell r="V128">
            <v>1087.4466400000001</v>
          </cell>
          <cell r="W128">
            <v>42</v>
          </cell>
          <cell r="X128">
            <v>572.4</v>
          </cell>
          <cell r="Y128">
            <v>80.762833917499989</v>
          </cell>
          <cell r="Z128">
            <v>21202.8613139175</v>
          </cell>
        </row>
        <row r="129">
          <cell r="A129" t="str">
            <v>Year 4</v>
          </cell>
          <cell r="P129">
            <v>24143.46</v>
          </cell>
          <cell r="Q129">
            <v>1036.1999999999998</v>
          </cell>
          <cell r="R129">
            <v>1036.1999999999998</v>
          </cell>
          <cell r="S129">
            <v>725.34</v>
          </cell>
          <cell r="T129">
            <v>5843.6399999999994</v>
          </cell>
          <cell r="U129">
            <v>2032.6600799999999</v>
          </cell>
          <cell r="V129">
            <v>475.38018</v>
          </cell>
          <cell r="W129">
            <v>31.5</v>
          </cell>
          <cell r="X129">
            <v>429.29999999999995</v>
          </cell>
          <cell r="Y129">
            <v>1267.4741574886871</v>
          </cell>
          <cell r="Z129">
            <v>12877.694417488685</v>
          </cell>
        </row>
        <row r="130">
          <cell r="A130" t="str">
            <v>Year 4</v>
          </cell>
          <cell r="P130">
            <v>48875.680000000008</v>
          </cell>
          <cell r="Q130">
            <v>2097.6686695278972</v>
          </cell>
          <cell r="R130">
            <v>2097.6686695278972</v>
          </cell>
          <cell r="S130">
            <v>1468.3680686695279</v>
          </cell>
          <cell r="T130">
            <v>7958.7199999999993</v>
          </cell>
          <cell r="U130">
            <v>3874.8825352789709</v>
          </cell>
          <cell r="V130">
            <v>906.22252841201737</v>
          </cell>
          <cell r="W130">
            <v>42.901287553648068</v>
          </cell>
          <cell r="X130">
            <v>584.68326180257509</v>
          </cell>
          <cell r="Y130">
            <v>498.04681607442484</v>
          </cell>
          <cell r="Z130">
            <v>19529.161836846957</v>
          </cell>
        </row>
        <row r="131">
          <cell r="A131" t="str">
            <v>Year 4</v>
          </cell>
          <cell r="P131">
            <v>72360.479999999996</v>
          </cell>
          <cell r="Q131">
            <v>3105.6</v>
          </cell>
          <cell r="R131">
            <v>3105.6</v>
          </cell>
          <cell r="S131">
            <v>2173.92</v>
          </cell>
          <cell r="T131">
            <v>7791.5199999999995</v>
          </cell>
          <cell r="U131">
            <v>5489.3014400000002</v>
          </cell>
          <cell r="V131">
            <v>1283.7882400000003</v>
          </cell>
          <cell r="W131">
            <v>42</v>
          </cell>
          <cell r="X131">
            <v>572.4</v>
          </cell>
          <cell r="Y131">
            <v>95.344794492499986</v>
          </cell>
          <cell r="Z131">
            <v>23659.474474492501</v>
          </cell>
        </row>
        <row r="132">
          <cell r="A132" t="str">
            <v>Year 4</v>
          </cell>
          <cell r="P132">
            <v>22815.360000000001</v>
          </cell>
          <cell r="Q132">
            <v>979.2</v>
          </cell>
          <cell r="R132">
            <v>979.2</v>
          </cell>
          <cell r="S132">
            <v>685.44</v>
          </cell>
          <cell r="T132">
            <v>7791.5199999999995</v>
          </cell>
          <cell r="U132">
            <v>2061.5446400000001</v>
          </cell>
          <cell r="V132">
            <v>482.13544000000002</v>
          </cell>
          <cell r="W132">
            <v>42</v>
          </cell>
          <cell r="X132">
            <v>572.4</v>
          </cell>
          <cell r="Y132">
            <v>1006.1876208542499</v>
          </cell>
          <cell r="Z132">
            <v>14599.627700854249</v>
          </cell>
        </row>
        <row r="133">
          <cell r="A133" t="str">
            <v>Year 4</v>
          </cell>
          <cell r="P133">
            <v>58660.079999999994</v>
          </cell>
          <cell r="Q133">
            <v>2517.6</v>
          </cell>
          <cell r="R133">
            <v>2517.6</v>
          </cell>
          <cell r="S133">
            <v>1762.32</v>
          </cell>
          <cell r="T133">
            <v>7791.5199999999995</v>
          </cell>
          <cell r="U133">
            <v>4541.4454399999995</v>
          </cell>
          <cell r="V133">
            <v>1062.1122399999999</v>
          </cell>
          <cell r="W133">
            <v>42</v>
          </cell>
          <cell r="X133">
            <v>572.4</v>
          </cell>
          <cell r="Y133">
            <v>78.881290617499971</v>
          </cell>
          <cell r="Z133">
            <v>20885.878970617498</v>
          </cell>
        </row>
        <row r="134">
          <cell r="A134" t="str">
            <v>Year 4</v>
          </cell>
          <cell r="P134">
            <v>119372.4</v>
          </cell>
          <cell r="Q134">
            <v>5109.7253218884116</v>
          </cell>
          <cell r="R134">
            <v>5109.7253218884116</v>
          </cell>
          <cell r="S134">
            <v>3576.8077253218885</v>
          </cell>
          <cell r="T134">
            <v>31517.199999999997</v>
          </cell>
          <cell r="U134">
            <v>10210.523218884118</v>
          </cell>
          <cell r="V134">
            <v>2387.9449463519309</v>
          </cell>
          <cell r="W134">
            <v>169.89270386266094</v>
          </cell>
          <cell r="X134">
            <v>2315.3948497854076</v>
          </cell>
          <cell r="Y134">
            <v>177.00857488838517</v>
          </cell>
          <cell r="Z134">
            <v>60574.222662871216</v>
          </cell>
        </row>
        <row r="135">
          <cell r="A135" t="str">
            <v>Year 4</v>
          </cell>
          <cell r="P135">
            <v>77598.320000000007</v>
          </cell>
          <cell r="Q135">
            <v>3330.4</v>
          </cell>
          <cell r="R135">
            <v>3330.4</v>
          </cell>
          <cell r="S135">
            <v>2331.2800000000002</v>
          </cell>
          <cell r="T135">
            <v>7791.5199999999995</v>
          </cell>
          <cell r="U135">
            <v>5851.67904</v>
          </cell>
          <cell r="V135">
            <v>1368.53784</v>
          </cell>
          <cell r="W135">
            <v>42</v>
          </cell>
          <cell r="X135">
            <v>572.4</v>
          </cell>
          <cell r="Y135">
            <v>101.63900481749998</v>
          </cell>
          <cell r="Z135">
            <v>24719.855884817502</v>
          </cell>
        </row>
        <row r="136">
          <cell r="A136" t="str">
            <v>Year 4</v>
          </cell>
          <cell r="P136">
            <v>43114.32</v>
          </cell>
          <cell r="Q136">
            <v>1850.3999999999999</v>
          </cell>
          <cell r="R136">
            <v>1850.3999999999999</v>
          </cell>
          <cell r="S136">
            <v>1295.28</v>
          </cell>
          <cell r="T136">
            <v>7791.5199999999995</v>
          </cell>
          <cell r="U136">
            <v>3465.9190399999998</v>
          </cell>
          <cell r="V136">
            <v>810.57784000000004</v>
          </cell>
          <cell r="W136">
            <v>42</v>
          </cell>
          <cell r="X136">
            <v>572.4</v>
          </cell>
          <cell r="Y136">
            <v>445.48187639949981</v>
          </cell>
          <cell r="Z136">
            <v>18123.978756399501</v>
          </cell>
        </row>
        <row r="137">
          <cell r="A137" t="str">
            <v>Year 4</v>
          </cell>
          <cell r="P137">
            <v>213090.63999999998</v>
          </cell>
          <cell r="Q137">
            <v>8981.7871244635189</v>
          </cell>
          <cell r="R137">
            <v>8981.7871244635189</v>
          </cell>
          <cell r="S137">
            <v>6287.2509871244629</v>
          </cell>
          <cell r="T137">
            <v>57324.52</v>
          </cell>
          <cell r="U137">
            <v>18269.291084635192</v>
          </cell>
          <cell r="V137">
            <v>4272.6567859227471</v>
          </cell>
          <cell r="W137">
            <v>309.00643776824035</v>
          </cell>
          <cell r="X137">
            <v>4211.3163090128755</v>
          </cell>
          <cell r="Y137">
            <v>313.21469927271721</v>
          </cell>
          <cell r="Z137">
            <v>108950.83055266328</v>
          </cell>
        </row>
        <row r="138">
          <cell r="A138" t="str">
            <v>Year 4</v>
          </cell>
          <cell r="P138">
            <v>82090.559999999998</v>
          </cell>
          <cell r="Q138">
            <v>3523.2</v>
          </cell>
          <cell r="R138">
            <v>3523.2</v>
          </cell>
          <cell r="S138">
            <v>2466.2399999999998</v>
          </cell>
          <cell r="T138">
            <v>15583.039999999999</v>
          </cell>
          <cell r="U138">
            <v>6645.546879999999</v>
          </cell>
          <cell r="V138">
            <v>1554.20048</v>
          </cell>
          <cell r="W138">
            <v>84</v>
          </cell>
          <cell r="X138">
            <v>1144.8</v>
          </cell>
          <cell r="Y138">
            <v>854.16614168899969</v>
          </cell>
          <cell r="Z138">
            <v>35378.393501689003</v>
          </cell>
        </row>
        <row r="139">
          <cell r="A139" t="str">
            <v>Year 4</v>
          </cell>
          <cell r="P139">
            <v>35509.200000000004</v>
          </cell>
          <cell r="Q139">
            <v>1524</v>
          </cell>
          <cell r="R139">
            <v>1524</v>
          </cell>
          <cell r="S139">
            <v>1066.8</v>
          </cell>
          <cell r="T139">
            <v>7791.5199999999995</v>
          </cell>
          <cell r="U139">
            <v>2939.76224</v>
          </cell>
          <cell r="V139">
            <v>687.5250400000001</v>
          </cell>
          <cell r="W139">
            <v>42</v>
          </cell>
          <cell r="X139">
            <v>572.4</v>
          </cell>
          <cell r="Y139">
            <v>51.061328967499996</v>
          </cell>
          <cell r="Z139">
            <v>16199.0686089675</v>
          </cell>
        </row>
        <row r="140">
          <cell r="A140" t="str">
            <v>Year 4</v>
          </cell>
          <cell r="P140">
            <v>78101.599999999991</v>
          </cell>
          <cell r="Q140">
            <v>3352</v>
          </cell>
          <cell r="R140">
            <v>3352</v>
          </cell>
          <cell r="S140">
            <v>2346.4</v>
          </cell>
          <cell r="T140">
            <v>15583.039999999999</v>
          </cell>
          <cell r="U140">
            <v>6369.5724799999989</v>
          </cell>
          <cell r="V140">
            <v>1489.6580799999997</v>
          </cell>
          <cell r="W140">
            <v>84</v>
          </cell>
          <cell r="X140">
            <v>1144.8</v>
          </cell>
          <cell r="Y140">
            <v>110.63440143499994</v>
          </cell>
          <cell r="Z140">
            <v>33832.104961435005</v>
          </cell>
        </row>
        <row r="141">
          <cell r="A141" t="str">
            <v>Year 4</v>
          </cell>
          <cell r="P141">
            <v>0</v>
          </cell>
          <cell r="Q141">
            <v>0</v>
          </cell>
          <cell r="R141">
            <v>0</v>
          </cell>
          <cell r="S141">
            <v>0</v>
          </cell>
          <cell r="T141">
            <v>0</v>
          </cell>
          <cell r="U141">
            <v>0</v>
          </cell>
          <cell r="V141">
            <v>0</v>
          </cell>
          <cell r="W141">
            <v>0</v>
          </cell>
          <cell r="X141">
            <v>0</v>
          </cell>
          <cell r="Y141">
            <v>0</v>
          </cell>
          <cell r="Z141">
            <v>0</v>
          </cell>
        </row>
        <row r="142">
          <cell r="A142" t="str">
            <v>Year 4</v>
          </cell>
          <cell r="P142">
            <v>93069.52</v>
          </cell>
          <cell r="Q142">
            <v>3994.4</v>
          </cell>
          <cell r="R142">
            <v>3994.4</v>
          </cell>
          <cell r="S142">
            <v>2796.08</v>
          </cell>
          <cell r="T142">
            <v>7791.5199999999995</v>
          </cell>
          <cell r="U142">
            <v>6922.0470399999995</v>
          </cell>
          <cell r="V142">
            <v>1618.8658400000002</v>
          </cell>
          <cell r="W142">
            <v>42</v>
          </cell>
          <cell r="X142">
            <v>572.4</v>
          </cell>
          <cell r="Y142">
            <v>120.23044456749997</v>
          </cell>
          <cell r="Z142">
            <v>27851.943324567499</v>
          </cell>
        </row>
        <row r="143">
          <cell r="A143" t="str">
            <v>Year 4</v>
          </cell>
          <cell r="P143">
            <v>64121.599999999999</v>
          </cell>
          <cell r="Q143">
            <v>2752</v>
          </cell>
          <cell r="R143">
            <v>2752</v>
          </cell>
          <cell r="S143">
            <v>1926.3999999999999</v>
          </cell>
          <cell r="T143">
            <v>7791.5199999999995</v>
          </cell>
          <cell r="U143">
            <v>4919.2982400000001</v>
          </cell>
          <cell r="V143">
            <v>1150.4810400000001</v>
          </cell>
          <cell r="W143">
            <v>42</v>
          </cell>
          <cell r="X143">
            <v>572.4</v>
          </cell>
          <cell r="Y143">
            <v>85.444292842499976</v>
          </cell>
          <cell r="Z143">
            <v>21991.5435728425</v>
          </cell>
        </row>
        <row r="144">
          <cell r="A144" t="str">
            <v>Year 4</v>
          </cell>
          <cell r="P144">
            <v>30737.359999999997</v>
          </cell>
          <cell r="Q144">
            <v>1319.1999999999998</v>
          </cell>
          <cell r="R144">
            <v>1319.1999999999998</v>
          </cell>
          <cell r="S144">
            <v>923.43999999999994</v>
          </cell>
          <cell r="T144">
            <v>7791.5199999999995</v>
          </cell>
          <cell r="U144">
            <v>2609.6246399999995</v>
          </cell>
          <cell r="V144">
            <v>610.31543999999997</v>
          </cell>
          <cell r="W144">
            <v>42</v>
          </cell>
          <cell r="X144">
            <v>572.4</v>
          </cell>
          <cell r="Y144">
            <v>45.327101767499983</v>
          </cell>
          <cell r="Z144">
            <v>15233.027181767498</v>
          </cell>
        </row>
        <row r="145">
          <cell r="A145" t="str">
            <v>Year 4</v>
          </cell>
          <cell r="P145">
            <v>78082.960000000006</v>
          </cell>
          <cell r="Q145">
            <v>3351.2</v>
          </cell>
          <cell r="R145">
            <v>3351.2</v>
          </cell>
          <cell r="S145">
            <v>2345.84</v>
          </cell>
          <cell r="T145">
            <v>7791.5199999999995</v>
          </cell>
          <cell r="U145">
            <v>5885.2086399999998</v>
          </cell>
          <cell r="V145">
            <v>1376.3794400000002</v>
          </cell>
          <cell r="W145">
            <v>42</v>
          </cell>
          <cell r="X145">
            <v>572.4</v>
          </cell>
          <cell r="Y145">
            <v>81.777109813999985</v>
          </cell>
          <cell r="Z145">
            <v>24797.525189814001</v>
          </cell>
        </row>
        <row r="146">
          <cell r="A146" t="str">
            <v>Year 4</v>
          </cell>
          <cell r="P146">
            <v>58417.760000000002</v>
          </cell>
          <cell r="Q146">
            <v>2507.1999999999998</v>
          </cell>
          <cell r="R146">
            <v>2507.1999999999998</v>
          </cell>
          <cell r="S146">
            <v>1755.04</v>
          </cell>
          <cell r="T146">
            <v>7791.5199999999995</v>
          </cell>
          <cell r="U146">
            <v>4524.6806400000005</v>
          </cell>
          <cell r="V146">
            <v>1058.1914400000001</v>
          </cell>
          <cell r="W146">
            <v>42</v>
          </cell>
          <cell r="X146">
            <v>572.4</v>
          </cell>
          <cell r="Y146">
            <v>2507.0241706207494</v>
          </cell>
          <cell r="Z146">
            <v>23265.256250620747</v>
          </cell>
        </row>
        <row r="147">
          <cell r="A147" t="str">
            <v>Year 4</v>
          </cell>
          <cell r="P147">
            <v>268500.88</v>
          </cell>
          <cell r="Q147">
            <v>11091.218025751074</v>
          </cell>
          <cell r="R147">
            <v>11091.218025751074</v>
          </cell>
          <cell r="S147">
            <v>7763.8526180257513</v>
          </cell>
          <cell r="T147">
            <v>48245.56</v>
          </cell>
          <cell r="U147">
            <v>21494.949177510727</v>
          </cell>
          <cell r="V147">
            <v>5027.0445657081546</v>
          </cell>
          <cell r="W147">
            <v>260.06652360515022</v>
          </cell>
          <cell r="X147">
            <v>3544.3351931330471</v>
          </cell>
          <cell r="Y147">
            <v>11563.748014789491</v>
          </cell>
          <cell r="Z147">
            <v>120081.99214427448</v>
          </cell>
        </row>
        <row r="148">
          <cell r="A148" t="str">
            <v>Year 4</v>
          </cell>
          <cell r="P148">
            <v>156445.74</v>
          </cell>
          <cell r="Q148">
            <v>6714.4094420600859</v>
          </cell>
          <cell r="R148">
            <v>6714.4094420600859</v>
          </cell>
          <cell r="S148">
            <v>4700.0866094420599</v>
          </cell>
          <cell r="T148">
            <v>16690.739999999998</v>
          </cell>
          <cell r="U148">
            <v>11858.453900600854</v>
          </cell>
          <cell r="V148">
            <v>2773.3480896566516</v>
          </cell>
          <cell r="W148">
            <v>89.971030042918457</v>
          </cell>
          <cell r="X148">
            <v>1226.17660944206</v>
          </cell>
          <cell r="Y148">
            <v>205.97190052502808</v>
          </cell>
          <cell r="Z148">
            <v>50973.567023829753</v>
          </cell>
        </row>
        <row r="149">
          <cell r="A149" t="str">
            <v>Year 4</v>
          </cell>
          <cell r="P149">
            <v>0</v>
          </cell>
          <cell r="Q149">
            <v>0</v>
          </cell>
          <cell r="R149">
            <v>0</v>
          </cell>
          <cell r="S149">
            <v>0</v>
          </cell>
          <cell r="T149">
            <v>0</v>
          </cell>
          <cell r="U149">
            <v>0</v>
          </cell>
          <cell r="V149">
            <v>0</v>
          </cell>
          <cell r="W149">
            <v>0</v>
          </cell>
          <cell r="X149">
            <v>0</v>
          </cell>
          <cell r="Y149">
            <v>0</v>
          </cell>
          <cell r="Z149">
            <v>0</v>
          </cell>
        </row>
        <row r="150">
          <cell r="A150" t="str">
            <v>Year 4</v>
          </cell>
          <cell r="P150">
            <v>56367.360000000001</v>
          </cell>
          <cell r="Q150">
            <v>2419.1999999999998</v>
          </cell>
          <cell r="R150">
            <v>2419.1999999999998</v>
          </cell>
          <cell r="S150">
            <v>1693.4399999999998</v>
          </cell>
          <cell r="T150">
            <v>15583.039999999999</v>
          </cell>
          <cell r="U150">
            <v>4865.8988799999997</v>
          </cell>
          <cell r="V150">
            <v>1137.9924799999999</v>
          </cell>
          <cell r="W150">
            <v>84</v>
          </cell>
          <cell r="X150">
            <v>1144.8</v>
          </cell>
          <cell r="Y150">
            <v>2696.0855526714986</v>
          </cell>
          <cell r="Z150">
            <v>32043.656912671497</v>
          </cell>
        </row>
        <row r="151">
          <cell r="A151" t="str">
            <v>Year 5</v>
          </cell>
          <cell r="P151">
            <v>30998.32</v>
          </cell>
          <cell r="Q151">
            <v>1330.3999999999999</v>
          </cell>
          <cell r="R151">
            <v>1330.3999999999999</v>
          </cell>
          <cell r="S151">
            <v>931.28</v>
          </cell>
          <cell r="T151">
            <v>7791.5199999999995</v>
          </cell>
          <cell r="U151">
            <v>2627.67904</v>
          </cell>
          <cell r="V151">
            <v>614.53783999999996</v>
          </cell>
          <cell r="W151">
            <v>42</v>
          </cell>
          <cell r="X151">
            <v>572.4</v>
          </cell>
          <cell r="Y151">
            <v>46.781709625437479</v>
          </cell>
          <cell r="Z151">
            <v>15286.998589625435</v>
          </cell>
        </row>
        <row r="152">
          <cell r="A152" t="str">
            <v>Year 5</v>
          </cell>
          <cell r="P152">
            <v>61707.360000000001</v>
          </cell>
          <cell r="Q152">
            <v>2648.3845493562235</v>
          </cell>
          <cell r="R152">
            <v>2648.3845493562235</v>
          </cell>
          <cell r="S152">
            <v>1853.8691845493561</v>
          </cell>
          <cell r="T152">
            <v>8000.5199999999995</v>
          </cell>
          <cell r="U152">
            <v>4765.2281335622329</v>
          </cell>
          <cell r="V152">
            <v>1114.4485151072963</v>
          </cell>
          <cell r="W152">
            <v>43.126609442060087</v>
          </cell>
          <cell r="X152">
            <v>587.75407725321884</v>
          </cell>
          <cell r="Y152">
            <v>84.837423235401602</v>
          </cell>
          <cell r="Z152">
            <v>21746.553041862011</v>
          </cell>
        </row>
        <row r="153">
          <cell r="A153" t="str">
            <v>Year 5</v>
          </cell>
          <cell r="P153">
            <v>64531.679999999993</v>
          </cell>
          <cell r="Q153">
            <v>2769.6</v>
          </cell>
          <cell r="R153">
            <v>2769.6</v>
          </cell>
          <cell r="S153">
            <v>1938.7199999999998</v>
          </cell>
          <cell r="T153">
            <v>15583.039999999999</v>
          </cell>
          <cell r="U153">
            <v>5430.7436799999996</v>
          </cell>
          <cell r="V153">
            <v>1270.09328</v>
          </cell>
          <cell r="W153">
            <v>84</v>
          </cell>
          <cell r="X153">
            <v>1144.8</v>
          </cell>
          <cell r="Y153">
            <v>1614.6542821031119</v>
          </cell>
          <cell r="Z153">
            <v>32605.25124210311</v>
          </cell>
        </row>
        <row r="154">
          <cell r="A154" t="str">
            <v>Year 5</v>
          </cell>
          <cell r="P154">
            <v>212099.68</v>
          </cell>
          <cell r="Q154">
            <v>9021.1879828326182</v>
          </cell>
          <cell r="R154">
            <v>9021.1879828326182</v>
          </cell>
          <cell r="S154">
            <v>6314.8315879828315</v>
          </cell>
          <cell r="T154">
            <v>46097.039999999994</v>
          </cell>
          <cell r="U154">
            <v>17518.343508326176</v>
          </cell>
          <cell r="V154">
            <v>4097.0319495278964</v>
          </cell>
          <cell r="W154">
            <v>248.48497854077252</v>
          </cell>
          <cell r="X154">
            <v>3386.4952789699569</v>
          </cell>
          <cell r="Y154">
            <v>5173.3727626871587</v>
          </cell>
          <cell r="Z154">
            <v>100877.97603170002</v>
          </cell>
        </row>
        <row r="155">
          <cell r="A155" t="str">
            <v>Year 5</v>
          </cell>
          <cell r="P155">
            <v>45332.480000000003</v>
          </cell>
          <cell r="Q155">
            <v>1945.6</v>
          </cell>
          <cell r="R155">
            <v>1945.6</v>
          </cell>
          <cell r="S155">
            <v>1361.92</v>
          </cell>
          <cell r="T155">
            <v>7791.5199999999995</v>
          </cell>
          <cell r="U155">
            <v>3619.3814399999997</v>
          </cell>
          <cell r="V155">
            <v>846.46823999999992</v>
          </cell>
          <cell r="W155">
            <v>42</v>
          </cell>
          <cell r="X155">
            <v>572.4</v>
          </cell>
          <cell r="Y155">
            <v>64.43741757356247</v>
          </cell>
          <cell r="Z155">
            <v>18189.327097573561</v>
          </cell>
        </row>
        <row r="156">
          <cell r="A156" t="str">
            <v>Year 5</v>
          </cell>
          <cell r="P156">
            <v>0</v>
          </cell>
          <cell r="Q156">
            <v>0</v>
          </cell>
          <cell r="R156">
            <v>0</v>
          </cell>
          <cell r="S156">
            <v>0</v>
          </cell>
          <cell r="T156">
            <v>0</v>
          </cell>
          <cell r="U156">
            <v>0</v>
          </cell>
          <cell r="V156">
            <v>0</v>
          </cell>
          <cell r="W156">
            <v>0</v>
          </cell>
          <cell r="X156">
            <v>0</v>
          </cell>
          <cell r="Y156">
            <v>0</v>
          </cell>
          <cell r="Z156">
            <v>0</v>
          </cell>
        </row>
        <row r="157">
          <cell r="A157" t="str">
            <v>Year 5</v>
          </cell>
          <cell r="P157">
            <v>142036.80000000002</v>
          </cell>
          <cell r="Q157">
            <v>6096</v>
          </cell>
          <cell r="R157">
            <v>6096</v>
          </cell>
          <cell r="S157">
            <v>4267.2</v>
          </cell>
          <cell r="T157">
            <v>15583.039999999999</v>
          </cell>
          <cell r="U157">
            <v>10792.900480000002</v>
          </cell>
          <cell r="V157">
            <v>2524.1460800000009</v>
          </cell>
          <cell r="W157">
            <v>84</v>
          </cell>
          <cell r="X157">
            <v>1144.8</v>
          </cell>
          <cell r="Y157">
            <v>192.15068833962496</v>
          </cell>
          <cell r="Z157">
            <v>46780.237248339625</v>
          </cell>
        </row>
        <row r="158">
          <cell r="A158" t="str">
            <v>Year 5</v>
          </cell>
          <cell r="P158">
            <v>856900</v>
          </cell>
          <cell r="Q158">
            <v>36776.824034334764</v>
          </cell>
          <cell r="R158">
            <v>36776.824034334764</v>
          </cell>
          <cell r="S158">
            <v>25743.776824034332</v>
          </cell>
          <cell r="T158">
            <v>85690</v>
          </cell>
          <cell r="U158">
            <v>64597.020343347634</v>
          </cell>
          <cell r="V158">
            <v>15107.367660944205</v>
          </cell>
          <cell r="W158">
            <v>461.90987124463521</v>
          </cell>
          <cell r="X158">
            <v>6295.171673819742</v>
          </cell>
          <cell r="Y158">
            <v>1150.0487701766524</v>
          </cell>
          <cell r="Z158">
            <v>272598.94321223669</v>
          </cell>
        </row>
        <row r="159">
          <cell r="A159" t="str">
            <v>Year 5</v>
          </cell>
          <cell r="P159">
            <v>0</v>
          </cell>
          <cell r="Q159">
            <v>0</v>
          </cell>
          <cell r="R159">
            <v>0</v>
          </cell>
          <cell r="S159">
            <v>0</v>
          </cell>
          <cell r="T159">
            <v>0</v>
          </cell>
          <cell r="U159">
            <v>0</v>
          </cell>
          <cell r="V159">
            <v>0</v>
          </cell>
          <cell r="W159">
            <v>0</v>
          </cell>
          <cell r="X159">
            <v>0</v>
          </cell>
          <cell r="Y159">
            <v>0</v>
          </cell>
          <cell r="Z159">
            <v>0</v>
          </cell>
        </row>
        <row r="160">
          <cell r="A160" t="str">
            <v>Year 5</v>
          </cell>
          <cell r="P160">
            <v>0</v>
          </cell>
          <cell r="Q160">
            <v>0</v>
          </cell>
          <cell r="R160">
            <v>0</v>
          </cell>
          <cell r="S160">
            <v>0</v>
          </cell>
          <cell r="T160">
            <v>0</v>
          </cell>
          <cell r="U160">
            <v>0</v>
          </cell>
          <cell r="V160">
            <v>0</v>
          </cell>
          <cell r="W160">
            <v>0</v>
          </cell>
          <cell r="X160">
            <v>0</v>
          </cell>
          <cell r="Y160">
            <v>0</v>
          </cell>
          <cell r="Z160">
            <v>0</v>
          </cell>
        </row>
        <row r="161">
          <cell r="A161" t="str">
            <v>Year 5</v>
          </cell>
          <cell r="P161">
            <v>81631.400000000009</v>
          </cell>
          <cell r="Q161">
            <v>3484.9957081545067</v>
          </cell>
          <cell r="R161">
            <v>3484.9957081545067</v>
          </cell>
          <cell r="S161">
            <v>2439.4969957081548</v>
          </cell>
          <cell r="T161">
            <v>15750.24</v>
          </cell>
          <cell r="U161">
            <v>6621.0499615450644</v>
          </cell>
          <cell r="V161">
            <v>1548.471361974249</v>
          </cell>
          <cell r="W161">
            <v>84.901287553648075</v>
          </cell>
          <cell r="X161">
            <v>1157.0832618025752</v>
          </cell>
          <cell r="Y161">
            <v>3698.1529448760161</v>
          </cell>
          <cell r="Z161">
            <v>38269.387229768727</v>
          </cell>
        </row>
        <row r="162">
          <cell r="A162" t="str">
            <v>Year 5</v>
          </cell>
          <cell r="P162">
            <v>70328.72</v>
          </cell>
          <cell r="Q162">
            <v>3018.3999999999996</v>
          </cell>
          <cell r="R162">
            <v>3018.3999999999996</v>
          </cell>
          <cell r="S162">
            <v>2112.8799999999997</v>
          </cell>
          <cell r="T162">
            <v>7791.5199999999995</v>
          </cell>
          <cell r="U162">
            <v>5348.7350399999996</v>
          </cell>
          <cell r="V162">
            <v>1250.9138399999999</v>
          </cell>
          <cell r="W162">
            <v>42</v>
          </cell>
          <cell r="X162">
            <v>572.4</v>
          </cell>
          <cell r="Y162">
            <v>95.225849769187462</v>
          </cell>
          <cell r="Z162">
            <v>23250.474729769187</v>
          </cell>
        </row>
        <row r="163">
          <cell r="A163" t="str">
            <v>Year 5</v>
          </cell>
          <cell r="P163">
            <v>157675.5</v>
          </cell>
          <cell r="Q163">
            <v>6767.188841201717</v>
          </cell>
          <cell r="R163">
            <v>6767.188841201717</v>
          </cell>
          <cell r="S163">
            <v>4737.0321888412018</v>
          </cell>
          <cell r="T163">
            <v>23199</v>
          </cell>
          <cell r="U163">
            <v>12347.046412017167</v>
          </cell>
          <cell r="V163">
            <v>2887.6156931330474</v>
          </cell>
          <cell r="W163">
            <v>125.05364806866953</v>
          </cell>
          <cell r="X163">
            <v>1704.302575107296</v>
          </cell>
          <cell r="Y163">
            <v>219.81982243112418</v>
          </cell>
          <cell r="Z163">
            <v>58754.248022001942</v>
          </cell>
        </row>
        <row r="164">
          <cell r="A164" t="str">
            <v>Year 5</v>
          </cell>
          <cell r="P164">
            <v>23803.279999999999</v>
          </cell>
          <cell r="Q164">
            <v>1021.5999999999999</v>
          </cell>
          <cell r="R164">
            <v>1021.5999999999999</v>
          </cell>
          <cell r="S164">
            <v>715.12</v>
          </cell>
          <cell r="T164">
            <v>7791.5199999999995</v>
          </cell>
          <cell r="U164">
            <v>2129.8934399999998</v>
          </cell>
          <cell r="V164">
            <v>498.12023999999997</v>
          </cell>
          <cell r="W164">
            <v>42</v>
          </cell>
          <cell r="X164">
            <v>572.4</v>
          </cell>
          <cell r="Y164">
            <v>37.919416689187479</v>
          </cell>
          <cell r="Z164">
            <v>13830.173096689186</v>
          </cell>
        </row>
        <row r="165">
          <cell r="A165" t="str">
            <v>Year 5</v>
          </cell>
          <cell r="P165">
            <v>61735.679999999993</v>
          </cell>
          <cell r="Q165">
            <v>2649.6</v>
          </cell>
          <cell r="R165">
            <v>2649.6</v>
          </cell>
          <cell r="S165">
            <v>1854.7199999999998</v>
          </cell>
          <cell r="T165">
            <v>7791.5199999999995</v>
          </cell>
          <cell r="U165">
            <v>4754.2294400000001</v>
          </cell>
          <cell r="V165">
            <v>1111.8762400000001</v>
          </cell>
          <cell r="W165">
            <v>42</v>
          </cell>
          <cell r="X165">
            <v>572.4</v>
          </cell>
          <cell r="Y165">
            <v>84.64160872356247</v>
          </cell>
          <cell r="Z165">
            <v>21510.587288723564</v>
          </cell>
        </row>
        <row r="166">
          <cell r="A166" t="str">
            <v>Year 5</v>
          </cell>
          <cell r="P166">
            <v>24143.46</v>
          </cell>
          <cell r="Q166">
            <v>1036.1999999999998</v>
          </cell>
          <cell r="R166">
            <v>1036.1999999999998</v>
          </cell>
          <cell r="S166">
            <v>725.34</v>
          </cell>
          <cell r="T166">
            <v>5843.6399999999994</v>
          </cell>
          <cell r="U166">
            <v>2032.6600799999999</v>
          </cell>
          <cell r="V166">
            <v>475.38018</v>
          </cell>
          <cell r="W166">
            <v>31.5</v>
          </cell>
          <cell r="X166">
            <v>429.29999999999995</v>
          </cell>
          <cell r="Y166">
            <v>1299.1610114259042</v>
          </cell>
          <cell r="Z166">
            <v>12909.381271425902</v>
          </cell>
        </row>
        <row r="167">
          <cell r="A167" t="str">
            <v>Year 5</v>
          </cell>
          <cell r="P167">
            <v>50094.239999999998</v>
          </cell>
          <cell r="Q167">
            <v>2149.9673819742488</v>
          </cell>
          <cell r="R167">
            <v>2149.9673819742488</v>
          </cell>
          <cell r="S167">
            <v>1504.9771673819741</v>
          </cell>
          <cell r="T167">
            <v>7958.7199999999993</v>
          </cell>
          <cell r="U167">
            <v>3959.1880597424883</v>
          </cell>
          <cell r="V167">
            <v>925.93914300429174</v>
          </cell>
          <cell r="W167">
            <v>42.901287553648068</v>
          </cell>
          <cell r="X167">
            <v>584.68326180257509</v>
          </cell>
          <cell r="Y167">
            <v>521.60485232205349</v>
          </cell>
          <cell r="Z167">
            <v>19797.948535755528</v>
          </cell>
        </row>
        <row r="168">
          <cell r="A168" t="str">
            <v>Year 5</v>
          </cell>
          <cell r="P168">
            <v>74168.56</v>
          </cell>
          <cell r="Q168">
            <v>3183.2</v>
          </cell>
          <cell r="R168">
            <v>3183.2</v>
          </cell>
          <cell r="S168">
            <v>2228.2399999999998</v>
          </cell>
          <cell r="T168">
            <v>7791.5199999999995</v>
          </cell>
          <cell r="U168">
            <v>5614.39264</v>
          </cell>
          <cell r="V168">
            <v>1313.0434400000001</v>
          </cell>
          <cell r="W168">
            <v>42</v>
          </cell>
          <cell r="X168">
            <v>572.4</v>
          </cell>
          <cell r="Y168">
            <v>99.955467242937459</v>
          </cell>
          <cell r="Z168">
            <v>24027.951547242941</v>
          </cell>
        </row>
        <row r="169">
          <cell r="A169" t="str">
            <v>Year 5</v>
          </cell>
          <cell r="P169">
            <v>22815.360000000001</v>
          </cell>
          <cell r="Q169">
            <v>979.2</v>
          </cell>
          <cell r="R169">
            <v>979.2</v>
          </cell>
          <cell r="S169">
            <v>685.44</v>
          </cell>
          <cell r="T169">
            <v>7791.5199999999995</v>
          </cell>
          <cell r="U169">
            <v>2061.5446400000001</v>
          </cell>
          <cell r="V169">
            <v>482.13544000000002</v>
          </cell>
          <cell r="W169">
            <v>42</v>
          </cell>
          <cell r="X169">
            <v>572.4</v>
          </cell>
          <cell r="Y169">
            <v>1031.342311375606</v>
          </cell>
          <cell r="Z169">
            <v>14624.782391375606</v>
          </cell>
        </row>
        <row r="170">
          <cell r="A170" t="str">
            <v>Year 5</v>
          </cell>
          <cell r="P170">
            <v>60132.639999999999</v>
          </cell>
          <cell r="Q170">
            <v>2580.7999999999997</v>
          </cell>
          <cell r="R170">
            <v>2580.7999999999997</v>
          </cell>
          <cell r="S170">
            <v>1806.56</v>
          </cell>
          <cell r="T170">
            <v>7791.5199999999995</v>
          </cell>
          <cell r="U170">
            <v>4643.32384</v>
          </cell>
          <cell r="V170">
            <v>1085.9386400000001</v>
          </cell>
          <cell r="W170">
            <v>42</v>
          </cell>
          <cell r="X170">
            <v>572.4</v>
          </cell>
          <cell r="Y170">
            <v>82.66710822481248</v>
          </cell>
          <cell r="Z170">
            <v>21186.009588224817</v>
          </cell>
        </row>
        <row r="171">
          <cell r="A171" t="str">
            <v>Year 5</v>
          </cell>
          <cell r="P171">
            <v>119372.4</v>
          </cell>
          <cell r="Q171">
            <v>5109.7253218884116</v>
          </cell>
          <cell r="R171">
            <v>5109.7253218884116</v>
          </cell>
          <cell r="S171">
            <v>3576.8077253218885</v>
          </cell>
          <cell r="T171">
            <v>31517.199999999997</v>
          </cell>
          <cell r="U171">
            <v>10210.523218884118</v>
          </cell>
          <cell r="V171">
            <v>2387.9449463519309</v>
          </cell>
          <cell r="W171">
            <v>169.89270386266094</v>
          </cell>
          <cell r="X171">
            <v>2315.3948497854076</v>
          </cell>
          <cell r="Y171">
            <v>181.43378926059478</v>
          </cell>
          <cell r="Z171">
            <v>60578.647877243428</v>
          </cell>
        </row>
        <row r="172">
          <cell r="A172" t="str">
            <v>Year 5</v>
          </cell>
          <cell r="P172">
            <v>79536.88</v>
          </cell>
          <cell r="Q172">
            <v>3413.6000000000004</v>
          </cell>
          <cell r="R172">
            <v>3413.6000000000004</v>
          </cell>
          <cell r="S172">
            <v>2389.52</v>
          </cell>
          <cell r="T172">
            <v>7791.5199999999995</v>
          </cell>
          <cell r="U172">
            <v>5985.7974400000012</v>
          </cell>
          <cell r="V172">
            <v>1399.9042400000005</v>
          </cell>
          <cell r="W172">
            <v>42</v>
          </cell>
          <cell r="X172">
            <v>572.4</v>
          </cell>
          <cell r="Y172">
            <v>106.56774798293748</v>
          </cell>
          <cell r="Z172">
            <v>25114.909427982944</v>
          </cell>
        </row>
        <row r="173">
          <cell r="A173" t="str">
            <v>Year 5</v>
          </cell>
          <cell r="P173">
            <v>43114.32</v>
          </cell>
          <cell r="Q173">
            <v>1850.3999999999999</v>
          </cell>
          <cell r="R173">
            <v>1850.3999999999999</v>
          </cell>
          <cell r="S173">
            <v>1295.28</v>
          </cell>
          <cell r="T173">
            <v>7791.5199999999995</v>
          </cell>
          <cell r="U173">
            <v>3465.9190399999998</v>
          </cell>
          <cell r="V173">
            <v>810.57784000000004</v>
          </cell>
          <cell r="W173">
            <v>42</v>
          </cell>
          <cell r="X173">
            <v>572.4</v>
          </cell>
          <cell r="Y173">
            <v>456.61892330948729</v>
          </cell>
          <cell r="Z173">
            <v>18135.115803309491</v>
          </cell>
        </row>
        <row r="174">
          <cell r="A174" t="str">
            <v>Year 5</v>
          </cell>
          <cell r="P174">
            <v>213090.63999999998</v>
          </cell>
          <cell r="Q174">
            <v>8981.7871244635189</v>
          </cell>
          <cell r="R174">
            <v>8981.7871244635189</v>
          </cell>
          <cell r="S174">
            <v>6287.2509871244629</v>
          </cell>
          <cell r="T174">
            <v>57324.52</v>
          </cell>
          <cell r="U174">
            <v>18269.291084635192</v>
          </cell>
          <cell r="V174">
            <v>4272.6567859227471</v>
          </cell>
          <cell r="W174">
            <v>309.00643776824035</v>
          </cell>
          <cell r="X174">
            <v>4211.3163090128755</v>
          </cell>
          <cell r="Y174">
            <v>321.04506675453507</v>
          </cell>
          <cell r="Z174">
            <v>108958.66092014509</v>
          </cell>
        </row>
        <row r="175">
          <cell r="A175" t="str">
            <v>Year 5</v>
          </cell>
          <cell r="P175">
            <v>82090.559999999998</v>
          </cell>
          <cell r="Q175">
            <v>3523.2</v>
          </cell>
          <cell r="R175">
            <v>3523.2</v>
          </cell>
          <cell r="S175">
            <v>2466.2399999999998</v>
          </cell>
          <cell r="T175">
            <v>15583.039999999999</v>
          </cell>
          <cell r="U175">
            <v>6645.546879999999</v>
          </cell>
          <cell r="V175">
            <v>1554.20048</v>
          </cell>
          <cell r="W175">
            <v>84</v>
          </cell>
          <cell r="X175">
            <v>1144.8</v>
          </cell>
          <cell r="Y175">
            <v>875.52029523122462</v>
          </cell>
          <cell r="Z175">
            <v>35399.747655231229</v>
          </cell>
        </row>
        <row r="176">
          <cell r="A176" t="str">
            <v>Year 5</v>
          </cell>
          <cell r="P176">
            <v>35509.200000000004</v>
          </cell>
          <cell r="Q176">
            <v>1524</v>
          </cell>
          <cell r="R176">
            <v>1524</v>
          </cell>
          <cell r="S176">
            <v>1066.8</v>
          </cell>
          <cell r="T176">
            <v>7791.5199999999995</v>
          </cell>
          <cell r="U176">
            <v>2939.76224</v>
          </cell>
          <cell r="V176">
            <v>687.5250400000001</v>
          </cell>
          <cell r="W176">
            <v>42</v>
          </cell>
          <cell r="X176">
            <v>572.4</v>
          </cell>
          <cell r="Y176">
            <v>52.337862191687485</v>
          </cell>
          <cell r="Z176">
            <v>16200.345142191687</v>
          </cell>
        </row>
        <row r="177">
          <cell r="A177" t="str">
            <v>Year 5</v>
          </cell>
          <cell r="P177">
            <v>78101.599999999991</v>
          </cell>
          <cell r="Q177">
            <v>3352</v>
          </cell>
          <cell r="R177">
            <v>3352</v>
          </cell>
          <cell r="S177">
            <v>2346.4</v>
          </cell>
          <cell r="T177">
            <v>15583.039999999999</v>
          </cell>
          <cell r="U177">
            <v>6369.5724799999989</v>
          </cell>
          <cell r="V177">
            <v>1489.6580799999997</v>
          </cell>
          <cell r="W177">
            <v>84</v>
          </cell>
          <cell r="X177">
            <v>1144.8</v>
          </cell>
          <cell r="Y177">
            <v>113.40026147087494</v>
          </cell>
          <cell r="Z177">
            <v>33834.870821470875</v>
          </cell>
        </row>
        <row r="178">
          <cell r="A178" t="str">
            <v>Year 5</v>
          </cell>
          <cell r="P178">
            <v>0</v>
          </cell>
          <cell r="Q178">
            <v>0</v>
          </cell>
          <cell r="R178">
            <v>0</v>
          </cell>
          <cell r="S178">
            <v>0</v>
          </cell>
          <cell r="T178">
            <v>0</v>
          </cell>
          <cell r="U178">
            <v>0</v>
          </cell>
          <cell r="V178">
            <v>0</v>
          </cell>
          <cell r="W178">
            <v>0</v>
          </cell>
          <cell r="X178">
            <v>0</v>
          </cell>
          <cell r="Y178">
            <v>0</v>
          </cell>
          <cell r="Z178">
            <v>0</v>
          </cell>
        </row>
        <row r="179">
          <cell r="A179" t="str">
            <v>Year 5</v>
          </cell>
          <cell r="P179">
            <v>95399.52</v>
          </cell>
          <cell r="Q179">
            <v>4094.4</v>
          </cell>
          <cell r="R179">
            <v>4094.4</v>
          </cell>
          <cell r="S179">
            <v>2866.08</v>
          </cell>
          <cell r="T179">
            <v>7791.5199999999995</v>
          </cell>
          <cell r="U179">
            <v>7083.2470400000002</v>
          </cell>
          <cell r="V179">
            <v>1656.56584</v>
          </cell>
          <cell r="W179">
            <v>42</v>
          </cell>
          <cell r="X179">
            <v>572.4</v>
          </cell>
          <cell r="Y179">
            <v>126.10611919731245</v>
          </cell>
          <cell r="Z179">
            <v>28326.718999197317</v>
          </cell>
        </row>
        <row r="180">
          <cell r="A180" t="str">
            <v>Year 5</v>
          </cell>
          <cell r="P180">
            <v>65724.639999999999</v>
          </cell>
          <cell r="Q180">
            <v>2820.7999999999997</v>
          </cell>
          <cell r="R180">
            <v>2820.7999999999997</v>
          </cell>
          <cell r="S180">
            <v>1974.56</v>
          </cell>
          <cell r="T180">
            <v>7791.5199999999995</v>
          </cell>
          <cell r="U180">
            <v>5030.2038400000001</v>
          </cell>
          <cell r="V180">
            <v>1176.4186400000001</v>
          </cell>
          <cell r="W180">
            <v>42</v>
          </cell>
          <cell r="X180">
            <v>572.4</v>
          </cell>
          <cell r="Y180">
            <v>89.554900662312477</v>
          </cell>
          <cell r="Z180">
            <v>22318.257380662315</v>
          </cell>
        </row>
        <row r="181">
          <cell r="A181" t="str">
            <v>Year 5</v>
          </cell>
          <cell r="P181">
            <v>30737.359999999997</v>
          </cell>
          <cell r="Q181">
            <v>1319.1999999999998</v>
          </cell>
          <cell r="R181">
            <v>1319.1999999999998</v>
          </cell>
          <cell r="S181">
            <v>923.43999999999994</v>
          </cell>
          <cell r="T181">
            <v>7791.5199999999995</v>
          </cell>
          <cell r="U181">
            <v>2609.6246399999995</v>
          </cell>
          <cell r="V181">
            <v>610.31543999999997</v>
          </cell>
          <cell r="W181">
            <v>42</v>
          </cell>
          <cell r="X181">
            <v>572.4</v>
          </cell>
          <cell r="Y181">
            <v>46.460279311687472</v>
          </cell>
          <cell r="Z181">
            <v>15234.160359311687</v>
          </cell>
        </row>
        <row r="182">
          <cell r="A182" t="str">
            <v>Year 5</v>
          </cell>
          <cell r="P182">
            <v>80040.159999999989</v>
          </cell>
          <cell r="Q182">
            <v>3435.2</v>
          </cell>
          <cell r="R182">
            <v>3435.2</v>
          </cell>
          <cell r="S182">
            <v>2404.64</v>
          </cell>
          <cell r="T182">
            <v>7791.5199999999995</v>
          </cell>
          <cell r="U182">
            <v>6020.6166399999993</v>
          </cell>
          <cell r="V182">
            <v>1408.0474399999998</v>
          </cell>
          <cell r="W182">
            <v>42</v>
          </cell>
          <cell r="X182">
            <v>572.4</v>
          </cell>
          <cell r="Y182">
            <v>85.750119441849961</v>
          </cell>
          <cell r="Z182">
            <v>25195.374199441849</v>
          </cell>
        </row>
        <row r="183">
          <cell r="A183" t="str">
            <v>Year 5</v>
          </cell>
          <cell r="P183">
            <v>59871.679999999993</v>
          </cell>
          <cell r="Q183">
            <v>2569.6</v>
          </cell>
          <cell r="R183">
            <v>2569.6</v>
          </cell>
          <cell r="S183">
            <v>1798.7199999999998</v>
          </cell>
          <cell r="T183">
            <v>7791.5199999999995</v>
          </cell>
          <cell r="U183">
            <v>4625.26944</v>
          </cell>
          <cell r="V183">
            <v>1081.71624</v>
          </cell>
          <cell r="W183">
            <v>42</v>
          </cell>
          <cell r="X183">
            <v>572.4</v>
          </cell>
          <cell r="Y183">
            <v>2626.8271253628927</v>
          </cell>
          <cell r="Z183">
            <v>23677.652805362894</v>
          </cell>
        </row>
        <row r="184">
          <cell r="A184" t="str">
            <v>Year 5</v>
          </cell>
          <cell r="P184">
            <v>268500.88</v>
          </cell>
          <cell r="Q184">
            <v>11091.218025751074</v>
          </cell>
          <cell r="R184">
            <v>11091.218025751074</v>
          </cell>
          <cell r="S184">
            <v>7763.8526180257513</v>
          </cell>
          <cell r="T184">
            <v>48245.56</v>
          </cell>
          <cell r="U184">
            <v>21494.949177510727</v>
          </cell>
          <cell r="V184">
            <v>5027.0445657081546</v>
          </cell>
          <cell r="W184">
            <v>260.06652360515022</v>
          </cell>
          <cell r="X184">
            <v>3544.3351931330471</v>
          </cell>
          <cell r="Y184">
            <v>11852.841715159228</v>
          </cell>
          <cell r="Z184">
            <v>120371.08584464421</v>
          </cell>
        </row>
        <row r="185">
          <cell r="A185" t="str">
            <v>Year 5</v>
          </cell>
          <cell r="P185">
            <v>160358.88</v>
          </cell>
          <cell r="Q185">
            <v>6882.3553648068664</v>
          </cell>
          <cell r="R185">
            <v>6882.3553648068664</v>
          </cell>
          <cell r="S185">
            <v>4817.6487553648067</v>
          </cell>
          <cell r="T185">
            <v>16690.739999999998</v>
          </cell>
          <cell r="U185">
            <v>12129.18272806867</v>
          </cell>
          <cell r="V185">
            <v>2836.6637025321888</v>
          </cell>
          <cell r="W185">
            <v>89.971030042918457</v>
          </cell>
          <cell r="X185">
            <v>1226.17660944206</v>
          </cell>
          <cell r="Y185">
            <v>215.94110077400478</v>
          </cell>
          <cell r="Z185">
            <v>51771.034655838383</v>
          </cell>
        </row>
        <row r="186">
          <cell r="A186" t="str">
            <v>Year 5</v>
          </cell>
          <cell r="P186">
            <v>0</v>
          </cell>
          <cell r="Q186">
            <v>0</v>
          </cell>
          <cell r="R186">
            <v>0</v>
          </cell>
          <cell r="S186">
            <v>0</v>
          </cell>
          <cell r="T186">
            <v>0</v>
          </cell>
          <cell r="U186">
            <v>0</v>
          </cell>
          <cell r="V186">
            <v>0</v>
          </cell>
          <cell r="W186">
            <v>0</v>
          </cell>
          <cell r="X186">
            <v>0</v>
          </cell>
          <cell r="Y186">
            <v>0</v>
          </cell>
          <cell r="Z186">
            <v>0</v>
          </cell>
        </row>
        <row r="187">
          <cell r="A187" t="str">
            <v>Year 5</v>
          </cell>
          <cell r="P187">
            <v>56367.360000000001</v>
          </cell>
          <cell r="Q187">
            <v>2419.1999999999998</v>
          </cell>
          <cell r="R187">
            <v>2419.1999999999998</v>
          </cell>
          <cell r="S187">
            <v>1693.4399999999998</v>
          </cell>
          <cell r="T187">
            <v>15583.039999999999</v>
          </cell>
          <cell r="U187">
            <v>4865.8988799999997</v>
          </cell>
          <cell r="V187">
            <v>1137.9924799999999</v>
          </cell>
          <cell r="W187">
            <v>84</v>
          </cell>
          <cell r="X187">
            <v>1144.8</v>
          </cell>
          <cell r="Y187">
            <v>2763.4876914882861</v>
          </cell>
          <cell r="Z187">
            <v>32111.059051488286</v>
          </cell>
        </row>
      </sheetData>
      <sheetData sheetId="18">
        <row r="3">
          <cell r="O3" t="str">
            <v>Base Year</v>
          </cell>
          <cell r="P3" t="str">
            <v>Year 2</v>
          </cell>
          <cell r="Q3" t="str">
            <v>Year 3</v>
          </cell>
          <cell r="R3" t="str">
            <v>Year 4</v>
          </cell>
          <cell r="S3" t="str">
            <v>Year 5</v>
          </cell>
        </row>
        <row r="4">
          <cell r="A4" t="str">
            <v>Base</v>
          </cell>
          <cell r="C4" t="str">
            <v>Accounting Clerk III</v>
          </cell>
          <cell r="F4" t="str">
            <v>FT</v>
          </cell>
          <cell r="I4" t="str">
            <v>Ft. Hood</v>
          </cell>
          <cell r="K4" t="str">
            <v>WESTECH</v>
          </cell>
          <cell r="O4">
            <v>1626.1666666666665</v>
          </cell>
          <cell r="P4">
            <v>1774</v>
          </cell>
          <cell r="Q4">
            <v>1774</v>
          </cell>
          <cell r="R4">
            <v>1774</v>
          </cell>
          <cell r="S4">
            <v>1774</v>
          </cell>
        </row>
        <row r="5">
          <cell r="A5" t="str">
            <v>Test</v>
          </cell>
          <cell r="C5" t="str">
            <v>Accounting Clerk III</v>
          </cell>
          <cell r="F5" t="str">
            <v>FT</v>
          </cell>
          <cell r="I5" t="str">
            <v>Ft. Hood</v>
          </cell>
          <cell r="K5" t="str">
            <v>WESTECH</v>
          </cell>
          <cell r="O5">
            <v>82.5</v>
          </cell>
          <cell r="P5">
            <v>90</v>
          </cell>
          <cell r="Q5">
            <v>90</v>
          </cell>
          <cell r="R5">
            <v>90</v>
          </cell>
          <cell r="S5">
            <v>90</v>
          </cell>
        </row>
        <row r="6">
          <cell r="A6" t="str">
            <v>Base</v>
          </cell>
          <cell r="C6" t="str">
            <v xml:space="preserve">Automotive Maintenance Section Supervisor  </v>
          </cell>
          <cell r="F6" t="str">
            <v>FT</v>
          </cell>
          <cell r="I6" t="str">
            <v>Ft. Hood</v>
          </cell>
          <cell r="K6" t="str">
            <v>WESTECH</v>
          </cell>
          <cell r="O6">
            <v>1317.25</v>
          </cell>
          <cell r="P6">
            <v>1437</v>
          </cell>
          <cell r="Q6">
            <v>1437</v>
          </cell>
          <cell r="R6">
            <v>1437</v>
          </cell>
          <cell r="S6">
            <v>1437</v>
          </cell>
        </row>
        <row r="7">
          <cell r="A7" t="str">
            <v>Test</v>
          </cell>
          <cell r="C7" t="str">
            <v xml:space="preserve">Automotive Maintenance Section Supervisor  </v>
          </cell>
          <cell r="F7" t="str">
            <v>FT</v>
          </cell>
          <cell r="I7" t="str">
            <v>Ft. Hood</v>
          </cell>
          <cell r="K7" t="str">
            <v>WESTECH</v>
          </cell>
          <cell r="N7">
            <v>50</v>
          </cell>
          <cell r="O7">
            <v>391.41666666666663</v>
          </cell>
          <cell r="P7">
            <v>427</v>
          </cell>
          <cell r="Q7">
            <v>427</v>
          </cell>
          <cell r="R7">
            <v>427</v>
          </cell>
          <cell r="S7">
            <v>427</v>
          </cell>
        </row>
        <row r="8">
          <cell r="A8" t="str">
            <v>Base</v>
          </cell>
          <cell r="C8" t="str">
            <v>Automotive Mechanic</v>
          </cell>
          <cell r="F8" t="str">
            <v>FT</v>
          </cell>
          <cell r="I8" t="str">
            <v>Ft. Bliss</v>
          </cell>
          <cell r="K8" t="str">
            <v>WESTECH</v>
          </cell>
          <cell r="O8">
            <v>3417.333333333333</v>
          </cell>
          <cell r="P8">
            <v>3728</v>
          </cell>
          <cell r="Q8">
            <v>3728</v>
          </cell>
          <cell r="R8">
            <v>3728</v>
          </cell>
          <cell r="S8">
            <v>3728</v>
          </cell>
        </row>
        <row r="9">
          <cell r="A9" t="str">
            <v>Base</v>
          </cell>
          <cell r="C9" t="str">
            <v>Automotive Mechanic</v>
          </cell>
          <cell r="F9" t="str">
            <v>FT</v>
          </cell>
          <cell r="I9" t="str">
            <v>Ft. Hood</v>
          </cell>
          <cell r="K9" t="str">
            <v>WESTECH</v>
          </cell>
          <cell r="O9">
            <v>3417.333333333333</v>
          </cell>
          <cell r="P9">
            <v>3728</v>
          </cell>
          <cell r="Q9">
            <v>3728</v>
          </cell>
          <cell r="R9">
            <v>3728</v>
          </cell>
          <cell r="S9">
            <v>3728</v>
          </cell>
        </row>
        <row r="10">
          <cell r="A10" t="str">
            <v>Base</v>
          </cell>
          <cell r="C10" t="str">
            <v xml:space="preserve">Buyer/Purchasing Specialist </v>
          </cell>
          <cell r="F10" t="str">
            <v>FT</v>
          </cell>
          <cell r="I10" t="str">
            <v>Ft. Hood</v>
          </cell>
          <cell r="K10" t="str">
            <v>WESTECH</v>
          </cell>
          <cell r="O10">
            <v>1708.6666666666665</v>
          </cell>
          <cell r="P10">
            <v>1864</v>
          </cell>
          <cell r="Q10">
            <v>1864</v>
          </cell>
          <cell r="R10">
            <v>1864</v>
          </cell>
          <cell r="S10">
            <v>1864</v>
          </cell>
        </row>
        <row r="11">
          <cell r="A11" t="str">
            <v>Base</v>
          </cell>
          <cell r="C11" t="str">
            <v>Carpenter</v>
          </cell>
          <cell r="F11" t="str">
            <v>PT</v>
          </cell>
          <cell r="I11" t="str">
            <v>Ft. Hood</v>
          </cell>
          <cell r="K11" t="str">
            <v>WESTECH</v>
          </cell>
          <cell r="O11">
            <v>0</v>
          </cell>
          <cell r="P11">
            <v>0</v>
          </cell>
          <cell r="Q11">
            <v>0</v>
          </cell>
          <cell r="R11">
            <v>0</v>
          </cell>
          <cell r="S11">
            <v>0</v>
          </cell>
        </row>
        <row r="12">
          <cell r="A12" t="str">
            <v>Base</v>
          </cell>
          <cell r="C12" t="str">
            <v xml:space="preserve">Contract Administrator  </v>
          </cell>
          <cell r="F12" t="str">
            <v>FT</v>
          </cell>
          <cell r="I12" t="str">
            <v>Ft. Hood</v>
          </cell>
          <cell r="K12" t="str">
            <v>WESTECH</v>
          </cell>
          <cell r="O12">
            <v>3417.333333333333</v>
          </cell>
          <cell r="P12">
            <v>3728</v>
          </cell>
          <cell r="Q12">
            <v>3728</v>
          </cell>
          <cell r="R12">
            <v>3728</v>
          </cell>
          <cell r="S12">
            <v>3728</v>
          </cell>
        </row>
        <row r="13">
          <cell r="A13" t="str">
            <v>Base</v>
          </cell>
          <cell r="C13" t="str">
            <v>Electrician</v>
          </cell>
          <cell r="F13" t="str">
            <v>PT</v>
          </cell>
          <cell r="I13" t="str">
            <v>Ft. Hood</v>
          </cell>
          <cell r="K13" t="str">
            <v>WESTECH</v>
          </cell>
          <cell r="O13">
            <v>0</v>
          </cell>
          <cell r="P13">
            <v>0</v>
          </cell>
          <cell r="Q13">
            <v>0</v>
          </cell>
          <cell r="R13">
            <v>0</v>
          </cell>
          <cell r="S13">
            <v>0</v>
          </cell>
        </row>
        <row r="14">
          <cell r="A14" t="str">
            <v>Base</v>
          </cell>
          <cell r="C14" t="str">
            <v>Electronic Technician II</v>
          </cell>
          <cell r="F14" t="str">
            <v>FT</v>
          </cell>
          <cell r="I14" t="str">
            <v>Ft. Hood</v>
          </cell>
          <cell r="K14" t="str">
            <v>WESTECH</v>
          </cell>
          <cell r="O14">
            <v>3417.333333333333</v>
          </cell>
          <cell r="P14">
            <v>3728</v>
          </cell>
          <cell r="Q14">
            <v>3728</v>
          </cell>
          <cell r="R14">
            <v>3728</v>
          </cell>
          <cell r="S14">
            <v>3728</v>
          </cell>
        </row>
        <row r="15">
          <cell r="A15" t="str">
            <v>Test</v>
          </cell>
          <cell r="C15" t="str">
            <v>Electronic Technician II</v>
          </cell>
          <cell r="F15" t="str">
            <v>FT</v>
          </cell>
          <cell r="I15" t="str">
            <v>Ft. Hood</v>
          </cell>
          <cell r="K15" t="str">
            <v>WESTECH</v>
          </cell>
          <cell r="N15">
            <v>40</v>
          </cell>
          <cell r="O15">
            <v>0</v>
          </cell>
          <cell r="P15">
            <v>0</v>
          </cell>
          <cell r="Q15">
            <v>0</v>
          </cell>
          <cell r="R15">
            <v>0</v>
          </cell>
          <cell r="S15">
            <v>0</v>
          </cell>
        </row>
        <row r="16">
          <cell r="A16" t="str">
            <v>Base</v>
          </cell>
          <cell r="C16" t="str">
            <v xml:space="preserve">Environmental Compliance Manager  </v>
          </cell>
          <cell r="F16" t="str">
            <v>FT</v>
          </cell>
          <cell r="I16" t="str">
            <v>Ft. Hood</v>
          </cell>
          <cell r="K16" t="str">
            <v>WESTECH</v>
          </cell>
          <cell r="O16">
            <v>1708.6666666666665</v>
          </cell>
          <cell r="P16">
            <v>1864</v>
          </cell>
          <cell r="Q16">
            <v>1864</v>
          </cell>
          <cell r="R16">
            <v>1864</v>
          </cell>
          <cell r="S16">
            <v>1864</v>
          </cell>
        </row>
        <row r="17">
          <cell r="A17" t="str">
            <v>Base</v>
          </cell>
          <cell r="C17" t="str">
            <v xml:space="preserve">Human Resource Specialist   </v>
          </cell>
          <cell r="F17" t="str">
            <v>FT</v>
          </cell>
          <cell r="I17" t="str">
            <v>Ft. Hood</v>
          </cell>
          <cell r="K17" t="str">
            <v>WESTECH</v>
          </cell>
          <cell r="O17">
            <v>1708.6666666666665</v>
          </cell>
          <cell r="P17">
            <v>1864</v>
          </cell>
          <cell r="Q17">
            <v>1864</v>
          </cell>
          <cell r="R17">
            <v>1864</v>
          </cell>
          <cell r="S17">
            <v>1864</v>
          </cell>
        </row>
        <row r="18">
          <cell r="A18" t="str">
            <v>Base</v>
          </cell>
          <cell r="C18" t="str">
            <v>HR Clerk/Travel Coordinator</v>
          </cell>
          <cell r="F18" t="str">
            <v>FT</v>
          </cell>
          <cell r="I18" t="str">
            <v>Ft. Hood</v>
          </cell>
          <cell r="K18" t="str">
            <v>WESTECH</v>
          </cell>
          <cell r="O18">
            <v>854.33333333333326</v>
          </cell>
          <cell r="P18">
            <v>932</v>
          </cell>
          <cell r="Q18">
            <v>932</v>
          </cell>
          <cell r="R18">
            <v>932</v>
          </cell>
          <cell r="S18">
            <v>932</v>
          </cell>
        </row>
        <row r="19">
          <cell r="A19" t="str">
            <v>Test</v>
          </cell>
          <cell r="C19" t="str">
            <v>HR Clerk/Travel Coordinator</v>
          </cell>
          <cell r="F19" t="str">
            <v>FT</v>
          </cell>
          <cell r="I19" t="str">
            <v>Ft. Hood</v>
          </cell>
          <cell r="K19" t="str">
            <v>WESTECH</v>
          </cell>
          <cell r="O19">
            <v>854.33333333333326</v>
          </cell>
          <cell r="P19">
            <v>932</v>
          </cell>
          <cell r="Q19">
            <v>932</v>
          </cell>
          <cell r="R19">
            <v>932</v>
          </cell>
          <cell r="S19">
            <v>932</v>
          </cell>
        </row>
        <row r="20">
          <cell r="A20" t="str">
            <v>Base</v>
          </cell>
          <cell r="C20" t="str">
            <v>HVAC Mechanic</v>
          </cell>
          <cell r="F20" t="str">
            <v>PT</v>
          </cell>
          <cell r="I20" t="str">
            <v>Ft. Hood</v>
          </cell>
          <cell r="K20" t="str">
            <v>WESTECH</v>
          </cell>
          <cell r="O20">
            <v>1281.5</v>
          </cell>
          <cell r="P20">
            <v>1398</v>
          </cell>
          <cell r="Q20">
            <v>1398</v>
          </cell>
          <cell r="R20">
            <v>1398</v>
          </cell>
          <cell r="S20">
            <v>1398</v>
          </cell>
        </row>
        <row r="21">
          <cell r="A21" t="str">
            <v>Test</v>
          </cell>
          <cell r="C21" t="str">
            <v>HVAC Mechanic</v>
          </cell>
          <cell r="F21" t="str">
            <v>PT</v>
          </cell>
          <cell r="I21" t="str">
            <v>Ft. Hood</v>
          </cell>
          <cell r="K21" t="str">
            <v>WESTECH</v>
          </cell>
          <cell r="O21">
            <v>0</v>
          </cell>
          <cell r="P21">
            <v>0</v>
          </cell>
          <cell r="Q21">
            <v>0</v>
          </cell>
          <cell r="R21">
            <v>0</v>
          </cell>
          <cell r="S21">
            <v>0</v>
          </cell>
        </row>
        <row r="22">
          <cell r="A22" t="str">
            <v>Base</v>
          </cell>
          <cell r="C22" t="str">
            <v>ICCC Section Lead III</v>
          </cell>
          <cell r="F22" t="str">
            <v>FT</v>
          </cell>
          <cell r="I22" t="str">
            <v>Ft. Hood</v>
          </cell>
          <cell r="K22" t="str">
            <v>WESTECH</v>
          </cell>
          <cell r="O22">
            <v>1708.6666666666665</v>
          </cell>
          <cell r="P22">
            <v>1864</v>
          </cell>
          <cell r="Q22">
            <v>1864</v>
          </cell>
          <cell r="R22">
            <v>1864</v>
          </cell>
          <cell r="S22">
            <v>1864</v>
          </cell>
        </row>
        <row r="23">
          <cell r="A23" t="str">
            <v>Test</v>
          </cell>
          <cell r="C23" t="str">
            <v>ICCC Section Lead III</v>
          </cell>
          <cell r="F23" t="str">
            <v>FT</v>
          </cell>
          <cell r="I23" t="str">
            <v>Ft. Hood</v>
          </cell>
          <cell r="K23" t="str">
            <v>WESTECH</v>
          </cell>
          <cell r="N23">
            <v>40</v>
          </cell>
          <cell r="O23">
            <v>0</v>
          </cell>
          <cell r="P23">
            <v>0</v>
          </cell>
          <cell r="Q23">
            <v>0</v>
          </cell>
          <cell r="R23">
            <v>0</v>
          </cell>
          <cell r="S23">
            <v>0</v>
          </cell>
        </row>
        <row r="24">
          <cell r="A24" t="str">
            <v>Base</v>
          </cell>
          <cell r="C24" t="str">
            <v xml:space="preserve">IT Section Lead  </v>
          </cell>
          <cell r="F24" t="str">
            <v>FT</v>
          </cell>
          <cell r="I24" t="str">
            <v>Ft. Hood</v>
          </cell>
          <cell r="K24" t="str">
            <v>WESTECH</v>
          </cell>
          <cell r="O24">
            <v>1708.6666666666665</v>
          </cell>
          <cell r="P24">
            <v>1864</v>
          </cell>
          <cell r="Q24">
            <v>1864</v>
          </cell>
          <cell r="R24">
            <v>1864</v>
          </cell>
          <cell r="S24">
            <v>1864</v>
          </cell>
        </row>
        <row r="25">
          <cell r="A25" t="str">
            <v>Base</v>
          </cell>
          <cell r="C25" t="str">
            <v>Laborer/Grounds Maintenance</v>
          </cell>
          <cell r="F25" t="str">
            <v>FT</v>
          </cell>
          <cell r="I25" t="str">
            <v>Ft. Hood</v>
          </cell>
          <cell r="K25" t="str">
            <v>WESTECH</v>
          </cell>
          <cell r="O25">
            <v>1708.6666666666665</v>
          </cell>
          <cell r="P25">
            <v>1864</v>
          </cell>
          <cell r="Q25">
            <v>1864</v>
          </cell>
          <cell r="R25">
            <v>1864</v>
          </cell>
          <cell r="S25">
            <v>1864</v>
          </cell>
        </row>
        <row r="26">
          <cell r="A26" t="str">
            <v>Base</v>
          </cell>
          <cell r="C26" t="str">
            <v xml:space="preserve">LAN Administrator  </v>
          </cell>
          <cell r="F26" t="str">
            <v>FT</v>
          </cell>
          <cell r="I26" t="str">
            <v>Ft. Hood</v>
          </cell>
          <cell r="K26" t="str">
            <v>WESTECH</v>
          </cell>
          <cell r="O26">
            <v>1708.6666666666665</v>
          </cell>
          <cell r="P26">
            <v>1864</v>
          </cell>
          <cell r="Q26">
            <v>1864</v>
          </cell>
          <cell r="R26">
            <v>1864</v>
          </cell>
          <cell r="S26">
            <v>1864</v>
          </cell>
        </row>
        <row r="27">
          <cell r="A27" t="str">
            <v>Base</v>
          </cell>
          <cell r="C27" t="str">
            <v xml:space="preserve">Logistics Manager  </v>
          </cell>
          <cell r="F27" t="str">
            <v>FT</v>
          </cell>
          <cell r="I27" t="str">
            <v>Ft. Hood</v>
          </cell>
          <cell r="K27" t="str">
            <v>WESTECH</v>
          </cell>
          <cell r="O27">
            <v>1708.6666666666665</v>
          </cell>
          <cell r="P27">
            <v>1864</v>
          </cell>
          <cell r="Q27">
            <v>1864</v>
          </cell>
          <cell r="R27">
            <v>1864</v>
          </cell>
          <cell r="S27">
            <v>1864</v>
          </cell>
        </row>
        <row r="28">
          <cell r="A28" t="str">
            <v>Base</v>
          </cell>
          <cell r="C28" t="str">
            <v>Metrology Technician III (TMDE)</v>
          </cell>
          <cell r="F28" t="str">
            <v>FT</v>
          </cell>
          <cell r="I28" t="str">
            <v>Ft. Hood</v>
          </cell>
          <cell r="K28" t="str">
            <v>WESTECH</v>
          </cell>
          <cell r="O28">
            <v>1708.6666666666665</v>
          </cell>
          <cell r="P28">
            <v>1864</v>
          </cell>
          <cell r="Q28">
            <v>1864</v>
          </cell>
          <cell r="R28">
            <v>1864</v>
          </cell>
          <cell r="S28">
            <v>1864</v>
          </cell>
        </row>
        <row r="29">
          <cell r="A29" t="str">
            <v>Base</v>
          </cell>
          <cell r="C29" t="str">
            <v>PC Technician I</v>
          </cell>
          <cell r="F29" t="str">
            <v>FT</v>
          </cell>
          <cell r="I29" t="str">
            <v>Ft. Hood</v>
          </cell>
          <cell r="K29" t="str">
            <v>WESTECH</v>
          </cell>
          <cell r="O29">
            <v>3417.333333333333</v>
          </cell>
          <cell r="P29">
            <v>3728</v>
          </cell>
          <cell r="Q29">
            <v>3728</v>
          </cell>
          <cell r="R29">
            <v>3728</v>
          </cell>
          <cell r="S29">
            <v>3728</v>
          </cell>
        </row>
        <row r="30">
          <cell r="A30" t="str">
            <v>Base</v>
          </cell>
          <cell r="C30" t="str">
            <v>Personnel Assistant III</v>
          </cell>
          <cell r="F30" t="str">
            <v>FT</v>
          </cell>
          <cell r="I30" t="str">
            <v>Ft. Hood</v>
          </cell>
          <cell r="K30" t="str">
            <v>WESTECH</v>
          </cell>
          <cell r="O30">
            <v>603.16666666666663</v>
          </cell>
          <cell r="P30">
            <v>658</v>
          </cell>
          <cell r="Q30">
            <v>658</v>
          </cell>
          <cell r="R30">
            <v>658</v>
          </cell>
          <cell r="S30">
            <v>658</v>
          </cell>
        </row>
        <row r="31">
          <cell r="A31" t="str">
            <v>Test</v>
          </cell>
          <cell r="C31" t="str">
            <v>Personnel Assistant III</v>
          </cell>
          <cell r="F31" t="str">
            <v>FT</v>
          </cell>
          <cell r="I31" t="str">
            <v>Ft. Hood</v>
          </cell>
          <cell r="K31" t="str">
            <v>WESTECH</v>
          </cell>
          <cell r="O31">
            <v>1105.5</v>
          </cell>
          <cell r="P31">
            <v>1206</v>
          </cell>
          <cell r="Q31">
            <v>1206</v>
          </cell>
          <cell r="R31">
            <v>1206</v>
          </cell>
          <cell r="S31">
            <v>1206</v>
          </cell>
        </row>
        <row r="32">
          <cell r="A32" t="str">
            <v>Base</v>
          </cell>
          <cell r="C32" t="str">
            <v>PLL/HAZMAT/GCSS-A Clerk (Production Control Clerk 2)</v>
          </cell>
          <cell r="F32" t="str">
            <v>FT</v>
          </cell>
          <cell r="I32" t="str">
            <v>Ft. Hood</v>
          </cell>
          <cell r="K32" t="str">
            <v>WESTECH</v>
          </cell>
          <cell r="O32">
            <v>3417.333333333333</v>
          </cell>
          <cell r="P32">
            <v>3728</v>
          </cell>
          <cell r="Q32">
            <v>3728</v>
          </cell>
          <cell r="R32">
            <v>3728</v>
          </cell>
          <cell r="S32">
            <v>3728</v>
          </cell>
        </row>
        <row r="33">
          <cell r="A33" t="str">
            <v>Base</v>
          </cell>
          <cell r="C33" t="str">
            <v>Plumber, Maintenance</v>
          </cell>
          <cell r="F33" t="str">
            <v>PT</v>
          </cell>
          <cell r="I33" t="str">
            <v>Ft. Hood</v>
          </cell>
          <cell r="K33" t="str">
            <v>WESTECH</v>
          </cell>
          <cell r="O33">
            <v>0</v>
          </cell>
          <cell r="P33">
            <v>0</v>
          </cell>
          <cell r="Q33">
            <v>0</v>
          </cell>
          <cell r="R33">
            <v>0</v>
          </cell>
          <cell r="S33">
            <v>0</v>
          </cell>
        </row>
        <row r="34">
          <cell r="A34" t="str">
            <v>Base</v>
          </cell>
          <cell r="C34" t="str">
            <v>Program Manager</v>
          </cell>
          <cell r="F34" t="str">
            <v>FT</v>
          </cell>
          <cell r="I34" t="str">
            <v>Ft. Hood</v>
          </cell>
          <cell r="K34" t="str">
            <v>WESTECH</v>
          </cell>
          <cell r="O34">
            <v>1708.6666666666665</v>
          </cell>
          <cell r="P34">
            <v>1864</v>
          </cell>
          <cell r="Q34">
            <v>1864</v>
          </cell>
          <cell r="R34">
            <v>1864</v>
          </cell>
          <cell r="S34">
            <v>1864</v>
          </cell>
        </row>
        <row r="35">
          <cell r="A35" t="str">
            <v>Base</v>
          </cell>
          <cell r="C35" t="str">
            <v xml:space="preserve">Security/Safety/Quality Control Manager     </v>
          </cell>
          <cell r="F35" t="str">
            <v>FT</v>
          </cell>
          <cell r="I35" t="str">
            <v>Ft. Hood</v>
          </cell>
          <cell r="K35" t="str">
            <v>WESTECH</v>
          </cell>
          <cell r="O35">
            <v>1708.6666666666665</v>
          </cell>
          <cell r="P35">
            <v>1864</v>
          </cell>
          <cell r="Q35">
            <v>1864</v>
          </cell>
          <cell r="R35">
            <v>1864</v>
          </cell>
          <cell r="S35">
            <v>1864</v>
          </cell>
        </row>
        <row r="36">
          <cell r="A36" t="str">
            <v>Base</v>
          </cell>
          <cell r="C36" t="str">
            <v>Shipping/Receiving Clerk</v>
          </cell>
          <cell r="F36" t="str">
            <v>FT</v>
          </cell>
          <cell r="I36" t="str">
            <v>Ft. Hood</v>
          </cell>
          <cell r="K36" t="str">
            <v>WESTECH</v>
          </cell>
          <cell r="O36">
            <v>1598.6666666666665</v>
          </cell>
          <cell r="P36">
            <v>1744</v>
          </cell>
          <cell r="Q36">
            <v>1744</v>
          </cell>
          <cell r="R36">
            <v>1744</v>
          </cell>
          <cell r="S36">
            <v>1744</v>
          </cell>
        </row>
        <row r="37">
          <cell r="A37" t="str">
            <v>Test</v>
          </cell>
          <cell r="C37" t="str">
            <v>Shipping/Receiving Clerk</v>
          </cell>
          <cell r="F37" t="str">
            <v>FT</v>
          </cell>
          <cell r="I37" t="str">
            <v>Ft. Hood</v>
          </cell>
          <cell r="K37" t="str">
            <v>WESTECH</v>
          </cell>
          <cell r="O37">
            <v>110</v>
          </cell>
          <cell r="P37">
            <v>120</v>
          </cell>
          <cell r="Q37">
            <v>120</v>
          </cell>
          <cell r="R37">
            <v>120</v>
          </cell>
          <cell r="S37">
            <v>120</v>
          </cell>
        </row>
        <row r="38">
          <cell r="A38" t="str">
            <v>Base</v>
          </cell>
          <cell r="C38" t="str">
            <v>Software Developer/Software Engineer Senior</v>
          </cell>
          <cell r="F38" t="str">
            <v>FT</v>
          </cell>
          <cell r="I38" t="str">
            <v>Ft. Hood</v>
          </cell>
          <cell r="K38" t="str">
            <v>WESTECH</v>
          </cell>
          <cell r="O38">
            <v>1708.6666666666665</v>
          </cell>
          <cell r="P38">
            <v>1864</v>
          </cell>
          <cell r="Q38">
            <v>1864</v>
          </cell>
          <cell r="R38">
            <v>1864</v>
          </cell>
          <cell r="S38">
            <v>1864</v>
          </cell>
        </row>
        <row r="39">
          <cell r="A39" t="str">
            <v>Base</v>
          </cell>
          <cell r="C39" t="str">
            <v xml:space="preserve">Supply Services Section Supervisor  </v>
          </cell>
          <cell r="F39" t="str">
            <v>FT</v>
          </cell>
          <cell r="I39" t="str">
            <v>Ft. Hood</v>
          </cell>
          <cell r="K39" t="str">
            <v>WESTECH</v>
          </cell>
          <cell r="O39">
            <v>1708.6666666666665</v>
          </cell>
          <cell r="P39">
            <v>1864</v>
          </cell>
          <cell r="Q39">
            <v>1864</v>
          </cell>
          <cell r="R39">
            <v>1864</v>
          </cell>
          <cell r="S39">
            <v>1864</v>
          </cell>
        </row>
        <row r="40">
          <cell r="A40" t="str">
            <v>Base</v>
          </cell>
          <cell r="C40" t="str">
            <v>Supply Technician</v>
          </cell>
          <cell r="F40" t="str">
            <v>FT</v>
          </cell>
          <cell r="I40" t="str">
            <v>Ft. Hood</v>
          </cell>
          <cell r="K40" t="str">
            <v>WESTECH</v>
          </cell>
          <cell r="O40">
            <v>5126</v>
          </cell>
          <cell r="P40">
            <v>5592</v>
          </cell>
          <cell r="Q40">
            <v>5592</v>
          </cell>
          <cell r="R40">
            <v>5592</v>
          </cell>
          <cell r="S40">
            <v>5592</v>
          </cell>
        </row>
        <row r="41">
          <cell r="A41" t="str">
            <v>Test</v>
          </cell>
          <cell r="C41" t="str">
            <v>Supply Technician</v>
          </cell>
          <cell r="F41" t="str">
            <v>FT</v>
          </cell>
          <cell r="I41" t="str">
            <v>Ft. Hood</v>
          </cell>
          <cell r="K41" t="str">
            <v>WESTECH</v>
          </cell>
          <cell r="N41">
            <v>40</v>
          </cell>
          <cell r="O41">
            <v>0</v>
          </cell>
          <cell r="P41">
            <v>0</v>
          </cell>
          <cell r="Q41">
            <v>0</v>
          </cell>
          <cell r="R41">
            <v>0</v>
          </cell>
          <cell r="S41">
            <v>0</v>
          </cell>
        </row>
        <row r="42">
          <cell r="A42" t="str">
            <v>Base</v>
          </cell>
          <cell r="C42" t="str">
            <v>Vehicle Dispatcher</v>
          </cell>
          <cell r="F42" t="str">
            <v>FT</v>
          </cell>
          <cell r="I42" t="str">
            <v>Ft. Hood</v>
          </cell>
          <cell r="K42" t="str">
            <v>WESTECH</v>
          </cell>
          <cell r="O42">
            <v>0</v>
          </cell>
          <cell r="P42">
            <v>0</v>
          </cell>
          <cell r="Q42">
            <v>0</v>
          </cell>
          <cell r="R42">
            <v>0</v>
          </cell>
          <cell r="S42">
            <v>0</v>
          </cell>
        </row>
        <row r="43">
          <cell r="A43" t="str">
            <v>Base</v>
          </cell>
          <cell r="C43" t="str">
            <v>Warehouse Specialist</v>
          </cell>
          <cell r="F43" t="str">
            <v>FT</v>
          </cell>
          <cell r="I43" t="str">
            <v>Ft. Hood</v>
          </cell>
          <cell r="K43" t="str">
            <v>WESTECH</v>
          </cell>
          <cell r="O43">
            <v>3417.333333333333</v>
          </cell>
          <cell r="P43">
            <v>3728</v>
          </cell>
          <cell r="Q43">
            <v>3728</v>
          </cell>
          <cell r="R43">
            <v>3728</v>
          </cell>
          <cell r="S43">
            <v>3728</v>
          </cell>
        </row>
        <row r="44">
          <cell r="A44" t="str">
            <v>Test</v>
          </cell>
          <cell r="C44" t="str">
            <v>Warehouse Specialist</v>
          </cell>
          <cell r="F44" t="str">
            <v>FT</v>
          </cell>
          <cell r="I44" t="str">
            <v>Ft. Hood</v>
          </cell>
          <cell r="K44" t="str">
            <v>WESTECH</v>
          </cell>
          <cell r="O44">
            <v>0</v>
          </cell>
          <cell r="P44">
            <v>0</v>
          </cell>
          <cell r="Q44">
            <v>0</v>
          </cell>
          <cell r="R44">
            <v>0</v>
          </cell>
          <cell r="S44">
            <v>0</v>
          </cell>
        </row>
        <row r="45">
          <cell r="A45" t="str">
            <v>Base</v>
          </cell>
          <cell r="C45" t="str">
            <v>Data/Site Manager</v>
          </cell>
          <cell r="F45" t="str">
            <v>FT</v>
          </cell>
          <cell r="I45" t="str">
            <v>Ft. Bragg</v>
          </cell>
          <cell r="K45" t="str">
            <v>TRAX</v>
          </cell>
          <cell r="O45">
            <v>1708.6666666666665</v>
          </cell>
          <cell r="P45">
            <v>1864</v>
          </cell>
          <cell r="Q45">
            <v>1864</v>
          </cell>
          <cell r="R45">
            <v>1864</v>
          </cell>
          <cell r="S45">
            <v>1864</v>
          </cell>
        </row>
        <row r="46">
          <cell r="A46" t="str">
            <v>Base</v>
          </cell>
          <cell r="C46" t="str">
            <v>Electronic Technician II</v>
          </cell>
          <cell r="F46" t="str">
            <v>FT</v>
          </cell>
          <cell r="I46" t="str">
            <v>Ft. Bragg</v>
          </cell>
          <cell r="K46" t="str">
            <v>TRAX</v>
          </cell>
          <cell r="O46">
            <v>3417.333333333333</v>
          </cell>
          <cell r="P46">
            <v>3728</v>
          </cell>
          <cell r="Q46">
            <v>3728</v>
          </cell>
          <cell r="R46">
            <v>3728</v>
          </cell>
          <cell r="S46">
            <v>3728</v>
          </cell>
        </row>
        <row r="47">
          <cell r="A47" t="str">
            <v>Base</v>
          </cell>
          <cell r="C47" t="str">
            <v>Photographer IV (on call)</v>
          </cell>
          <cell r="F47" t="str">
            <v>PT</v>
          </cell>
          <cell r="I47" t="str">
            <v>Ft. Bragg</v>
          </cell>
          <cell r="K47" t="str">
            <v>TRAX</v>
          </cell>
          <cell r="O47">
            <v>1144</v>
          </cell>
          <cell r="P47">
            <v>1248</v>
          </cell>
          <cell r="Q47">
            <v>1248</v>
          </cell>
          <cell r="R47">
            <v>1248</v>
          </cell>
          <cell r="S47">
            <v>1248</v>
          </cell>
        </row>
        <row r="48">
          <cell r="A48" t="str">
            <v>Test</v>
          </cell>
          <cell r="C48" t="str">
            <v>Automotive Mechanic</v>
          </cell>
          <cell r="F48" t="str">
            <v>PT</v>
          </cell>
          <cell r="I48" t="str">
            <v>Ft. Hood</v>
          </cell>
          <cell r="K48" t="str">
            <v>WESTECH</v>
          </cell>
          <cell r="N48">
            <v>200</v>
          </cell>
          <cell r="O48">
            <v>6508.333333333333</v>
          </cell>
          <cell r="P48">
            <v>7100</v>
          </cell>
          <cell r="Q48">
            <v>7100</v>
          </cell>
          <cell r="R48">
            <v>7100</v>
          </cell>
          <cell r="S48">
            <v>7100</v>
          </cell>
        </row>
        <row r="49">
          <cell r="A49" t="str">
            <v>Test</v>
          </cell>
          <cell r="C49" t="str">
            <v>Data Authentication Group (DAG) Specialist</v>
          </cell>
          <cell r="F49" t="str">
            <v>PT</v>
          </cell>
          <cell r="I49" t="str">
            <v>Ft. Hood</v>
          </cell>
          <cell r="K49" t="str">
            <v>TRAX</v>
          </cell>
          <cell r="N49">
            <v>35</v>
          </cell>
          <cell r="O49">
            <v>6141.6666666666661</v>
          </cell>
          <cell r="P49">
            <v>6700</v>
          </cell>
          <cell r="Q49">
            <v>6700</v>
          </cell>
          <cell r="R49">
            <v>6700</v>
          </cell>
          <cell r="S49">
            <v>6700</v>
          </cell>
        </row>
        <row r="50">
          <cell r="A50" t="str">
            <v>Test</v>
          </cell>
          <cell r="C50" t="str">
            <v>Data Collector/General Clerk I</v>
          </cell>
          <cell r="F50" t="str">
            <v>PT</v>
          </cell>
          <cell r="I50" t="str">
            <v>Ft. Hood</v>
          </cell>
          <cell r="K50" t="str">
            <v>TRAX</v>
          </cell>
          <cell r="N50">
            <v>1000</v>
          </cell>
          <cell r="O50">
            <v>4858.333333333333</v>
          </cell>
          <cell r="P50">
            <v>5300</v>
          </cell>
          <cell r="Q50">
            <v>5300</v>
          </cell>
          <cell r="R50">
            <v>5300</v>
          </cell>
          <cell r="S50">
            <v>5300</v>
          </cell>
        </row>
        <row r="51">
          <cell r="A51" t="str">
            <v>Test</v>
          </cell>
          <cell r="C51" t="str">
            <v>Data Entry Operator</v>
          </cell>
          <cell r="F51" t="str">
            <v>PT</v>
          </cell>
          <cell r="I51" t="str">
            <v>Ft. Hood</v>
          </cell>
          <cell r="K51" t="str">
            <v>TRAX</v>
          </cell>
          <cell r="N51">
            <v>1000</v>
          </cell>
          <cell r="O51">
            <v>89191.666666666657</v>
          </cell>
          <cell r="P51">
            <v>97300</v>
          </cell>
          <cell r="Q51">
            <v>97300</v>
          </cell>
          <cell r="R51">
            <v>97300</v>
          </cell>
          <cell r="S51">
            <v>97300</v>
          </cell>
        </row>
        <row r="52">
          <cell r="A52" t="str">
            <v>Test</v>
          </cell>
          <cell r="C52" t="str">
            <v>Data Manager</v>
          </cell>
          <cell r="F52" t="str">
            <v>PT</v>
          </cell>
          <cell r="I52" t="str">
            <v>Ft. Hood</v>
          </cell>
          <cell r="K52" t="str">
            <v>TRAX</v>
          </cell>
          <cell r="N52">
            <v>300</v>
          </cell>
          <cell r="O52">
            <v>22275</v>
          </cell>
          <cell r="P52">
            <v>24300</v>
          </cell>
          <cell r="Q52">
            <v>24300</v>
          </cell>
          <cell r="R52">
            <v>24300</v>
          </cell>
          <cell r="S52">
            <v>24300</v>
          </cell>
        </row>
        <row r="53">
          <cell r="A53" t="str">
            <v>Test</v>
          </cell>
          <cell r="C53" t="str">
            <v>Data Quality Control (QC)</v>
          </cell>
          <cell r="F53" t="str">
            <v>PT</v>
          </cell>
          <cell r="I53" t="str">
            <v>Ft. Hood</v>
          </cell>
          <cell r="K53" t="str">
            <v>TRAX</v>
          </cell>
          <cell r="N53">
            <v>40</v>
          </cell>
          <cell r="O53">
            <v>2658.333333333333</v>
          </cell>
          <cell r="P53">
            <v>2900</v>
          </cell>
          <cell r="Q53">
            <v>2900</v>
          </cell>
          <cell r="R53">
            <v>2900</v>
          </cell>
          <cell r="S53">
            <v>2900</v>
          </cell>
        </row>
        <row r="54">
          <cell r="A54" t="str">
            <v>Test</v>
          </cell>
          <cell r="C54" t="str">
            <v>Database Administrator</v>
          </cell>
          <cell r="F54" t="str">
            <v>PT</v>
          </cell>
          <cell r="I54" t="str">
            <v>Ft. Hood</v>
          </cell>
          <cell r="K54" t="str">
            <v>WESTECH</v>
          </cell>
          <cell r="N54">
            <v>200</v>
          </cell>
          <cell r="O54">
            <v>18608.333333333332</v>
          </cell>
          <cell r="P54">
            <v>20300</v>
          </cell>
          <cell r="Q54">
            <v>20300</v>
          </cell>
          <cell r="R54">
            <v>20300</v>
          </cell>
          <cell r="S54">
            <v>20300</v>
          </cell>
        </row>
        <row r="55">
          <cell r="A55" t="str">
            <v>Test</v>
          </cell>
          <cell r="C55" t="str">
            <v>Document Control Specialist</v>
          </cell>
          <cell r="F55" t="str">
            <v>PT</v>
          </cell>
          <cell r="I55" t="str">
            <v>Ft. Hood</v>
          </cell>
          <cell r="K55" t="str">
            <v>TRAX</v>
          </cell>
          <cell r="N55">
            <v>40</v>
          </cell>
          <cell r="O55">
            <v>11458.333333333332</v>
          </cell>
          <cell r="P55">
            <v>12500</v>
          </cell>
          <cell r="Q55">
            <v>12500</v>
          </cell>
          <cell r="R55">
            <v>12500</v>
          </cell>
          <cell r="S55">
            <v>12500</v>
          </cell>
        </row>
        <row r="56">
          <cell r="A56" t="str">
            <v>Test</v>
          </cell>
          <cell r="C56" t="str">
            <v>Field Operations Controller</v>
          </cell>
          <cell r="F56" t="str">
            <v>PT</v>
          </cell>
          <cell r="I56" t="str">
            <v>Ft. Hood</v>
          </cell>
          <cell r="K56" t="str">
            <v>WESTECH</v>
          </cell>
          <cell r="N56">
            <v>500</v>
          </cell>
          <cell r="O56">
            <v>4629.1666666666661</v>
          </cell>
          <cell r="P56">
            <v>5050</v>
          </cell>
          <cell r="Q56">
            <v>5050</v>
          </cell>
          <cell r="R56">
            <v>5050</v>
          </cell>
          <cell r="S56">
            <v>5050</v>
          </cell>
        </row>
        <row r="57">
          <cell r="A57" t="str">
            <v>Test</v>
          </cell>
          <cell r="C57" t="str">
            <v>Lead Data Collector</v>
          </cell>
          <cell r="F57" t="str">
            <v>PT</v>
          </cell>
          <cell r="I57" t="str">
            <v>Ft. Hood</v>
          </cell>
          <cell r="K57" t="str">
            <v>TRAX</v>
          </cell>
          <cell r="N57">
            <v>450</v>
          </cell>
          <cell r="O57">
            <v>15400</v>
          </cell>
          <cell r="P57">
            <v>16800</v>
          </cell>
          <cell r="Q57">
            <v>16800</v>
          </cell>
          <cell r="R57">
            <v>16800</v>
          </cell>
          <cell r="S57">
            <v>16800</v>
          </cell>
        </row>
        <row r="58">
          <cell r="A58" t="str">
            <v>Test</v>
          </cell>
          <cell r="C58" t="str">
            <v>Lead Operations Specialist</v>
          </cell>
          <cell r="F58" t="str">
            <v>PT</v>
          </cell>
          <cell r="I58" t="str">
            <v>Ft. Hood</v>
          </cell>
          <cell r="K58" t="str">
            <v>WESTECH</v>
          </cell>
          <cell r="N58">
            <v>40</v>
          </cell>
          <cell r="O58">
            <v>6875</v>
          </cell>
          <cell r="P58">
            <v>7500</v>
          </cell>
          <cell r="Q58">
            <v>7500</v>
          </cell>
          <cell r="R58">
            <v>7500</v>
          </cell>
          <cell r="S58">
            <v>7500</v>
          </cell>
        </row>
        <row r="59">
          <cell r="A59" t="str">
            <v>Test</v>
          </cell>
          <cell r="C59" t="str">
            <v>Operations Specialist</v>
          </cell>
          <cell r="F59" t="str">
            <v>PT</v>
          </cell>
          <cell r="I59" t="str">
            <v>Ft. Hood</v>
          </cell>
          <cell r="K59" t="str">
            <v>WESTECH</v>
          </cell>
          <cell r="N59">
            <v>500</v>
          </cell>
          <cell r="O59">
            <v>12112.833333333332</v>
          </cell>
          <cell r="P59">
            <v>13214</v>
          </cell>
          <cell r="Q59">
            <v>13214</v>
          </cell>
          <cell r="R59">
            <v>13214</v>
          </cell>
          <cell r="S59">
            <v>13214</v>
          </cell>
        </row>
        <row r="60">
          <cell r="A60" t="str">
            <v>Test</v>
          </cell>
          <cell r="C60" t="str">
            <v>Supply Technician</v>
          </cell>
          <cell r="F60" t="str">
            <v>PT</v>
          </cell>
          <cell r="I60" t="str">
            <v>Ft. Hood</v>
          </cell>
          <cell r="K60" t="str">
            <v>WESTECH</v>
          </cell>
          <cell r="N60">
            <v>860</v>
          </cell>
          <cell r="O60">
            <v>4629.1666666666661</v>
          </cell>
          <cell r="P60">
            <v>5050</v>
          </cell>
          <cell r="Q60">
            <v>5050</v>
          </cell>
          <cell r="R60">
            <v>5050</v>
          </cell>
          <cell r="S60">
            <v>5050</v>
          </cell>
        </row>
        <row r="61">
          <cell r="A61" t="str">
            <v>Test</v>
          </cell>
          <cell r="C61" t="str">
            <v>Task Lead</v>
          </cell>
          <cell r="F61" t="str">
            <v>FT</v>
          </cell>
          <cell r="I61" t="str">
            <v>Ft. Hood</v>
          </cell>
          <cell r="K61" t="str">
            <v>WESTECH</v>
          </cell>
          <cell r="N61">
            <v>693</v>
          </cell>
          <cell r="O61">
            <v>3025</v>
          </cell>
          <cell r="P61">
            <v>3300</v>
          </cell>
          <cell r="Q61">
            <v>3300</v>
          </cell>
          <cell r="R61">
            <v>3300</v>
          </cell>
          <cell r="S61">
            <v>3300</v>
          </cell>
        </row>
      </sheetData>
      <sheetData sheetId="19">
        <row r="2">
          <cell r="D2" t="str">
            <v>Base Year</v>
          </cell>
          <cell r="E2" t="str">
            <v>Year 2</v>
          </cell>
          <cell r="F2" t="str">
            <v>Year 3</v>
          </cell>
          <cell r="G2" t="str">
            <v>Year 4</v>
          </cell>
          <cell r="H2" t="str">
            <v>Year 5</v>
          </cell>
        </row>
        <row r="3">
          <cell r="B3" t="str">
            <v>E</v>
          </cell>
          <cell r="D3">
            <v>4.18</v>
          </cell>
          <cell r="E3">
            <v>4.18</v>
          </cell>
          <cell r="F3">
            <v>4.18</v>
          </cell>
          <cell r="G3">
            <v>4.18</v>
          </cell>
          <cell r="H3">
            <v>4.18</v>
          </cell>
        </row>
        <row r="4">
          <cell r="B4" t="str">
            <v>NE</v>
          </cell>
          <cell r="D4">
            <v>4.18</v>
          </cell>
          <cell r="E4">
            <v>4.18</v>
          </cell>
          <cell r="F4">
            <v>4.18</v>
          </cell>
          <cell r="G4">
            <v>4.18</v>
          </cell>
          <cell r="H4">
            <v>4.18</v>
          </cell>
        </row>
        <row r="10">
          <cell r="D10">
            <v>6.2E-2</v>
          </cell>
          <cell r="E10">
            <v>6.2E-2</v>
          </cell>
          <cell r="F10">
            <v>6.2E-2</v>
          </cell>
          <cell r="G10">
            <v>6.2E-2</v>
          </cell>
          <cell r="H10">
            <v>6.2E-2</v>
          </cell>
        </row>
        <row r="11">
          <cell r="D11">
            <v>132900</v>
          </cell>
          <cell r="E11">
            <v>132900</v>
          </cell>
          <cell r="F11">
            <v>132900</v>
          </cell>
          <cell r="G11">
            <v>132900</v>
          </cell>
          <cell r="H11">
            <v>132900</v>
          </cell>
        </row>
        <row r="12">
          <cell r="D12">
            <v>1.4500000000000001E-2</v>
          </cell>
          <cell r="E12">
            <v>1.4500000000000001E-2</v>
          </cell>
          <cell r="F12">
            <v>1.4500000000000001E-2</v>
          </cell>
          <cell r="G12">
            <v>1.4500000000000001E-2</v>
          </cell>
          <cell r="H12">
            <v>1.4500000000000001E-2</v>
          </cell>
        </row>
        <row r="13">
          <cell r="D13">
            <v>6.0000000000000001E-3</v>
          </cell>
          <cell r="E13">
            <v>6.0000000000000001E-3</v>
          </cell>
          <cell r="F13">
            <v>6.0000000000000001E-3</v>
          </cell>
          <cell r="G13">
            <v>6.0000000000000001E-3</v>
          </cell>
          <cell r="H13">
            <v>6.0000000000000001E-3</v>
          </cell>
        </row>
        <row r="14">
          <cell r="D14">
            <v>7000</v>
          </cell>
          <cell r="E14">
            <v>7000</v>
          </cell>
          <cell r="F14">
            <v>7000</v>
          </cell>
          <cell r="G14">
            <v>7000</v>
          </cell>
          <cell r="H14">
            <v>7000</v>
          </cell>
        </row>
        <row r="15">
          <cell r="D15">
            <v>6.3600000000000004E-2</v>
          </cell>
          <cell r="E15">
            <v>6.3600000000000004E-2</v>
          </cell>
          <cell r="F15">
            <v>6.3600000000000004E-2</v>
          </cell>
          <cell r="G15">
            <v>6.3600000000000004E-2</v>
          </cell>
          <cell r="H15">
            <v>6.3600000000000004E-2</v>
          </cell>
        </row>
        <row r="16">
          <cell r="D16">
            <v>9000</v>
          </cell>
          <cell r="E16">
            <v>9000</v>
          </cell>
          <cell r="F16">
            <v>9000</v>
          </cell>
          <cell r="G16">
            <v>9000</v>
          </cell>
          <cell r="H16">
            <v>9000</v>
          </cell>
        </row>
        <row r="21">
          <cell r="B21">
            <v>5183</v>
          </cell>
          <cell r="D21">
            <v>3.05</v>
          </cell>
          <cell r="E21">
            <v>3.1262499999999998</v>
          </cell>
          <cell r="F21">
            <v>3.2044062499999995</v>
          </cell>
          <cell r="G21">
            <v>3.284516406249999</v>
          </cell>
          <cell r="H21">
            <v>3.3666293164062489</v>
          </cell>
        </row>
        <row r="22">
          <cell r="B22">
            <v>5190</v>
          </cell>
          <cell r="D22">
            <v>3.27</v>
          </cell>
          <cell r="E22">
            <v>3.3517499999999996</v>
          </cell>
          <cell r="F22">
            <v>3.4355437499999995</v>
          </cell>
          <cell r="G22">
            <v>3.521432343749999</v>
          </cell>
          <cell r="H22">
            <v>3.6094681523437488</v>
          </cell>
        </row>
        <row r="23">
          <cell r="B23">
            <v>5191</v>
          </cell>
          <cell r="D23">
            <v>0.74</v>
          </cell>
          <cell r="E23">
            <v>0.75849999999999995</v>
          </cell>
          <cell r="F23">
            <v>0.77746249999999983</v>
          </cell>
          <cell r="G23">
            <v>0.79689906249999976</v>
          </cell>
          <cell r="H23">
            <v>0.81682153906249966</v>
          </cell>
        </row>
        <row r="24">
          <cell r="B24">
            <v>5403</v>
          </cell>
          <cell r="D24">
            <v>5.66</v>
          </cell>
          <cell r="E24">
            <v>5.8014999999999999</v>
          </cell>
          <cell r="F24">
            <v>5.9465374999999989</v>
          </cell>
          <cell r="G24">
            <v>6.0952009374999987</v>
          </cell>
          <cell r="H24">
            <v>6.2475809609374977</v>
          </cell>
        </row>
        <row r="25">
          <cell r="B25">
            <v>5536</v>
          </cell>
          <cell r="D25">
            <v>3.59</v>
          </cell>
          <cell r="E25">
            <v>3.6797499999999994</v>
          </cell>
          <cell r="F25">
            <v>3.7717437499999993</v>
          </cell>
          <cell r="G25">
            <v>3.8660373437499991</v>
          </cell>
          <cell r="H25">
            <v>3.9626882773437488</v>
          </cell>
        </row>
        <row r="26">
          <cell r="B26">
            <v>8044</v>
          </cell>
          <cell r="D26">
            <v>3.15</v>
          </cell>
          <cell r="E26">
            <v>3.2287499999999998</v>
          </cell>
          <cell r="F26">
            <v>3.3094687499999993</v>
          </cell>
          <cell r="G26">
            <v>3.392205468749999</v>
          </cell>
          <cell r="H26">
            <v>3.4770106054687484</v>
          </cell>
        </row>
        <row r="27">
          <cell r="B27">
            <v>8292</v>
          </cell>
          <cell r="D27">
            <v>3.19</v>
          </cell>
          <cell r="E27">
            <v>3.2697499999999997</v>
          </cell>
          <cell r="F27">
            <v>3.3514937499999995</v>
          </cell>
          <cell r="G27">
            <v>3.4352810937499991</v>
          </cell>
          <cell r="H27">
            <v>3.5211631210937488</v>
          </cell>
        </row>
        <row r="28">
          <cell r="B28">
            <v>8391</v>
          </cell>
          <cell r="D28">
            <v>1.67</v>
          </cell>
          <cell r="E28">
            <v>1.7117499999999999</v>
          </cell>
          <cell r="F28">
            <v>1.7545437499999996</v>
          </cell>
          <cell r="G28">
            <v>1.7984073437499994</v>
          </cell>
          <cell r="H28">
            <v>1.8433675273437493</v>
          </cell>
        </row>
        <row r="29">
          <cell r="B29">
            <v>8803</v>
          </cell>
          <cell r="D29">
            <v>0.08</v>
          </cell>
          <cell r="E29">
            <v>8.199999999999999E-2</v>
          </cell>
          <cell r="F29">
            <v>8.4049999999999986E-2</v>
          </cell>
          <cell r="G29">
            <v>8.6151249999999985E-2</v>
          </cell>
          <cell r="H29">
            <v>8.8305031249999971E-2</v>
          </cell>
        </row>
        <row r="30">
          <cell r="B30">
            <v>8810</v>
          </cell>
          <cell r="D30">
            <v>0.1</v>
          </cell>
          <cell r="E30">
            <v>0.10249999999999999</v>
          </cell>
          <cell r="F30">
            <v>0.10506249999999999</v>
          </cell>
          <cell r="G30">
            <v>0.10768906249999997</v>
          </cell>
          <cell r="H30">
            <v>0.11038128906249996</v>
          </cell>
        </row>
        <row r="31">
          <cell r="B31">
            <v>9102</v>
          </cell>
          <cell r="D31">
            <v>2.81</v>
          </cell>
          <cell r="E31">
            <v>2.8802499999999998</v>
          </cell>
          <cell r="F31">
            <v>2.9522562499999996</v>
          </cell>
          <cell r="G31">
            <v>3.0260626562499993</v>
          </cell>
          <cell r="H31">
            <v>3.1017142226562489</v>
          </cell>
        </row>
      </sheetData>
      <sheetData sheetId="20">
        <row r="2">
          <cell r="J2" t="str">
            <v>E</v>
          </cell>
          <cell r="K2">
            <v>2.5000000000000001E-2</v>
          </cell>
          <cell r="L2">
            <v>2.5000000000000001E-2</v>
          </cell>
          <cell r="M2">
            <v>2.5000000000000001E-2</v>
          </cell>
          <cell r="N2">
            <v>2.5000000000000001E-2</v>
          </cell>
        </row>
        <row r="3">
          <cell r="J3" t="str">
            <v>NE</v>
          </cell>
          <cell r="K3">
            <v>0</v>
          </cell>
          <cell r="L3">
            <v>0</v>
          </cell>
          <cell r="M3">
            <v>0</v>
          </cell>
          <cell r="N3">
            <v>0</v>
          </cell>
        </row>
        <row r="4">
          <cell r="J4" t="str">
            <v>Base Year</v>
          </cell>
          <cell r="K4" t="str">
            <v>Year 2</v>
          </cell>
          <cell r="L4" t="str">
            <v>Year 3</v>
          </cell>
          <cell r="M4" t="str">
            <v>Year 4</v>
          </cell>
          <cell r="N4" t="str">
            <v>Year 5</v>
          </cell>
        </row>
        <row r="5">
          <cell r="B5" t="str">
            <v xml:space="preserve">Automotive Maintenance Section Supervisor  </v>
          </cell>
          <cell r="F5" t="str">
            <v>Ft. Hood</v>
          </cell>
          <cell r="I5">
            <v>8810</v>
          </cell>
          <cell r="J5">
            <v>29.2</v>
          </cell>
          <cell r="K5">
            <v>29.93</v>
          </cell>
          <cell r="L5">
            <v>30.68</v>
          </cell>
          <cell r="M5">
            <v>31.45</v>
          </cell>
          <cell r="N5">
            <v>32.24</v>
          </cell>
        </row>
        <row r="6">
          <cell r="B6" t="str">
            <v xml:space="preserve">Buyer/Purchasing Specialist </v>
          </cell>
          <cell r="F6" t="str">
            <v>Ft. Hood</v>
          </cell>
          <cell r="I6">
            <v>8810</v>
          </cell>
          <cell r="J6">
            <v>22.04</v>
          </cell>
          <cell r="K6">
            <v>22.59</v>
          </cell>
          <cell r="L6">
            <v>23.15</v>
          </cell>
          <cell r="M6">
            <v>23.73</v>
          </cell>
          <cell r="N6">
            <v>24.32</v>
          </cell>
        </row>
        <row r="7">
          <cell r="B7" t="str">
            <v xml:space="preserve">Contract Administrator  </v>
          </cell>
          <cell r="F7" t="str">
            <v>Ft. Hood</v>
          </cell>
          <cell r="I7">
            <v>8810</v>
          </cell>
          <cell r="J7">
            <v>34.520000000000003</v>
          </cell>
          <cell r="K7">
            <v>35.380000000000003</v>
          </cell>
          <cell r="L7">
            <v>36.26</v>
          </cell>
          <cell r="M7">
            <v>37.17</v>
          </cell>
          <cell r="N7">
            <v>38.1</v>
          </cell>
        </row>
        <row r="8">
          <cell r="B8" t="str">
            <v>Database Administrator</v>
          </cell>
          <cell r="F8" t="str">
            <v>Ft. Hood</v>
          </cell>
          <cell r="I8">
            <v>8810</v>
          </cell>
          <cell r="J8">
            <v>37.869999999999997</v>
          </cell>
          <cell r="K8">
            <v>38.82</v>
          </cell>
          <cell r="L8">
            <v>39.79</v>
          </cell>
          <cell r="M8">
            <v>40.78</v>
          </cell>
          <cell r="N8">
            <v>41.8</v>
          </cell>
        </row>
        <row r="9">
          <cell r="B9" t="str">
            <v xml:space="preserve">Environmental Compliance Manager  </v>
          </cell>
          <cell r="F9" t="str">
            <v>Ft. Hood</v>
          </cell>
          <cell r="I9">
            <v>8810</v>
          </cell>
          <cell r="J9">
            <v>34.175400000000003</v>
          </cell>
          <cell r="K9">
            <v>35.03</v>
          </cell>
          <cell r="L9">
            <v>35.909999999999997</v>
          </cell>
          <cell r="M9">
            <v>36.81</v>
          </cell>
          <cell r="N9">
            <v>37.729999999999997</v>
          </cell>
        </row>
        <row r="10">
          <cell r="B10" t="str">
            <v>Field Operations Controller</v>
          </cell>
          <cell r="F10" t="str">
            <v>Ft. Hood</v>
          </cell>
          <cell r="I10">
            <v>8810</v>
          </cell>
          <cell r="J10">
            <v>25.74</v>
          </cell>
          <cell r="K10">
            <v>26.38</v>
          </cell>
          <cell r="L10">
            <v>27.04</v>
          </cell>
          <cell r="M10">
            <v>27.72</v>
          </cell>
          <cell r="N10">
            <v>28.41</v>
          </cell>
        </row>
        <row r="11">
          <cell r="B11" t="str">
            <v xml:space="preserve">Human Resource Specialist   </v>
          </cell>
          <cell r="F11" t="str">
            <v>Ft. Hood</v>
          </cell>
          <cell r="I11">
            <v>8810</v>
          </cell>
          <cell r="J11">
            <v>30</v>
          </cell>
          <cell r="K11">
            <v>30.75</v>
          </cell>
          <cell r="L11">
            <v>31.52</v>
          </cell>
          <cell r="M11">
            <v>32.31</v>
          </cell>
          <cell r="N11">
            <v>33.119999999999997</v>
          </cell>
        </row>
        <row r="12">
          <cell r="B12" t="str">
            <v>ICCC Section Lead III</v>
          </cell>
          <cell r="F12" t="str">
            <v>Ft. Hood</v>
          </cell>
          <cell r="I12">
            <v>5191</v>
          </cell>
          <cell r="J12">
            <v>23.83</v>
          </cell>
          <cell r="K12">
            <v>24.43</v>
          </cell>
          <cell r="L12">
            <v>25.04</v>
          </cell>
          <cell r="M12">
            <v>25.67</v>
          </cell>
          <cell r="N12">
            <v>26.31</v>
          </cell>
        </row>
        <row r="13">
          <cell r="B13" t="str">
            <v xml:space="preserve">IT Section Lead  </v>
          </cell>
          <cell r="F13" t="str">
            <v>Ft. Hood</v>
          </cell>
          <cell r="I13">
            <v>8810</v>
          </cell>
          <cell r="J13">
            <v>36.049999999999997</v>
          </cell>
          <cell r="K13">
            <v>36.950000000000003</v>
          </cell>
          <cell r="L13">
            <v>37.869999999999997</v>
          </cell>
          <cell r="M13">
            <v>38.82</v>
          </cell>
          <cell r="N13">
            <v>39.79</v>
          </cell>
        </row>
        <row r="14">
          <cell r="B14" t="str">
            <v xml:space="preserve">LAN Administrator  </v>
          </cell>
          <cell r="F14" t="str">
            <v>Ft. Hood</v>
          </cell>
          <cell r="I14">
            <v>8810</v>
          </cell>
          <cell r="J14">
            <v>29.22</v>
          </cell>
          <cell r="K14">
            <v>29.95</v>
          </cell>
          <cell r="L14">
            <v>30.7</v>
          </cell>
          <cell r="M14">
            <v>31.47</v>
          </cell>
          <cell r="N14">
            <v>32.26</v>
          </cell>
        </row>
        <row r="15">
          <cell r="B15" t="str">
            <v xml:space="preserve">Logistics Manager  </v>
          </cell>
          <cell r="F15" t="str">
            <v>Ft. Hood</v>
          </cell>
          <cell r="I15">
            <v>8810</v>
          </cell>
          <cell r="J15">
            <v>38.65</v>
          </cell>
          <cell r="K15">
            <v>39.619999999999997</v>
          </cell>
          <cell r="L15">
            <v>40.61</v>
          </cell>
          <cell r="M15">
            <v>41.63</v>
          </cell>
          <cell r="N15">
            <v>42.67</v>
          </cell>
        </row>
        <row r="16">
          <cell r="B16" t="str">
            <v>Program Manager</v>
          </cell>
          <cell r="F16" t="str">
            <v>Ft. Hood</v>
          </cell>
          <cell r="I16">
            <v>8810</v>
          </cell>
          <cell r="J16">
            <v>46.36</v>
          </cell>
          <cell r="K16">
            <v>47.52</v>
          </cell>
          <cell r="L16">
            <v>48.71</v>
          </cell>
          <cell r="M16">
            <v>49.93</v>
          </cell>
          <cell r="N16">
            <v>51.18</v>
          </cell>
        </row>
        <row r="17">
          <cell r="B17" t="str">
            <v xml:space="preserve">Security/Safety/Quality Control Manager     </v>
          </cell>
          <cell r="F17" t="str">
            <v>Ft. Hood</v>
          </cell>
          <cell r="I17">
            <v>8810</v>
          </cell>
          <cell r="J17">
            <v>31.94</v>
          </cell>
          <cell r="K17">
            <v>32.74</v>
          </cell>
          <cell r="L17">
            <v>33.56</v>
          </cell>
          <cell r="M17">
            <v>34.4</v>
          </cell>
          <cell r="N17">
            <v>35.26</v>
          </cell>
        </row>
        <row r="18">
          <cell r="B18" t="str">
            <v>Software Developer/Software Engineer Senior</v>
          </cell>
          <cell r="F18" t="str">
            <v>Ft. Hood</v>
          </cell>
          <cell r="I18">
            <v>8803</v>
          </cell>
          <cell r="J18">
            <v>38.9</v>
          </cell>
          <cell r="K18">
            <v>39.869999999999997</v>
          </cell>
          <cell r="L18">
            <v>40.869999999999997</v>
          </cell>
          <cell r="M18">
            <v>41.89</v>
          </cell>
          <cell r="N18">
            <v>42.94</v>
          </cell>
        </row>
        <row r="19">
          <cell r="B19" t="str">
            <v xml:space="preserve">Supply Services Section Supervisor  </v>
          </cell>
          <cell r="F19" t="str">
            <v>Ft. Hood</v>
          </cell>
          <cell r="I19">
            <v>8292</v>
          </cell>
          <cell r="J19">
            <v>29.1</v>
          </cell>
          <cell r="K19">
            <v>29.83</v>
          </cell>
          <cell r="L19">
            <v>30.58</v>
          </cell>
          <cell r="M19">
            <v>31.34</v>
          </cell>
          <cell r="N19">
            <v>32.119999999999997</v>
          </cell>
        </row>
        <row r="20">
          <cell r="B20" t="str">
            <v>Task Lead</v>
          </cell>
          <cell r="F20" t="str">
            <v>Ft. Hood</v>
          </cell>
          <cell r="I20">
            <v>8810</v>
          </cell>
          <cell r="J20">
            <v>36.380000000000003</v>
          </cell>
          <cell r="K20">
            <v>37.29</v>
          </cell>
          <cell r="L20">
            <v>38.22</v>
          </cell>
          <cell r="M20">
            <v>39.18</v>
          </cell>
          <cell r="N20">
            <v>40.159999999999997</v>
          </cell>
        </row>
        <row r="21">
          <cell r="B21" t="str">
            <v>Accounting Clerk III</v>
          </cell>
          <cell r="F21" t="str">
            <v>Ft. Hood</v>
          </cell>
          <cell r="I21">
            <v>8810</v>
          </cell>
          <cell r="J21">
            <v>16.63</v>
          </cell>
          <cell r="K21">
            <v>16.63</v>
          </cell>
          <cell r="L21">
            <v>16.63</v>
          </cell>
          <cell r="M21">
            <v>16.63</v>
          </cell>
          <cell r="N21">
            <v>16.63</v>
          </cell>
        </row>
        <row r="22">
          <cell r="B22" t="str">
            <v>Automotive Mechanic</v>
          </cell>
          <cell r="F22" t="str">
            <v>Ft. Hood</v>
          </cell>
          <cell r="I22">
            <v>8391</v>
          </cell>
          <cell r="J22">
            <v>19.059999999999999</v>
          </cell>
          <cell r="K22">
            <v>19.059999999999999</v>
          </cell>
          <cell r="L22">
            <v>19.059999999999999</v>
          </cell>
          <cell r="M22">
            <v>19.059999999999999</v>
          </cell>
          <cell r="N22">
            <v>19.059999999999999</v>
          </cell>
        </row>
        <row r="23">
          <cell r="B23" t="str">
            <v>Automotive Mechanic</v>
          </cell>
          <cell r="F23" t="str">
            <v>Ft. Bliss</v>
          </cell>
          <cell r="I23">
            <v>8391</v>
          </cell>
          <cell r="J23">
            <v>17.309999999999999</v>
          </cell>
          <cell r="K23">
            <v>17.309999999999999</v>
          </cell>
          <cell r="L23">
            <v>17.309999999999999</v>
          </cell>
          <cell r="M23">
            <v>17.309999999999999</v>
          </cell>
          <cell r="N23">
            <v>17.309999999999999</v>
          </cell>
        </row>
        <row r="24">
          <cell r="B24" t="str">
            <v>Carpenter</v>
          </cell>
          <cell r="F24" t="str">
            <v>Ft. Hood</v>
          </cell>
          <cell r="I24">
            <v>5403</v>
          </cell>
          <cell r="J24">
            <v>17.190000000000001</v>
          </cell>
          <cell r="K24">
            <v>17.190000000000001</v>
          </cell>
          <cell r="L24">
            <v>17.190000000000001</v>
          </cell>
          <cell r="M24">
            <v>17.190000000000001</v>
          </cell>
          <cell r="N24">
            <v>17.190000000000001</v>
          </cell>
        </row>
        <row r="25">
          <cell r="B25" t="str">
            <v>Document Control Specialist</v>
          </cell>
          <cell r="F25" t="str">
            <v>Ft. Hood</v>
          </cell>
          <cell r="I25">
            <v>8810</v>
          </cell>
          <cell r="J25">
            <v>15.79</v>
          </cell>
          <cell r="K25">
            <v>15.79</v>
          </cell>
          <cell r="L25">
            <v>15.79</v>
          </cell>
          <cell r="M25">
            <v>15.79</v>
          </cell>
          <cell r="N25">
            <v>15.79</v>
          </cell>
        </row>
        <row r="26">
          <cell r="B26" t="str">
            <v>Electrician</v>
          </cell>
          <cell r="F26" t="str">
            <v>Ft. Hood</v>
          </cell>
          <cell r="I26">
            <v>5190</v>
          </cell>
          <cell r="J26">
            <v>21.54</v>
          </cell>
          <cell r="K26">
            <v>21.54</v>
          </cell>
          <cell r="L26">
            <v>21.54</v>
          </cell>
          <cell r="M26">
            <v>21.54</v>
          </cell>
          <cell r="N26">
            <v>21.54</v>
          </cell>
        </row>
        <row r="27">
          <cell r="B27" t="str">
            <v>Electronic Technician II</v>
          </cell>
          <cell r="F27" t="str">
            <v>Ft. Hood</v>
          </cell>
          <cell r="I27">
            <v>8044</v>
          </cell>
          <cell r="J27">
            <v>21.55</v>
          </cell>
          <cell r="K27">
            <v>21.55</v>
          </cell>
          <cell r="L27">
            <v>21.55</v>
          </cell>
          <cell r="M27">
            <v>21.55</v>
          </cell>
          <cell r="N27">
            <v>21.55</v>
          </cell>
        </row>
        <row r="28">
          <cell r="B28" t="str">
            <v>HR Clerk/Travel Coordinator</v>
          </cell>
          <cell r="F28" t="str">
            <v>Ft. Hood</v>
          </cell>
          <cell r="I28">
            <v>8810</v>
          </cell>
          <cell r="J28">
            <v>12.77</v>
          </cell>
          <cell r="K28">
            <v>12.77</v>
          </cell>
          <cell r="L28">
            <v>12.77</v>
          </cell>
          <cell r="M28">
            <v>12.77</v>
          </cell>
          <cell r="N28">
            <v>12.77</v>
          </cell>
        </row>
        <row r="29">
          <cell r="B29" t="str">
            <v>HVAC Mechanic</v>
          </cell>
          <cell r="F29" t="str">
            <v>Ft. Hood</v>
          </cell>
          <cell r="I29">
            <v>5536</v>
          </cell>
          <cell r="J29">
            <v>17.27</v>
          </cell>
          <cell r="K29">
            <v>17.27</v>
          </cell>
          <cell r="L29">
            <v>17.27</v>
          </cell>
          <cell r="M29">
            <v>17.27</v>
          </cell>
          <cell r="N29">
            <v>17.27</v>
          </cell>
        </row>
        <row r="30">
          <cell r="B30" t="str">
            <v>Laborer/Grounds Maintenance</v>
          </cell>
          <cell r="F30" t="str">
            <v>Ft. Hood</v>
          </cell>
          <cell r="I30">
            <v>9102</v>
          </cell>
          <cell r="J30">
            <v>12.24</v>
          </cell>
          <cell r="K30">
            <v>12.24</v>
          </cell>
          <cell r="L30">
            <v>12.24</v>
          </cell>
          <cell r="M30">
            <v>12.24</v>
          </cell>
          <cell r="N30">
            <v>12.24</v>
          </cell>
        </row>
        <row r="31">
          <cell r="B31" t="str">
            <v>Lead Operations Specialist</v>
          </cell>
          <cell r="F31" t="str">
            <v>Ft. Hood</v>
          </cell>
          <cell r="I31">
            <v>8810</v>
          </cell>
          <cell r="J31">
            <v>15.79</v>
          </cell>
          <cell r="K31">
            <v>15.79</v>
          </cell>
          <cell r="L31">
            <v>15.79</v>
          </cell>
          <cell r="M31">
            <v>15.79</v>
          </cell>
          <cell r="N31">
            <v>15.79</v>
          </cell>
        </row>
        <row r="32">
          <cell r="B32" t="str">
            <v>Metrology Technician III (TMDE)</v>
          </cell>
          <cell r="F32" t="str">
            <v>Ft. Hood</v>
          </cell>
          <cell r="I32">
            <v>5191</v>
          </cell>
          <cell r="J32">
            <v>23.13</v>
          </cell>
          <cell r="K32">
            <v>23.13</v>
          </cell>
          <cell r="L32">
            <v>23.13</v>
          </cell>
          <cell r="M32">
            <v>23.13</v>
          </cell>
          <cell r="N32">
            <v>23.13</v>
          </cell>
        </row>
        <row r="33">
          <cell r="B33" t="str">
            <v>Operations Specialist</v>
          </cell>
          <cell r="F33" t="str">
            <v>Ft. Hood</v>
          </cell>
          <cell r="I33">
            <v>8810</v>
          </cell>
          <cell r="J33">
            <v>15.26</v>
          </cell>
          <cell r="K33">
            <v>15.26</v>
          </cell>
          <cell r="L33">
            <v>15.26</v>
          </cell>
          <cell r="M33">
            <v>15.26</v>
          </cell>
          <cell r="N33">
            <v>15.26</v>
          </cell>
        </row>
        <row r="34">
          <cell r="B34" t="str">
            <v>PC Technician I</v>
          </cell>
          <cell r="F34" t="str">
            <v>Ft. Hood</v>
          </cell>
          <cell r="I34">
            <v>5191</v>
          </cell>
          <cell r="J34">
            <v>22.02</v>
          </cell>
          <cell r="K34">
            <v>22.02</v>
          </cell>
          <cell r="L34">
            <v>22.02</v>
          </cell>
          <cell r="M34">
            <v>22.02</v>
          </cell>
          <cell r="N34">
            <v>22.02</v>
          </cell>
        </row>
        <row r="35">
          <cell r="B35" t="str">
            <v>Personnel Assistant III</v>
          </cell>
          <cell r="F35" t="str">
            <v>Ft. Hood</v>
          </cell>
          <cell r="I35">
            <v>8810</v>
          </cell>
          <cell r="J35">
            <v>19.05</v>
          </cell>
          <cell r="K35">
            <v>19.05</v>
          </cell>
          <cell r="L35">
            <v>19.05</v>
          </cell>
          <cell r="M35">
            <v>19.05</v>
          </cell>
          <cell r="N35">
            <v>19.05</v>
          </cell>
        </row>
        <row r="36">
          <cell r="B36" t="str">
            <v>PLL/HAZMAT/GCSS-A Clerk (Production Control Clerk 2)</v>
          </cell>
          <cell r="F36" t="str">
            <v>Ft. Hood</v>
          </cell>
          <cell r="I36">
            <v>8810</v>
          </cell>
          <cell r="J36">
            <v>20.95</v>
          </cell>
          <cell r="K36">
            <v>20.95</v>
          </cell>
          <cell r="L36">
            <v>20.95</v>
          </cell>
          <cell r="M36">
            <v>20.95</v>
          </cell>
          <cell r="N36">
            <v>20.95</v>
          </cell>
        </row>
        <row r="37">
          <cell r="B37" t="str">
            <v>Plumber, Maintenance</v>
          </cell>
          <cell r="F37" t="str">
            <v>Ft. Hood</v>
          </cell>
          <cell r="I37">
            <v>5183</v>
          </cell>
          <cell r="J37">
            <v>19.84</v>
          </cell>
          <cell r="K37">
            <v>19.84</v>
          </cell>
          <cell r="L37">
            <v>19.84</v>
          </cell>
          <cell r="M37">
            <v>19.84</v>
          </cell>
          <cell r="N37">
            <v>19.84</v>
          </cell>
        </row>
        <row r="38">
          <cell r="B38" t="str">
            <v>Shipping/Receiving Clerk</v>
          </cell>
          <cell r="F38" t="str">
            <v>Ft. Hood</v>
          </cell>
          <cell r="I38">
            <v>8810</v>
          </cell>
          <cell r="J38">
            <v>16.489999999999998</v>
          </cell>
          <cell r="K38">
            <v>16.489999999999998</v>
          </cell>
          <cell r="L38">
            <v>16.489999999999998</v>
          </cell>
          <cell r="M38">
            <v>16.489999999999998</v>
          </cell>
          <cell r="N38">
            <v>16.489999999999998</v>
          </cell>
        </row>
        <row r="39">
          <cell r="B39" t="str">
            <v>Supply Technician</v>
          </cell>
          <cell r="F39" t="str">
            <v>Ft. Hood</v>
          </cell>
          <cell r="I39">
            <v>8292</v>
          </cell>
          <cell r="J39">
            <v>22.39</v>
          </cell>
          <cell r="K39">
            <v>22.39</v>
          </cell>
          <cell r="L39">
            <v>22.39</v>
          </cell>
          <cell r="M39">
            <v>22.39</v>
          </cell>
          <cell r="N39">
            <v>22.39</v>
          </cell>
        </row>
        <row r="40">
          <cell r="B40" t="str">
            <v>Vehicle Dispatcher</v>
          </cell>
          <cell r="F40" t="str">
            <v>Ft. Hood</v>
          </cell>
          <cell r="I40">
            <v>8810</v>
          </cell>
          <cell r="J40">
            <v>17.579999999999998</v>
          </cell>
          <cell r="K40">
            <v>17.579999999999998</v>
          </cell>
          <cell r="L40">
            <v>17.579999999999998</v>
          </cell>
          <cell r="M40">
            <v>17.579999999999998</v>
          </cell>
          <cell r="N40">
            <v>17.579999999999998</v>
          </cell>
        </row>
        <row r="41">
          <cell r="B41" t="str">
            <v>Warehouse Specialist</v>
          </cell>
          <cell r="F41" t="str">
            <v>Ft. Hood</v>
          </cell>
          <cell r="I41">
            <v>8292</v>
          </cell>
          <cell r="J41">
            <v>15.12</v>
          </cell>
          <cell r="K41">
            <v>15.12</v>
          </cell>
          <cell r="L41">
            <v>15.12</v>
          </cell>
          <cell r="M41">
            <v>15.12</v>
          </cell>
          <cell r="N41">
            <v>15.12</v>
          </cell>
        </row>
      </sheetData>
      <sheetData sheetId="21">
        <row r="4">
          <cell r="C4" t="str">
            <v>15-5238</v>
          </cell>
          <cell r="D4" t="str">
            <v>15-4378</v>
          </cell>
          <cell r="E4" t="str">
            <v>15-4430</v>
          </cell>
          <cell r="F4" t="str">
            <v>15-5230</v>
          </cell>
        </row>
        <row r="9">
          <cell r="A9" t="str">
            <v>01011</v>
          </cell>
          <cell r="B9" t="str">
            <v>Accounting Clerk I</v>
          </cell>
          <cell r="C9">
            <v>13.24</v>
          </cell>
          <cell r="D9">
            <v>13.92</v>
          </cell>
          <cell r="E9">
            <v>14.2</v>
          </cell>
          <cell r="F9">
            <v>13.55</v>
          </cell>
        </row>
        <row r="10">
          <cell r="A10" t="str">
            <v>01012</v>
          </cell>
          <cell r="B10" t="str">
            <v>Accounting Clerk II</v>
          </cell>
          <cell r="C10">
            <v>14.86</v>
          </cell>
          <cell r="D10">
            <v>15.63</v>
          </cell>
          <cell r="E10">
            <v>15.94</v>
          </cell>
          <cell r="F10">
            <v>15.21</v>
          </cell>
        </row>
        <row r="11">
          <cell r="A11" t="str">
            <v>01013</v>
          </cell>
          <cell r="B11" t="str">
            <v>Accounting Clerk III</v>
          </cell>
          <cell r="C11">
            <v>16.63</v>
          </cell>
          <cell r="D11">
            <v>17.489999999999998</v>
          </cell>
          <cell r="E11">
            <v>17.829999999999998</v>
          </cell>
          <cell r="F11">
            <v>17.02</v>
          </cell>
        </row>
        <row r="12">
          <cell r="A12" t="str">
            <v>01020</v>
          </cell>
          <cell r="B12" t="str">
            <v>Administrative Assistant</v>
          </cell>
          <cell r="C12">
            <v>22.39</v>
          </cell>
          <cell r="D12">
            <v>23.7</v>
          </cell>
          <cell r="E12">
            <v>23.54</v>
          </cell>
          <cell r="F12">
            <v>23.51</v>
          </cell>
        </row>
        <row r="13">
          <cell r="A13" t="str">
            <v>01035</v>
          </cell>
          <cell r="B13" t="str">
            <v>Court Reporter</v>
          </cell>
          <cell r="C13">
            <v>15.76</v>
          </cell>
          <cell r="D13">
            <v>18.11</v>
          </cell>
          <cell r="E13">
            <v>18.559999999999999</v>
          </cell>
          <cell r="F13">
            <v>17.27</v>
          </cell>
        </row>
        <row r="14">
          <cell r="A14" t="str">
            <v>01041</v>
          </cell>
          <cell r="B14" t="str">
            <v>Customer Service Representative</v>
          </cell>
          <cell r="C14">
            <v>10.78</v>
          </cell>
          <cell r="D14">
            <v>11.95</v>
          </cell>
          <cell r="E14">
            <v>12.21</v>
          </cell>
          <cell r="F14">
            <v>10.58</v>
          </cell>
        </row>
        <row r="15">
          <cell r="A15" t="str">
            <v>01042</v>
          </cell>
          <cell r="B15" t="str">
            <v>Customer Service Representative</v>
          </cell>
          <cell r="C15">
            <v>12.13</v>
          </cell>
          <cell r="D15">
            <v>13.43</v>
          </cell>
          <cell r="E15">
            <v>13.73</v>
          </cell>
          <cell r="F15">
            <v>11.9</v>
          </cell>
        </row>
        <row r="16">
          <cell r="A16" t="str">
            <v>01043</v>
          </cell>
          <cell r="B16" t="str">
            <v>Customer Service Representative</v>
          </cell>
          <cell r="C16">
            <v>13.23</v>
          </cell>
          <cell r="D16">
            <v>14.65</v>
          </cell>
          <cell r="E16">
            <v>14.98</v>
          </cell>
          <cell r="F16">
            <v>12.99</v>
          </cell>
        </row>
        <row r="17">
          <cell r="A17" t="str">
            <v>01051</v>
          </cell>
          <cell r="B17" t="str">
            <v>Data Entry Operator I</v>
          </cell>
          <cell r="C17">
            <v>12.63</v>
          </cell>
          <cell r="D17">
            <v>12.14</v>
          </cell>
          <cell r="E17">
            <v>12.41</v>
          </cell>
          <cell r="F17">
            <v>10.53</v>
          </cell>
        </row>
        <row r="18">
          <cell r="A18" t="str">
            <v>01052</v>
          </cell>
          <cell r="B18" t="str">
            <v>Data Entry Operator II</v>
          </cell>
          <cell r="C18">
            <v>13.78</v>
          </cell>
          <cell r="D18">
            <v>13.24</v>
          </cell>
          <cell r="E18">
            <v>13.35</v>
          </cell>
          <cell r="F18">
            <v>11.62</v>
          </cell>
        </row>
        <row r="19">
          <cell r="A19" t="str">
            <v>01060</v>
          </cell>
          <cell r="B19" t="str">
            <v>Dispatcher, Motor Vehicle</v>
          </cell>
          <cell r="C19">
            <v>17.579999999999998</v>
          </cell>
          <cell r="D19">
            <v>19.75</v>
          </cell>
          <cell r="E19">
            <v>18.100000000000001</v>
          </cell>
          <cell r="F19">
            <v>15.75</v>
          </cell>
        </row>
        <row r="20">
          <cell r="A20" t="str">
            <v>01070</v>
          </cell>
          <cell r="B20" t="str">
            <v>Document Preparation Clerk</v>
          </cell>
          <cell r="C20">
            <v>14.8</v>
          </cell>
          <cell r="D20">
            <v>14.42</v>
          </cell>
          <cell r="E20">
            <v>13.1</v>
          </cell>
          <cell r="F20">
            <v>11.82</v>
          </cell>
        </row>
        <row r="21">
          <cell r="A21" t="str">
            <v>01090</v>
          </cell>
          <cell r="B21" t="str">
            <v>Duplicating Machine Operator</v>
          </cell>
          <cell r="C21">
            <v>14.8</v>
          </cell>
          <cell r="D21">
            <v>14.42</v>
          </cell>
          <cell r="E21">
            <v>13.1</v>
          </cell>
          <cell r="F21">
            <v>11.82</v>
          </cell>
        </row>
        <row r="22">
          <cell r="A22" t="str">
            <v>01111</v>
          </cell>
          <cell r="B22" t="str">
            <v>General Clerk I</v>
          </cell>
          <cell r="C22">
            <v>12.77</v>
          </cell>
          <cell r="D22">
            <v>12.43</v>
          </cell>
          <cell r="E22">
            <v>11.92</v>
          </cell>
          <cell r="F22">
            <v>11.28</v>
          </cell>
        </row>
        <row r="23">
          <cell r="A23" t="str">
            <v>01112</v>
          </cell>
          <cell r="B23" t="str">
            <v>General Clerk II</v>
          </cell>
          <cell r="C23">
            <v>14.07</v>
          </cell>
          <cell r="D23">
            <v>13.56</v>
          </cell>
          <cell r="E23">
            <v>13</v>
          </cell>
          <cell r="F23">
            <v>12.3</v>
          </cell>
        </row>
        <row r="24">
          <cell r="A24" t="str">
            <v>01113</v>
          </cell>
          <cell r="B24" t="str">
            <v>General Clerk III</v>
          </cell>
          <cell r="C24">
            <v>15.79</v>
          </cell>
          <cell r="D24">
            <v>15.22</v>
          </cell>
          <cell r="E24">
            <v>14.59</v>
          </cell>
          <cell r="F24">
            <v>13.81</v>
          </cell>
        </row>
        <row r="25">
          <cell r="A25" t="str">
            <v>01120</v>
          </cell>
          <cell r="B25" t="str">
            <v>Housing Referral Assistant</v>
          </cell>
          <cell r="C25">
            <v>17.559999999999999</v>
          </cell>
          <cell r="D25">
            <v>20.190000000000001</v>
          </cell>
          <cell r="E25">
            <v>19.239999999999998</v>
          </cell>
          <cell r="F25">
            <v>16.63</v>
          </cell>
        </row>
        <row r="26">
          <cell r="A26" t="str">
            <v>01141</v>
          </cell>
          <cell r="B26" t="str">
            <v>Messenger Courier</v>
          </cell>
          <cell r="C26">
            <v>13.16</v>
          </cell>
          <cell r="D26">
            <v>11.75</v>
          </cell>
          <cell r="E26">
            <v>11.13</v>
          </cell>
          <cell r="F26">
            <v>9.69</v>
          </cell>
        </row>
        <row r="27">
          <cell r="A27" t="str">
            <v>01191</v>
          </cell>
          <cell r="B27" t="str">
            <v>Order Clerk I</v>
          </cell>
          <cell r="C27">
            <v>13.72</v>
          </cell>
          <cell r="D27">
            <v>13.49</v>
          </cell>
          <cell r="E27">
            <v>16.45</v>
          </cell>
          <cell r="F27">
            <v>12.82</v>
          </cell>
        </row>
        <row r="28">
          <cell r="A28" t="str">
            <v>01192</v>
          </cell>
          <cell r="B28" t="str">
            <v>Order Clerk II</v>
          </cell>
          <cell r="C28">
            <v>14.96</v>
          </cell>
          <cell r="D28">
            <v>14.72</v>
          </cell>
          <cell r="E28">
            <v>17.940000000000001</v>
          </cell>
          <cell r="F28">
            <v>13.99</v>
          </cell>
        </row>
        <row r="29">
          <cell r="A29" t="str">
            <v>01261</v>
          </cell>
          <cell r="B29" t="str">
            <v>Personnel Assistant (Employment) I</v>
          </cell>
          <cell r="C29">
            <v>15.28</v>
          </cell>
          <cell r="D29">
            <v>15.5</v>
          </cell>
          <cell r="E29">
            <v>15.36</v>
          </cell>
          <cell r="F29">
            <v>14.08</v>
          </cell>
        </row>
        <row r="30">
          <cell r="A30" t="str">
            <v>01262</v>
          </cell>
          <cell r="B30" t="str">
            <v>Personnel Assistant (Employment) II</v>
          </cell>
          <cell r="C30">
            <v>17.100000000000001</v>
          </cell>
          <cell r="D30">
            <v>17.34</v>
          </cell>
          <cell r="E30">
            <v>17.190000000000001</v>
          </cell>
          <cell r="F30">
            <v>15.88</v>
          </cell>
        </row>
        <row r="31">
          <cell r="A31" t="str">
            <v>01263</v>
          </cell>
          <cell r="B31" t="str">
            <v>Personnel Assistant (Employment) III</v>
          </cell>
          <cell r="C31">
            <v>19.05</v>
          </cell>
          <cell r="D31">
            <v>19.329999999999998</v>
          </cell>
          <cell r="E31">
            <v>19.16</v>
          </cell>
          <cell r="F31">
            <v>17.59</v>
          </cell>
        </row>
        <row r="32">
          <cell r="A32" t="str">
            <v>01270</v>
          </cell>
          <cell r="B32" t="str">
            <v>Production Control Clerk</v>
          </cell>
          <cell r="C32">
            <v>20.95</v>
          </cell>
          <cell r="D32">
            <v>21.58</v>
          </cell>
          <cell r="E32">
            <v>23.23</v>
          </cell>
          <cell r="F32">
            <v>17.14</v>
          </cell>
        </row>
        <row r="33">
          <cell r="A33" t="str">
            <v>01290</v>
          </cell>
          <cell r="B33" t="str">
            <v>Rental Clerk</v>
          </cell>
          <cell r="C33">
            <v>11.44</v>
          </cell>
          <cell r="D33">
            <v>11.84</v>
          </cell>
          <cell r="E33">
            <v>12.42</v>
          </cell>
          <cell r="F33">
            <v>10.86</v>
          </cell>
        </row>
        <row r="34">
          <cell r="A34" t="str">
            <v>01300</v>
          </cell>
          <cell r="B34" t="str">
            <v>Scheduler, Maintenance</v>
          </cell>
          <cell r="C34">
            <v>14.09</v>
          </cell>
          <cell r="D34">
            <v>16.190000000000001</v>
          </cell>
          <cell r="E34">
            <v>15.43</v>
          </cell>
          <cell r="F34">
            <v>13.34</v>
          </cell>
        </row>
        <row r="35">
          <cell r="A35" t="str">
            <v>01311</v>
          </cell>
          <cell r="B35" t="str">
            <v>Secretary I</v>
          </cell>
          <cell r="C35">
            <v>14.09</v>
          </cell>
          <cell r="D35">
            <v>16.190000000000001</v>
          </cell>
          <cell r="E35">
            <v>15.43</v>
          </cell>
          <cell r="F35">
            <v>13.34</v>
          </cell>
        </row>
        <row r="36">
          <cell r="A36" t="str">
            <v>01312</v>
          </cell>
          <cell r="B36" t="str">
            <v>Secretary II</v>
          </cell>
          <cell r="C36">
            <v>15.76</v>
          </cell>
          <cell r="D36">
            <v>18.11</v>
          </cell>
          <cell r="E36">
            <v>17.27</v>
          </cell>
          <cell r="F36">
            <v>14.92</v>
          </cell>
        </row>
        <row r="37">
          <cell r="A37" t="str">
            <v>01313</v>
          </cell>
          <cell r="B37" t="str">
            <v>Secretary III</v>
          </cell>
          <cell r="C37">
            <v>17.559999999999999</v>
          </cell>
          <cell r="D37">
            <v>20.190000000000001</v>
          </cell>
          <cell r="E37">
            <v>19.239999999999998</v>
          </cell>
          <cell r="F37">
            <v>16.63</v>
          </cell>
        </row>
        <row r="38">
          <cell r="A38" t="str">
            <v>01320</v>
          </cell>
          <cell r="B38" t="str">
            <v>Service Order Dispatcher</v>
          </cell>
          <cell r="C38">
            <v>15.32</v>
          </cell>
          <cell r="D38">
            <v>15.36</v>
          </cell>
          <cell r="E38">
            <v>15.99</v>
          </cell>
          <cell r="F38">
            <v>14.08</v>
          </cell>
        </row>
        <row r="39">
          <cell r="A39" t="str">
            <v>01410</v>
          </cell>
          <cell r="B39" t="str">
            <v>Supply Technician</v>
          </cell>
          <cell r="C39">
            <v>22.39</v>
          </cell>
          <cell r="D39">
            <v>23.7</v>
          </cell>
          <cell r="E39">
            <v>23.54</v>
          </cell>
          <cell r="F39">
            <v>22.94</v>
          </cell>
        </row>
        <row r="40">
          <cell r="A40" t="str">
            <v>01420</v>
          </cell>
          <cell r="B40" t="str">
            <v>Survey Worker</v>
          </cell>
          <cell r="C40">
            <v>14.57</v>
          </cell>
          <cell r="D40">
            <v>14.48</v>
          </cell>
          <cell r="E40">
            <v>15.22</v>
          </cell>
          <cell r="F40">
            <v>15.95</v>
          </cell>
        </row>
        <row r="41">
          <cell r="A41" t="str">
            <v>01460</v>
          </cell>
          <cell r="B41" t="str">
            <v>Switchboard Operator/Receptioni</v>
          </cell>
          <cell r="C41">
            <v>11.63</v>
          </cell>
          <cell r="D41">
            <v>12.08</v>
          </cell>
          <cell r="E41">
            <v>12.47</v>
          </cell>
          <cell r="F41">
            <v>10.85</v>
          </cell>
        </row>
        <row r="42">
          <cell r="A42" t="str">
            <v>01531</v>
          </cell>
          <cell r="B42" t="str">
            <v>Travel Clerk I</v>
          </cell>
          <cell r="C42">
            <v>11.59</v>
          </cell>
          <cell r="D42">
            <v>11.6</v>
          </cell>
          <cell r="E42">
            <v>13.55</v>
          </cell>
          <cell r="F42">
            <v>12.74</v>
          </cell>
        </row>
        <row r="43">
          <cell r="A43" t="str">
            <v>01532</v>
          </cell>
          <cell r="B43" t="str">
            <v>Travel Clerk II</v>
          </cell>
          <cell r="C43">
            <v>12.65</v>
          </cell>
          <cell r="D43">
            <v>12.35</v>
          </cell>
          <cell r="E43">
            <v>14.42</v>
          </cell>
          <cell r="F43">
            <v>13.81</v>
          </cell>
        </row>
        <row r="44">
          <cell r="A44" t="str">
            <v>01533</v>
          </cell>
          <cell r="B44" t="str">
            <v>Travel Clerk III</v>
          </cell>
          <cell r="C44">
            <v>13.72</v>
          </cell>
          <cell r="D44">
            <v>13.17</v>
          </cell>
          <cell r="E44">
            <v>15.33</v>
          </cell>
          <cell r="F44">
            <v>14.74</v>
          </cell>
        </row>
        <row r="45">
          <cell r="A45" t="str">
            <v>01611</v>
          </cell>
          <cell r="B45" t="str">
            <v>Word Processor I</v>
          </cell>
          <cell r="C45">
            <v>12.55</v>
          </cell>
          <cell r="D45">
            <v>14.42</v>
          </cell>
          <cell r="E45">
            <v>13.75</v>
          </cell>
          <cell r="F45">
            <v>14.56</v>
          </cell>
        </row>
        <row r="46">
          <cell r="A46" t="str">
            <v>01612</v>
          </cell>
          <cell r="B46" t="str">
            <v>Word Processor II</v>
          </cell>
          <cell r="C46">
            <v>14.09</v>
          </cell>
          <cell r="D46">
            <v>16.190000000000001</v>
          </cell>
          <cell r="E46">
            <v>15.43</v>
          </cell>
          <cell r="F46">
            <v>16.350000000000001</v>
          </cell>
        </row>
        <row r="47">
          <cell r="A47" t="str">
            <v>01613</v>
          </cell>
          <cell r="B47" t="str">
            <v>Word Processor III</v>
          </cell>
          <cell r="C47">
            <v>15.76</v>
          </cell>
          <cell r="D47">
            <v>18.11</v>
          </cell>
          <cell r="E47">
            <v>17.27</v>
          </cell>
          <cell r="F47">
            <v>18.29</v>
          </cell>
        </row>
        <row r="48">
          <cell r="A48" t="str">
            <v>05000 -</v>
          </cell>
          <cell r="B48" t="str">
            <v>utomotive Service Occupations</v>
          </cell>
        </row>
        <row r="49">
          <cell r="A49" t="str">
            <v>05005</v>
          </cell>
          <cell r="B49" t="str">
            <v>Automobile Body Repairer, Fiber</v>
          </cell>
          <cell r="C49">
            <v>19.95</v>
          </cell>
          <cell r="D49">
            <v>19.71</v>
          </cell>
          <cell r="E49">
            <v>20.5</v>
          </cell>
          <cell r="F49">
            <v>18.05</v>
          </cell>
        </row>
        <row r="50">
          <cell r="A50" t="str">
            <v>05010</v>
          </cell>
          <cell r="B50" t="str">
            <v>Automotive  Electrician</v>
          </cell>
          <cell r="C50">
            <v>17.89</v>
          </cell>
          <cell r="D50">
            <v>19.329999999999998</v>
          </cell>
          <cell r="E50">
            <v>18.95</v>
          </cell>
          <cell r="F50">
            <v>15.4</v>
          </cell>
        </row>
        <row r="51">
          <cell r="A51" t="str">
            <v>05040</v>
          </cell>
          <cell r="B51" t="str">
            <v>Automotive Glass Installer</v>
          </cell>
          <cell r="C51">
            <v>16.739999999999998</v>
          </cell>
          <cell r="D51">
            <v>17.760000000000002</v>
          </cell>
          <cell r="E51">
            <v>17.79</v>
          </cell>
          <cell r="F51">
            <v>14.37</v>
          </cell>
        </row>
        <row r="52">
          <cell r="A52" t="str">
            <v>05070</v>
          </cell>
          <cell r="B52" t="str">
            <v>Automotive Worker</v>
          </cell>
          <cell r="C52">
            <v>16.739999999999998</v>
          </cell>
          <cell r="D52">
            <v>17.760000000000002</v>
          </cell>
          <cell r="E52">
            <v>17.79</v>
          </cell>
          <cell r="F52">
            <v>14.37</v>
          </cell>
        </row>
        <row r="53">
          <cell r="A53" t="str">
            <v>05110</v>
          </cell>
          <cell r="B53" t="str">
            <v>Mobile Equipment Servicer</v>
          </cell>
          <cell r="C53">
            <v>14.41</v>
          </cell>
          <cell r="D53">
            <v>15.82</v>
          </cell>
          <cell r="E53">
            <v>15.47</v>
          </cell>
          <cell r="F53">
            <v>12.32</v>
          </cell>
        </row>
        <row r="54">
          <cell r="A54" t="str">
            <v>05130</v>
          </cell>
          <cell r="B54" t="str">
            <v>Motor Equipment Metal Mechanic</v>
          </cell>
          <cell r="C54">
            <v>19.059999999999999</v>
          </cell>
          <cell r="D54">
            <v>19.71</v>
          </cell>
          <cell r="E54">
            <v>20.03</v>
          </cell>
          <cell r="F54">
            <v>17.309999999999999</v>
          </cell>
        </row>
        <row r="55">
          <cell r="A55" t="str">
            <v>05160</v>
          </cell>
          <cell r="B55" t="str">
            <v>Motor Equipment Metal Worker</v>
          </cell>
          <cell r="C55">
            <v>16.739999999999998</v>
          </cell>
          <cell r="D55">
            <v>17.760000000000002</v>
          </cell>
          <cell r="E55">
            <v>17.79</v>
          </cell>
          <cell r="F55">
            <v>14.37</v>
          </cell>
        </row>
        <row r="56">
          <cell r="A56" t="str">
            <v>05190</v>
          </cell>
          <cell r="B56" t="str">
            <v>Motor Vehicle Mechanic</v>
          </cell>
          <cell r="C56">
            <v>19.059999999999999</v>
          </cell>
          <cell r="D56">
            <v>19.71</v>
          </cell>
          <cell r="E56">
            <v>20.03</v>
          </cell>
          <cell r="F56">
            <v>17.309999999999999</v>
          </cell>
        </row>
        <row r="57">
          <cell r="A57" t="str">
            <v>05220</v>
          </cell>
          <cell r="B57" t="str">
            <v>Motor Vehicle Mechanic Helper</v>
          </cell>
          <cell r="C57">
            <v>13.26</v>
          </cell>
          <cell r="D57">
            <v>14.83</v>
          </cell>
          <cell r="E57">
            <v>14.32</v>
          </cell>
          <cell r="F57">
            <v>11.29</v>
          </cell>
        </row>
        <row r="58">
          <cell r="A58" t="str">
            <v>05250</v>
          </cell>
          <cell r="B58" t="str">
            <v>Motor Vehicle Upholstery Worker</v>
          </cell>
          <cell r="C58">
            <v>15.57</v>
          </cell>
          <cell r="D58">
            <v>16.170000000000002</v>
          </cell>
          <cell r="E58">
            <v>16.600000000000001</v>
          </cell>
          <cell r="F58">
            <v>13.34</v>
          </cell>
        </row>
        <row r="59">
          <cell r="A59" t="str">
            <v>05280</v>
          </cell>
          <cell r="B59" t="str">
            <v>Motor Vehicle Wrecker</v>
          </cell>
          <cell r="C59">
            <v>16.739999999999998</v>
          </cell>
          <cell r="D59">
            <v>17.760000000000002</v>
          </cell>
          <cell r="E59">
            <v>17.79</v>
          </cell>
          <cell r="F59">
            <v>14.37</v>
          </cell>
        </row>
        <row r="60">
          <cell r="A60" t="str">
            <v>05310</v>
          </cell>
          <cell r="B60" t="str">
            <v>Painter, Automotive</v>
          </cell>
          <cell r="C60">
            <v>17.89</v>
          </cell>
          <cell r="D60">
            <v>18.989999999999998</v>
          </cell>
          <cell r="E60">
            <v>18.95</v>
          </cell>
          <cell r="F60">
            <v>15.4</v>
          </cell>
        </row>
        <row r="61">
          <cell r="A61" t="str">
            <v>05340</v>
          </cell>
          <cell r="B61" t="str">
            <v>Radiator Repair Specialist</v>
          </cell>
          <cell r="C61">
            <v>16.739999999999998</v>
          </cell>
          <cell r="D61">
            <v>17.760000000000002</v>
          </cell>
          <cell r="E61">
            <v>17.79</v>
          </cell>
          <cell r="F61">
            <v>14.37</v>
          </cell>
        </row>
        <row r="62">
          <cell r="A62" t="str">
            <v>05370</v>
          </cell>
          <cell r="B62" t="str">
            <v>Tire Repairer</v>
          </cell>
          <cell r="C62">
            <v>13.05</v>
          </cell>
          <cell r="D62">
            <v>12.85</v>
          </cell>
          <cell r="E62">
            <v>13.24</v>
          </cell>
          <cell r="F62">
            <v>12.11</v>
          </cell>
        </row>
        <row r="63">
          <cell r="A63" t="str">
            <v>05400</v>
          </cell>
          <cell r="B63" t="str">
            <v>Transmission Repair Specialist</v>
          </cell>
          <cell r="C63">
            <v>19.059999999999999</v>
          </cell>
          <cell r="D63">
            <v>19.71</v>
          </cell>
          <cell r="E63">
            <v>20.03</v>
          </cell>
          <cell r="F63">
            <v>17.309999999999999</v>
          </cell>
        </row>
        <row r="64">
          <cell r="A64" t="str">
            <v>07000 -</v>
          </cell>
          <cell r="B64" t="str">
            <v>ood Preparation And Service Occu</v>
          </cell>
        </row>
        <row r="65">
          <cell r="A65" t="str">
            <v>07010</v>
          </cell>
          <cell r="B65" t="str">
            <v>Baker</v>
          </cell>
          <cell r="C65">
            <v>10.27</v>
          </cell>
          <cell r="D65">
            <v>13.08</v>
          </cell>
          <cell r="E65">
            <v>11.22</v>
          </cell>
          <cell r="F65">
            <v>10.51</v>
          </cell>
        </row>
        <row r="66">
          <cell r="A66" t="str">
            <v>07041</v>
          </cell>
          <cell r="B66" t="str">
            <v>Cook I</v>
          </cell>
          <cell r="C66">
            <v>10.19</v>
          </cell>
          <cell r="D66">
            <v>11.98</v>
          </cell>
          <cell r="E66">
            <v>10.75</v>
          </cell>
          <cell r="F66">
            <v>11.27</v>
          </cell>
        </row>
        <row r="67">
          <cell r="A67" t="str">
            <v>07042</v>
          </cell>
          <cell r="B67" t="str">
            <v>Cook II</v>
          </cell>
          <cell r="C67">
            <v>11.84</v>
          </cell>
          <cell r="D67">
            <v>13.52</v>
          </cell>
          <cell r="E67">
            <v>12.37</v>
          </cell>
          <cell r="F67">
            <v>13.46</v>
          </cell>
        </row>
        <row r="68">
          <cell r="A68" t="str">
            <v>07070</v>
          </cell>
          <cell r="B68" t="str">
            <v>Dishwasher</v>
          </cell>
          <cell r="C68">
            <v>9.0399999999999991</v>
          </cell>
          <cell r="D68">
            <v>8.89</v>
          </cell>
          <cell r="E68">
            <v>8.98</v>
          </cell>
          <cell r="F68">
            <v>8.85</v>
          </cell>
        </row>
        <row r="69">
          <cell r="A69" t="str">
            <v>07130</v>
          </cell>
          <cell r="B69" t="str">
            <v>Food Service Worker</v>
          </cell>
          <cell r="C69">
            <v>10</v>
          </cell>
          <cell r="D69">
            <v>9.68</v>
          </cell>
          <cell r="E69">
            <v>10.43</v>
          </cell>
          <cell r="F69">
            <v>10.1</v>
          </cell>
        </row>
        <row r="70">
          <cell r="A70" t="str">
            <v>07210</v>
          </cell>
          <cell r="B70" t="str">
            <v>Meat Cutter</v>
          </cell>
          <cell r="C70">
            <v>16.02</v>
          </cell>
          <cell r="D70">
            <v>14.56</v>
          </cell>
          <cell r="E70">
            <v>15.57</v>
          </cell>
          <cell r="F70">
            <v>11.37</v>
          </cell>
        </row>
        <row r="71">
          <cell r="A71" t="str">
            <v>07260</v>
          </cell>
          <cell r="B71" t="str">
            <v>Waiter/Waitress</v>
          </cell>
          <cell r="C71">
            <v>8.8000000000000007</v>
          </cell>
          <cell r="D71">
            <v>9.32</v>
          </cell>
          <cell r="E71">
            <v>8.8699999999999992</v>
          </cell>
          <cell r="F71">
            <v>8.86</v>
          </cell>
        </row>
        <row r="72">
          <cell r="A72" t="str">
            <v>09000 -</v>
          </cell>
          <cell r="B72" t="str">
            <v>urniture Maintenance And Repair</v>
          </cell>
        </row>
        <row r="73">
          <cell r="A73" t="str">
            <v>09010</v>
          </cell>
          <cell r="B73" t="str">
            <v>Electrostatic Spray Painter</v>
          </cell>
          <cell r="C73">
            <v>17.149999999999999</v>
          </cell>
          <cell r="D73">
            <v>19.53</v>
          </cell>
          <cell r="E73">
            <v>18.86</v>
          </cell>
          <cell r="F73">
            <v>15.73</v>
          </cell>
        </row>
        <row r="74">
          <cell r="A74" t="str">
            <v>09040</v>
          </cell>
          <cell r="B74" t="str">
            <v>Furniture Handler</v>
          </cell>
          <cell r="C74">
            <v>11.06</v>
          </cell>
          <cell r="D74">
            <v>12.97</v>
          </cell>
          <cell r="E74">
            <v>11.25</v>
          </cell>
          <cell r="F74">
            <v>8.8000000000000007</v>
          </cell>
        </row>
        <row r="75">
          <cell r="A75" t="str">
            <v>09080</v>
          </cell>
          <cell r="B75" t="str">
            <v>Furniture Refinisher</v>
          </cell>
          <cell r="C75">
            <v>17.149999999999999</v>
          </cell>
          <cell r="D75">
            <v>19.53</v>
          </cell>
          <cell r="E75">
            <v>16.96</v>
          </cell>
          <cell r="F75">
            <v>15.73</v>
          </cell>
        </row>
        <row r="76">
          <cell r="A76" t="str">
            <v>09090</v>
          </cell>
          <cell r="B76" t="str">
            <v>Furniture Refinisher Helper</v>
          </cell>
          <cell r="C76">
            <v>13.19</v>
          </cell>
          <cell r="D76">
            <v>15.17</v>
          </cell>
          <cell r="E76">
            <v>13.33</v>
          </cell>
          <cell r="F76">
            <v>11.05</v>
          </cell>
        </row>
        <row r="77">
          <cell r="A77" t="str">
            <v>09110</v>
          </cell>
          <cell r="B77" t="str">
            <v>Furniture Repairer, Minor</v>
          </cell>
          <cell r="C77">
            <v>15.2</v>
          </cell>
          <cell r="D77">
            <v>17.32</v>
          </cell>
          <cell r="E77">
            <v>15.52</v>
          </cell>
          <cell r="F77">
            <v>13.15</v>
          </cell>
        </row>
        <row r="78">
          <cell r="A78" t="str">
            <v>09130</v>
          </cell>
          <cell r="B78" t="str">
            <v>Upholsterer</v>
          </cell>
          <cell r="C78">
            <v>17.149999999999999</v>
          </cell>
          <cell r="D78">
            <v>19.53</v>
          </cell>
          <cell r="E78">
            <v>15.06</v>
          </cell>
          <cell r="F78">
            <v>16.149999999999999</v>
          </cell>
        </row>
        <row r="79">
          <cell r="A79" t="str">
            <v>11000 -</v>
          </cell>
          <cell r="B79" t="str">
            <v>eneral Services And Support Occu</v>
          </cell>
        </row>
        <row r="80">
          <cell r="A80" t="str">
            <v>11030</v>
          </cell>
          <cell r="B80" t="str">
            <v>Cleaner, Vehicles</v>
          </cell>
          <cell r="C80">
            <v>9.8699999999999992</v>
          </cell>
          <cell r="D80">
            <v>9.85</v>
          </cell>
          <cell r="E80">
            <v>10.08</v>
          </cell>
          <cell r="F80">
            <v>10.07</v>
          </cell>
        </row>
        <row r="81">
          <cell r="A81" t="str">
            <v>11060</v>
          </cell>
          <cell r="B81" t="str">
            <v>Elevator Operator</v>
          </cell>
          <cell r="C81">
            <v>10.81</v>
          </cell>
          <cell r="D81">
            <v>9.85</v>
          </cell>
          <cell r="E81">
            <v>10.08</v>
          </cell>
          <cell r="F81">
            <v>10.07</v>
          </cell>
        </row>
        <row r="82">
          <cell r="A82" t="str">
            <v>11090</v>
          </cell>
          <cell r="B82" t="str">
            <v>Gardener</v>
          </cell>
          <cell r="C82">
            <v>15.17</v>
          </cell>
          <cell r="D82">
            <v>13.82</v>
          </cell>
          <cell r="E82">
            <v>14.56</v>
          </cell>
          <cell r="F82">
            <v>14.73</v>
          </cell>
        </row>
        <row r="83">
          <cell r="A83" t="str">
            <v>11122</v>
          </cell>
          <cell r="B83" t="str">
            <v>Housekeeping Aide</v>
          </cell>
          <cell r="C83">
            <v>10.81</v>
          </cell>
          <cell r="D83">
            <v>10.15</v>
          </cell>
          <cell r="E83">
            <v>10.75</v>
          </cell>
          <cell r="F83">
            <v>10.25</v>
          </cell>
        </row>
        <row r="84">
          <cell r="A84" t="str">
            <v>11150</v>
          </cell>
          <cell r="B84" t="str">
            <v>Janitor</v>
          </cell>
          <cell r="C84">
            <v>10.81</v>
          </cell>
          <cell r="D84">
            <v>10.15</v>
          </cell>
          <cell r="E84">
            <v>10.75</v>
          </cell>
          <cell r="F84">
            <v>10.25</v>
          </cell>
        </row>
        <row r="85">
          <cell r="A85" t="str">
            <v>11210</v>
          </cell>
          <cell r="B85" t="str">
            <v>Laborer, Grounds Maintenance</v>
          </cell>
          <cell r="C85">
            <v>12.24</v>
          </cell>
          <cell r="D85">
            <v>11</v>
          </cell>
          <cell r="E85">
            <v>11.34</v>
          </cell>
          <cell r="F85">
            <v>10.39</v>
          </cell>
        </row>
        <row r="86">
          <cell r="A86" t="str">
            <v>11240</v>
          </cell>
          <cell r="B86" t="str">
            <v>Maid or Houseman</v>
          </cell>
          <cell r="C86">
            <v>9.83</v>
          </cell>
          <cell r="D86">
            <v>10.34</v>
          </cell>
          <cell r="E86">
            <v>9.23</v>
          </cell>
          <cell r="F86">
            <v>8.94</v>
          </cell>
        </row>
        <row r="87">
          <cell r="A87" t="str">
            <v>11260</v>
          </cell>
          <cell r="B87" t="str">
            <v>Pruner</v>
          </cell>
          <cell r="C87">
            <v>10.85</v>
          </cell>
          <cell r="D87">
            <v>10.119999999999999</v>
          </cell>
          <cell r="E87">
            <v>10.24</v>
          </cell>
          <cell r="F87">
            <v>8.91</v>
          </cell>
        </row>
        <row r="88">
          <cell r="A88" t="str">
            <v>11270</v>
          </cell>
          <cell r="B88" t="str">
            <v>Tractor Operator</v>
          </cell>
          <cell r="C88">
            <v>14.83</v>
          </cell>
          <cell r="D88">
            <v>12.87</v>
          </cell>
          <cell r="E88">
            <v>13.48</v>
          </cell>
          <cell r="F88">
            <v>13.26</v>
          </cell>
        </row>
        <row r="89">
          <cell r="A89" t="str">
            <v>11330</v>
          </cell>
          <cell r="B89" t="str">
            <v>Trail Maintenance Worker</v>
          </cell>
          <cell r="C89">
            <v>12.24</v>
          </cell>
          <cell r="D89">
            <v>11</v>
          </cell>
          <cell r="E89">
            <v>11.34</v>
          </cell>
          <cell r="F89">
            <v>10.39</v>
          </cell>
        </row>
        <row r="90">
          <cell r="A90" t="str">
            <v>11360</v>
          </cell>
          <cell r="B90" t="str">
            <v>Window Cleaner</v>
          </cell>
          <cell r="C90">
            <v>12.2</v>
          </cell>
          <cell r="D90">
            <v>11.03</v>
          </cell>
          <cell r="E90">
            <v>11.91</v>
          </cell>
          <cell r="F90">
            <v>11.96</v>
          </cell>
        </row>
        <row r="91">
          <cell r="A91" t="str">
            <v>12000 -</v>
          </cell>
          <cell r="B91" t="str">
            <v>ealth Occupations</v>
          </cell>
        </row>
        <row r="92">
          <cell r="A92" t="str">
            <v>12010</v>
          </cell>
          <cell r="B92" t="str">
            <v>Ambulance Driver</v>
          </cell>
          <cell r="C92">
            <v>16.18</v>
          </cell>
          <cell r="D92">
            <v>19.260000000000002</v>
          </cell>
          <cell r="E92">
            <v>15.83</v>
          </cell>
          <cell r="F92">
            <v>14.64</v>
          </cell>
        </row>
        <row r="93">
          <cell r="A93" t="str">
            <v>12011</v>
          </cell>
          <cell r="B93" t="str">
            <v>Breath Alcohol Technician</v>
          </cell>
          <cell r="C93">
            <v>19.27</v>
          </cell>
          <cell r="D93">
            <v>19.420000000000002</v>
          </cell>
          <cell r="E93">
            <v>16.98</v>
          </cell>
          <cell r="F93">
            <v>19.12</v>
          </cell>
        </row>
        <row r="94">
          <cell r="A94" t="str">
            <v>12012</v>
          </cell>
          <cell r="B94" t="str">
            <v>Certified Occupational Therapis</v>
          </cell>
          <cell r="C94">
            <v>26.44</v>
          </cell>
          <cell r="D94">
            <v>28.42</v>
          </cell>
          <cell r="E94">
            <v>28.79</v>
          </cell>
          <cell r="F94">
            <v>29.56</v>
          </cell>
        </row>
        <row r="95">
          <cell r="A95" t="str">
            <v>12015</v>
          </cell>
          <cell r="B95" t="str">
            <v>Certified Physical Therapist As</v>
          </cell>
          <cell r="C95">
            <v>31.11</v>
          </cell>
          <cell r="D95">
            <v>26.6</v>
          </cell>
          <cell r="E95">
            <v>29.36</v>
          </cell>
          <cell r="F95">
            <v>25.52</v>
          </cell>
        </row>
        <row r="96">
          <cell r="A96" t="str">
            <v>12020</v>
          </cell>
          <cell r="B96" t="str">
            <v>Dental Assistant</v>
          </cell>
          <cell r="C96">
            <v>17.41</v>
          </cell>
          <cell r="D96">
            <v>18.27</v>
          </cell>
          <cell r="E96">
            <v>17.75</v>
          </cell>
          <cell r="F96">
            <v>15.24</v>
          </cell>
        </row>
        <row r="97">
          <cell r="A97" t="str">
            <v>12025</v>
          </cell>
          <cell r="B97" t="str">
            <v>Dental Hygienist</v>
          </cell>
          <cell r="C97">
            <v>35.65</v>
          </cell>
          <cell r="D97">
            <v>33.380000000000003</v>
          </cell>
          <cell r="E97">
            <v>29.85</v>
          </cell>
          <cell r="F97">
            <v>30.17</v>
          </cell>
        </row>
        <row r="98">
          <cell r="A98" t="str">
            <v>12030</v>
          </cell>
          <cell r="B98" t="str">
            <v>EKG Technician</v>
          </cell>
          <cell r="C98">
            <v>25.72</v>
          </cell>
          <cell r="D98">
            <v>29.11</v>
          </cell>
          <cell r="E98">
            <v>26.85</v>
          </cell>
          <cell r="F98">
            <v>27.52</v>
          </cell>
        </row>
        <row r="99">
          <cell r="A99" t="str">
            <v>12035</v>
          </cell>
          <cell r="B99" t="str">
            <v>Electroneurodiagnostic Technolo</v>
          </cell>
          <cell r="C99">
            <v>25.72</v>
          </cell>
          <cell r="D99">
            <v>29.11</v>
          </cell>
          <cell r="E99">
            <v>26.85</v>
          </cell>
          <cell r="F99">
            <v>27.52</v>
          </cell>
        </row>
        <row r="100">
          <cell r="A100" t="str">
            <v>12040</v>
          </cell>
          <cell r="B100" t="str">
            <v>Emergency Medical Technician</v>
          </cell>
          <cell r="C100">
            <v>16.18</v>
          </cell>
          <cell r="D100">
            <v>19.260000000000002</v>
          </cell>
          <cell r="E100">
            <v>15.83</v>
          </cell>
          <cell r="F100">
            <v>14.64</v>
          </cell>
        </row>
        <row r="101">
          <cell r="A101" t="str">
            <v>12071</v>
          </cell>
          <cell r="B101" t="str">
            <v>Licensed Practical Nurse I</v>
          </cell>
          <cell r="C101">
            <v>17.23</v>
          </cell>
          <cell r="D101">
            <v>17.36</v>
          </cell>
          <cell r="E101">
            <v>16.91</v>
          </cell>
          <cell r="F101">
            <v>17.29</v>
          </cell>
        </row>
        <row r="102">
          <cell r="A102" t="str">
            <v>12072</v>
          </cell>
          <cell r="B102" t="str">
            <v>Licensed Practical Nurse II</v>
          </cell>
          <cell r="C102">
            <v>19.27</v>
          </cell>
          <cell r="D102">
            <v>19.420000000000002</v>
          </cell>
          <cell r="E102">
            <v>18.920000000000002</v>
          </cell>
          <cell r="F102">
            <v>19.350000000000001</v>
          </cell>
        </row>
        <row r="103">
          <cell r="A103" t="str">
            <v>12073</v>
          </cell>
          <cell r="B103" t="str">
            <v>Licensed Practical Nurse III</v>
          </cell>
          <cell r="C103">
            <v>21.49</v>
          </cell>
          <cell r="D103">
            <v>21.65</v>
          </cell>
          <cell r="E103">
            <v>21.1</v>
          </cell>
          <cell r="F103">
            <v>21.56</v>
          </cell>
        </row>
        <row r="104">
          <cell r="A104" t="str">
            <v>12100</v>
          </cell>
          <cell r="B104" t="str">
            <v>Medical Assistant</v>
          </cell>
          <cell r="C104">
            <v>13.74</v>
          </cell>
          <cell r="D104">
            <v>13.68</v>
          </cell>
          <cell r="E104">
            <v>14.23</v>
          </cell>
          <cell r="F104">
            <v>11.56</v>
          </cell>
        </row>
        <row r="105">
          <cell r="A105" t="str">
            <v>12130</v>
          </cell>
          <cell r="B105" t="str">
            <v>Medical Laboratory Technician</v>
          </cell>
          <cell r="C105">
            <v>20.49</v>
          </cell>
          <cell r="D105">
            <v>20.94</v>
          </cell>
          <cell r="E105">
            <v>19.02</v>
          </cell>
          <cell r="F105">
            <v>18.34</v>
          </cell>
        </row>
        <row r="106">
          <cell r="A106" t="str">
            <v>12160</v>
          </cell>
          <cell r="B106" t="str">
            <v>Medical Record Clerk</v>
          </cell>
          <cell r="C106">
            <v>17.91</v>
          </cell>
          <cell r="D106">
            <v>16.8</v>
          </cell>
          <cell r="E106">
            <v>16.43</v>
          </cell>
          <cell r="F106">
            <v>14.59</v>
          </cell>
        </row>
        <row r="107">
          <cell r="A107" t="str">
            <v>12190</v>
          </cell>
          <cell r="B107" t="str">
            <v>Medical Record Technician</v>
          </cell>
          <cell r="C107">
            <v>20.54</v>
          </cell>
          <cell r="D107">
            <v>18.8</v>
          </cell>
          <cell r="E107">
            <v>18.38</v>
          </cell>
          <cell r="F107">
            <v>16.32</v>
          </cell>
        </row>
        <row r="108">
          <cell r="A108" t="str">
            <v>12195</v>
          </cell>
          <cell r="B108" t="str">
            <v>Medical Transcriptionist</v>
          </cell>
          <cell r="C108">
            <v>17.23</v>
          </cell>
          <cell r="D108">
            <v>18.670000000000002</v>
          </cell>
          <cell r="E108">
            <v>16.47</v>
          </cell>
          <cell r="F108">
            <v>17.29</v>
          </cell>
        </row>
        <row r="109">
          <cell r="A109" t="str">
            <v>12210</v>
          </cell>
          <cell r="B109" t="str">
            <v>Nuclear Medicine Technologist</v>
          </cell>
          <cell r="C109">
            <v>42.35</v>
          </cell>
          <cell r="D109">
            <v>33.19</v>
          </cell>
          <cell r="E109">
            <v>31.49</v>
          </cell>
          <cell r="F109">
            <v>37.119999999999997</v>
          </cell>
        </row>
        <row r="110">
          <cell r="A110" t="str">
            <v>12221</v>
          </cell>
          <cell r="B110" t="str">
            <v>Nursing Assistant I</v>
          </cell>
          <cell r="C110">
            <v>10.68</v>
          </cell>
          <cell r="D110">
            <v>10.97</v>
          </cell>
          <cell r="E110">
            <v>11.58</v>
          </cell>
          <cell r="F110">
            <v>11.21</v>
          </cell>
        </row>
        <row r="111">
          <cell r="A111" t="str">
            <v>12222</v>
          </cell>
          <cell r="B111" t="str">
            <v>Nursing Assistant II</v>
          </cell>
          <cell r="C111">
            <v>12.01</v>
          </cell>
          <cell r="D111">
            <v>12.34</v>
          </cell>
          <cell r="E111">
            <v>13.03</v>
          </cell>
          <cell r="F111">
            <v>12.6</v>
          </cell>
        </row>
        <row r="112">
          <cell r="A112" t="str">
            <v>12223</v>
          </cell>
          <cell r="B112" t="str">
            <v>Nursing Assistant III</v>
          </cell>
          <cell r="C112">
            <v>14.13</v>
          </cell>
          <cell r="D112">
            <v>13.46</v>
          </cell>
          <cell r="E112">
            <v>14.21</v>
          </cell>
          <cell r="F112">
            <v>13.75</v>
          </cell>
        </row>
        <row r="113">
          <cell r="A113" t="str">
            <v>12224</v>
          </cell>
          <cell r="B113" t="str">
            <v>Nursing Assistant IV</v>
          </cell>
          <cell r="C113">
            <v>15.84</v>
          </cell>
          <cell r="D113">
            <v>15.11</v>
          </cell>
          <cell r="E113">
            <v>15.95</v>
          </cell>
          <cell r="F113">
            <v>15.43</v>
          </cell>
        </row>
        <row r="114">
          <cell r="A114" t="str">
            <v>12235</v>
          </cell>
          <cell r="B114" t="str">
            <v>Optical Dispenser</v>
          </cell>
          <cell r="C114">
            <v>14.8</v>
          </cell>
          <cell r="D114">
            <v>18.86</v>
          </cell>
          <cell r="E114">
            <v>17.670000000000002</v>
          </cell>
          <cell r="F114">
            <v>14.08</v>
          </cell>
        </row>
        <row r="115">
          <cell r="A115" t="str">
            <v>12236</v>
          </cell>
          <cell r="B115" t="str">
            <v>Optical Technician</v>
          </cell>
          <cell r="C115">
            <v>16.64</v>
          </cell>
          <cell r="D115">
            <v>17.36</v>
          </cell>
          <cell r="E115">
            <v>16.91</v>
          </cell>
          <cell r="F115">
            <v>12.38</v>
          </cell>
        </row>
        <row r="116">
          <cell r="A116" t="str">
            <v>12250</v>
          </cell>
          <cell r="B116" t="str">
            <v>Pharmacy Technician</v>
          </cell>
          <cell r="C116">
            <v>17.850000000000001</v>
          </cell>
          <cell r="D116">
            <v>17.559999999999999</v>
          </cell>
          <cell r="E116">
            <v>14.88</v>
          </cell>
          <cell r="F116">
            <v>15.21</v>
          </cell>
        </row>
        <row r="117">
          <cell r="A117" t="str">
            <v>12280</v>
          </cell>
          <cell r="B117" t="str">
            <v>Phlebotomist</v>
          </cell>
          <cell r="C117">
            <v>14.28</v>
          </cell>
          <cell r="D117">
            <v>14.54</v>
          </cell>
          <cell r="E117">
            <v>14.39</v>
          </cell>
          <cell r="F117">
            <v>14.74</v>
          </cell>
        </row>
        <row r="118">
          <cell r="A118" t="str">
            <v>12305</v>
          </cell>
          <cell r="B118" t="str">
            <v>Radiologic Technologist</v>
          </cell>
          <cell r="C118">
            <v>27.28</v>
          </cell>
          <cell r="D118">
            <v>25.49</v>
          </cell>
          <cell r="E118">
            <v>23.23</v>
          </cell>
          <cell r="F118">
            <v>25.09</v>
          </cell>
        </row>
        <row r="119">
          <cell r="A119" t="str">
            <v>12311</v>
          </cell>
          <cell r="B119" t="str">
            <v>Registered Nurse I</v>
          </cell>
          <cell r="C119">
            <v>21.5</v>
          </cell>
          <cell r="D119">
            <v>22.96</v>
          </cell>
          <cell r="E119">
            <v>23.87</v>
          </cell>
          <cell r="F119">
            <v>23.99</v>
          </cell>
        </row>
        <row r="120">
          <cell r="A120" t="str">
            <v>12312</v>
          </cell>
          <cell r="B120" t="str">
            <v>Registered Nurse II</v>
          </cell>
          <cell r="C120">
            <v>26.29</v>
          </cell>
          <cell r="D120">
            <v>28.09</v>
          </cell>
          <cell r="E120">
            <v>29.19</v>
          </cell>
          <cell r="F120">
            <v>28.64</v>
          </cell>
        </row>
        <row r="121">
          <cell r="A121" t="str">
            <v>12313</v>
          </cell>
          <cell r="B121" t="str">
            <v>Registered Nurse II, Specialist</v>
          </cell>
          <cell r="C121">
            <v>26.29</v>
          </cell>
          <cell r="D121">
            <v>28.09</v>
          </cell>
          <cell r="E121">
            <v>29.19</v>
          </cell>
          <cell r="F121">
            <v>28.64</v>
          </cell>
        </row>
        <row r="122">
          <cell r="A122" t="str">
            <v>12314</v>
          </cell>
          <cell r="B122" t="str">
            <v>Registered Nurse III</v>
          </cell>
          <cell r="C122">
            <v>31.81</v>
          </cell>
          <cell r="D122">
            <v>33.979999999999997</v>
          </cell>
          <cell r="E122">
            <v>35.32</v>
          </cell>
          <cell r="F122">
            <v>34.65</v>
          </cell>
        </row>
        <row r="123">
          <cell r="A123" t="str">
            <v>12315</v>
          </cell>
          <cell r="B123" t="str">
            <v>Registered Nurse III, Anestheti</v>
          </cell>
          <cell r="C123">
            <v>31.81</v>
          </cell>
          <cell r="D123">
            <v>33.979999999999997</v>
          </cell>
          <cell r="E123">
            <v>35.32</v>
          </cell>
          <cell r="F123">
            <v>34.65</v>
          </cell>
        </row>
        <row r="124">
          <cell r="A124" t="str">
            <v>12316</v>
          </cell>
          <cell r="B124" t="str">
            <v>Registered Nurse IV</v>
          </cell>
          <cell r="C124">
            <v>38.130000000000003</v>
          </cell>
          <cell r="D124">
            <v>40.72</v>
          </cell>
          <cell r="E124">
            <v>42.34</v>
          </cell>
          <cell r="F124">
            <v>41.55</v>
          </cell>
        </row>
        <row r="125">
          <cell r="A125" t="str">
            <v>12317</v>
          </cell>
          <cell r="B125" t="str">
            <v>Scheduler (Drug and Alcohol Tes</v>
          </cell>
          <cell r="C125">
            <v>23.88</v>
          </cell>
          <cell r="D125">
            <v>24.05</v>
          </cell>
          <cell r="E125">
            <v>22.84</v>
          </cell>
          <cell r="F125">
            <v>23.96</v>
          </cell>
        </row>
        <row r="126">
          <cell r="A126" t="str">
            <v>12320</v>
          </cell>
          <cell r="B126" t="str">
            <v>Substance Abuse Treatment Couns</v>
          </cell>
          <cell r="C126">
            <v>18.3</v>
          </cell>
          <cell r="D126">
            <v>17.510000000000002</v>
          </cell>
          <cell r="E126">
            <v>18.100000000000001</v>
          </cell>
          <cell r="F126">
            <v>19.2</v>
          </cell>
        </row>
        <row r="127">
          <cell r="A127" t="str">
            <v>13000 -</v>
          </cell>
          <cell r="B127" t="str">
            <v>nformation And Arts Occupations</v>
          </cell>
        </row>
        <row r="128">
          <cell r="A128" t="str">
            <v>13011</v>
          </cell>
          <cell r="B128" t="str">
            <v>Exhibits Specialist I</v>
          </cell>
          <cell r="C128">
            <v>18.45</v>
          </cell>
          <cell r="D128">
            <v>16.510000000000002</v>
          </cell>
          <cell r="E128">
            <v>19.11</v>
          </cell>
          <cell r="F128">
            <v>21.77</v>
          </cell>
        </row>
        <row r="129">
          <cell r="A129" t="str">
            <v>13012</v>
          </cell>
          <cell r="B129" t="str">
            <v>Exhibits Specialist II</v>
          </cell>
          <cell r="C129">
            <v>22.85</v>
          </cell>
          <cell r="D129">
            <v>20.440000000000001</v>
          </cell>
          <cell r="E129">
            <v>23.68</v>
          </cell>
          <cell r="F129">
            <v>26.97</v>
          </cell>
        </row>
        <row r="130">
          <cell r="A130" t="str">
            <v>13013</v>
          </cell>
          <cell r="B130" t="str">
            <v>Exhibits Specialist III</v>
          </cell>
          <cell r="C130">
            <v>27.95</v>
          </cell>
          <cell r="D130">
            <v>25.01</v>
          </cell>
          <cell r="E130">
            <v>28.96</v>
          </cell>
          <cell r="F130">
            <v>32.99</v>
          </cell>
        </row>
        <row r="131">
          <cell r="A131" t="str">
            <v>13041</v>
          </cell>
          <cell r="B131" t="str">
            <v>Illustrator I</v>
          </cell>
          <cell r="C131">
            <v>18.45</v>
          </cell>
          <cell r="D131">
            <v>16.510000000000002</v>
          </cell>
          <cell r="E131">
            <v>19.11</v>
          </cell>
          <cell r="F131">
            <v>21.77</v>
          </cell>
        </row>
        <row r="132">
          <cell r="A132" t="str">
            <v>13042</v>
          </cell>
          <cell r="B132" t="str">
            <v>Illustrator II</v>
          </cell>
          <cell r="C132">
            <v>22.85</v>
          </cell>
          <cell r="D132">
            <v>20.440000000000001</v>
          </cell>
          <cell r="E132">
            <v>23.68</v>
          </cell>
          <cell r="F132">
            <v>26.97</v>
          </cell>
        </row>
        <row r="133">
          <cell r="A133" t="str">
            <v>13043</v>
          </cell>
          <cell r="B133" t="str">
            <v>Illustrator III</v>
          </cell>
          <cell r="C133">
            <v>27.95</v>
          </cell>
          <cell r="D133">
            <v>25.01</v>
          </cell>
          <cell r="E133">
            <v>28.96</v>
          </cell>
          <cell r="F133">
            <v>32.99</v>
          </cell>
        </row>
        <row r="134">
          <cell r="A134" t="str">
            <v>13047</v>
          </cell>
          <cell r="B134" t="str">
            <v>Librarian</v>
          </cell>
          <cell r="C134">
            <v>25.31</v>
          </cell>
          <cell r="D134">
            <v>22.64</v>
          </cell>
          <cell r="E134">
            <v>26.22</v>
          </cell>
          <cell r="F134">
            <v>29.87</v>
          </cell>
        </row>
        <row r="135">
          <cell r="A135" t="str">
            <v>13050</v>
          </cell>
          <cell r="B135" t="str">
            <v>Library Aide/Clerk</v>
          </cell>
          <cell r="C135">
            <v>11.97</v>
          </cell>
          <cell r="D135">
            <v>12.61</v>
          </cell>
          <cell r="E135">
            <v>12.59</v>
          </cell>
          <cell r="F135">
            <v>11.49</v>
          </cell>
        </row>
        <row r="136">
          <cell r="A136" t="str">
            <v>13054</v>
          </cell>
          <cell r="B136" t="str">
            <v>Library Information Technology</v>
          </cell>
          <cell r="C136">
            <v>22.85</v>
          </cell>
          <cell r="D136">
            <v>20.440000000000001</v>
          </cell>
          <cell r="E136">
            <v>23.68</v>
          </cell>
          <cell r="F136">
            <v>26.97</v>
          </cell>
        </row>
        <row r="137">
          <cell r="A137" t="str">
            <v>Admin</v>
          </cell>
          <cell r="B137" t="str">
            <v>trator</v>
          </cell>
        </row>
        <row r="138">
          <cell r="A138" t="str">
            <v>13058</v>
          </cell>
          <cell r="B138" t="str">
            <v>Library Technician</v>
          </cell>
          <cell r="C138">
            <v>15.66</v>
          </cell>
          <cell r="D138">
            <v>16.77</v>
          </cell>
          <cell r="E138">
            <v>16.2</v>
          </cell>
          <cell r="F138">
            <v>17.239999999999998</v>
          </cell>
        </row>
        <row r="139">
          <cell r="A139" t="str">
            <v>13061</v>
          </cell>
          <cell r="B139" t="str">
            <v>Media Specialist I</v>
          </cell>
          <cell r="C139">
            <v>16.489999999999998</v>
          </cell>
          <cell r="D139">
            <v>14.75</v>
          </cell>
          <cell r="E139">
            <v>17.079999999999998</v>
          </cell>
          <cell r="F139">
            <v>19.46</v>
          </cell>
        </row>
        <row r="140">
          <cell r="A140" t="str">
            <v>13062</v>
          </cell>
          <cell r="B140" t="str">
            <v>Media Specialist II</v>
          </cell>
          <cell r="C140">
            <v>18.45</v>
          </cell>
          <cell r="D140">
            <v>16.510000000000002</v>
          </cell>
          <cell r="E140">
            <v>19.11</v>
          </cell>
          <cell r="F140">
            <v>21.77</v>
          </cell>
        </row>
        <row r="141">
          <cell r="A141" t="str">
            <v>13063</v>
          </cell>
          <cell r="B141" t="str">
            <v>Media Specialist III</v>
          </cell>
          <cell r="C141">
            <v>20.57</v>
          </cell>
          <cell r="D141">
            <v>18.399999999999999</v>
          </cell>
          <cell r="E141">
            <v>21.31</v>
          </cell>
          <cell r="F141">
            <v>24.28</v>
          </cell>
        </row>
        <row r="142">
          <cell r="A142" t="str">
            <v>13071</v>
          </cell>
          <cell r="B142" t="str">
            <v>Photographer I</v>
          </cell>
          <cell r="C142">
            <v>16.489999999999998</v>
          </cell>
          <cell r="D142">
            <v>14.75</v>
          </cell>
          <cell r="E142">
            <v>17.079999999999998</v>
          </cell>
          <cell r="F142">
            <v>14.22</v>
          </cell>
        </row>
        <row r="143">
          <cell r="A143" t="str">
            <v>13072</v>
          </cell>
          <cell r="B143" t="str">
            <v>Photographer II</v>
          </cell>
          <cell r="C143">
            <v>18.45</v>
          </cell>
          <cell r="D143">
            <v>16.510000000000002</v>
          </cell>
          <cell r="E143">
            <v>19.11</v>
          </cell>
          <cell r="F143">
            <v>17.86</v>
          </cell>
        </row>
        <row r="144">
          <cell r="A144" t="str">
            <v>13073</v>
          </cell>
          <cell r="B144" t="str">
            <v>Photographer III</v>
          </cell>
          <cell r="C144">
            <v>22.85</v>
          </cell>
          <cell r="D144">
            <v>20.440000000000001</v>
          </cell>
          <cell r="E144">
            <v>23.68</v>
          </cell>
          <cell r="F144">
            <v>22.12</v>
          </cell>
        </row>
        <row r="145">
          <cell r="A145" t="str">
            <v>13074</v>
          </cell>
          <cell r="B145" t="str">
            <v>Photographer IV</v>
          </cell>
          <cell r="C145">
            <v>27.95</v>
          </cell>
          <cell r="D145">
            <v>25.01</v>
          </cell>
          <cell r="E145">
            <v>28.96</v>
          </cell>
          <cell r="F145">
            <v>26.9</v>
          </cell>
        </row>
        <row r="146">
          <cell r="A146" t="str">
            <v>13075</v>
          </cell>
          <cell r="B146" t="str">
            <v>Photographer V</v>
          </cell>
          <cell r="C146">
            <v>33.82</v>
          </cell>
          <cell r="D146">
            <v>30.26</v>
          </cell>
          <cell r="E146">
            <v>35.04</v>
          </cell>
          <cell r="F146">
            <v>30.67</v>
          </cell>
        </row>
        <row r="147">
          <cell r="A147" t="str">
            <v>13090</v>
          </cell>
          <cell r="B147" t="str">
            <v>Technical Order Library Clerk</v>
          </cell>
          <cell r="C147">
            <v>15.49</v>
          </cell>
          <cell r="D147">
            <v>16.28</v>
          </cell>
          <cell r="E147">
            <v>14.63</v>
          </cell>
          <cell r="F147">
            <v>15.74</v>
          </cell>
        </row>
        <row r="148">
          <cell r="A148" t="str">
            <v>13110</v>
          </cell>
          <cell r="B148" t="str">
            <v>Video Teleconference Technician</v>
          </cell>
          <cell r="C148">
            <v>17.14</v>
          </cell>
          <cell r="D148">
            <v>16.350000000000001</v>
          </cell>
          <cell r="E148">
            <v>16.41</v>
          </cell>
          <cell r="F148">
            <v>19.32</v>
          </cell>
        </row>
        <row r="149">
          <cell r="A149" t="str">
            <v>14000 -</v>
          </cell>
          <cell r="B149" t="str">
            <v>nformation Technology Occupation</v>
          </cell>
        </row>
        <row r="150">
          <cell r="A150" t="str">
            <v>14041</v>
          </cell>
          <cell r="B150" t="str">
            <v>Computer Operator I</v>
          </cell>
          <cell r="C150">
            <v>15.26</v>
          </cell>
          <cell r="D150">
            <v>15.62</v>
          </cell>
          <cell r="E150">
            <v>15.46</v>
          </cell>
          <cell r="F150">
            <v>15.04</v>
          </cell>
        </row>
        <row r="151">
          <cell r="A151" t="str">
            <v>14042</v>
          </cell>
          <cell r="B151" t="str">
            <v>Computer Operator II</v>
          </cell>
          <cell r="C151">
            <v>17.07</v>
          </cell>
          <cell r="D151">
            <v>17.47</v>
          </cell>
          <cell r="E151">
            <v>17.29</v>
          </cell>
          <cell r="F151">
            <v>16.82</v>
          </cell>
        </row>
        <row r="152">
          <cell r="A152" t="str">
            <v>14043</v>
          </cell>
          <cell r="B152" t="str">
            <v>Computer Operator III</v>
          </cell>
          <cell r="C152">
            <v>19.88</v>
          </cell>
          <cell r="D152">
            <v>19.87</v>
          </cell>
          <cell r="E152">
            <v>20.72</v>
          </cell>
          <cell r="F152">
            <v>18.739999999999998</v>
          </cell>
        </row>
        <row r="153">
          <cell r="A153" t="str">
            <v>14044</v>
          </cell>
          <cell r="B153" t="str">
            <v>Computer Operator IV</v>
          </cell>
          <cell r="C153">
            <v>22.02</v>
          </cell>
          <cell r="D153">
            <v>21.65</v>
          </cell>
          <cell r="E153">
            <v>23.08</v>
          </cell>
          <cell r="F153">
            <v>20.83</v>
          </cell>
        </row>
        <row r="154">
          <cell r="A154" t="str">
            <v>14045</v>
          </cell>
          <cell r="B154" t="str">
            <v>Computer Operator V</v>
          </cell>
          <cell r="C154">
            <v>24.38</v>
          </cell>
          <cell r="D154">
            <v>23.97</v>
          </cell>
          <cell r="E154">
            <v>25.51</v>
          </cell>
          <cell r="F154">
            <v>23.07</v>
          </cell>
        </row>
        <row r="155">
          <cell r="A155" t="str">
            <v>14071</v>
          </cell>
          <cell r="B155" t="str">
            <v>Computer Programmer I</v>
          </cell>
          <cell r="C155">
            <v>21.76</v>
          </cell>
          <cell r="D155">
            <v>22.75</v>
          </cell>
          <cell r="E155">
            <v>21.78</v>
          </cell>
          <cell r="F155">
            <v>21.43</v>
          </cell>
        </row>
        <row r="156">
          <cell r="A156" t="str">
            <v>14072</v>
          </cell>
          <cell r="B156" t="str">
            <v>Computer Programmer II</v>
          </cell>
          <cell r="C156">
            <v>26.95</v>
          </cell>
          <cell r="E156">
            <v>26.99</v>
          </cell>
          <cell r="F156">
            <v>26.56</v>
          </cell>
        </row>
        <row r="157">
          <cell r="A157" t="str">
            <v>14073</v>
          </cell>
          <cell r="B157" t="str">
            <v>Computer Programmer III</v>
          </cell>
        </row>
        <row r="158">
          <cell r="A158" t="str">
            <v>14074</v>
          </cell>
          <cell r="B158" t="str">
            <v>Computer Programmer IV</v>
          </cell>
        </row>
        <row r="159">
          <cell r="A159" t="str">
            <v>14101</v>
          </cell>
          <cell r="B159" t="str">
            <v>Computer Systems Analyst I</v>
          </cell>
          <cell r="E159">
            <v>27.38</v>
          </cell>
        </row>
        <row r="160">
          <cell r="A160" t="str">
            <v>14102</v>
          </cell>
          <cell r="B160" t="str">
            <v>Computer Systems Analyst II</v>
          </cell>
        </row>
        <row r="161">
          <cell r="A161" t="str">
            <v>14103</v>
          </cell>
          <cell r="B161" t="str">
            <v>Computer Systems Analyst III</v>
          </cell>
        </row>
        <row r="162">
          <cell r="A162" t="str">
            <v>14150</v>
          </cell>
          <cell r="B162" t="str">
            <v>Peripheral Equipment Operator</v>
          </cell>
          <cell r="C162">
            <v>15.26</v>
          </cell>
          <cell r="D162">
            <v>15.62</v>
          </cell>
          <cell r="E162">
            <v>15.46</v>
          </cell>
          <cell r="F162">
            <v>15.04</v>
          </cell>
        </row>
        <row r="163">
          <cell r="A163" t="str">
            <v>14160</v>
          </cell>
          <cell r="B163" t="str">
            <v>Personal Computer Support Technician</v>
          </cell>
          <cell r="C163">
            <v>22.02</v>
          </cell>
          <cell r="D163">
            <v>21.65</v>
          </cell>
          <cell r="E163">
            <v>27.56</v>
          </cell>
          <cell r="F163">
            <v>22.41</v>
          </cell>
        </row>
        <row r="164">
          <cell r="A164" t="str">
            <v>14170</v>
          </cell>
          <cell r="B164" t="str">
            <v>System Support Specialist</v>
          </cell>
          <cell r="C164">
            <v>29.3</v>
          </cell>
          <cell r="D164">
            <v>35.42</v>
          </cell>
          <cell r="E164">
            <v>30.01</v>
          </cell>
          <cell r="F164">
            <v>25.82</v>
          </cell>
        </row>
        <row r="165">
          <cell r="A165" t="str">
            <v>15000 -</v>
          </cell>
          <cell r="B165" t="str">
            <v>nstructional Occupations</v>
          </cell>
        </row>
        <row r="166">
          <cell r="A166" t="str">
            <v>15010</v>
          </cell>
          <cell r="B166" t="str">
            <v>Aircrew Training Devices Instru</v>
          </cell>
          <cell r="C166">
            <v>27.81</v>
          </cell>
          <cell r="D166">
            <v>30.58</v>
          </cell>
          <cell r="E166">
            <v>27.63</v>
          </cell>
          <cell r="F166">
            <v>28.48</v>
          </cell>
        </row>
        <row r="167">
          <cell r="A167" t="str">
            <v>15020</v>
          </cell>
          <cell r="B167" t="str">
            <v>Aircrew Training Devices Instru</v>
          </cell>
          <cell r="C167">
            <v>33.65</v>
          </cell>
          <cell r="D167">
            <v>36.99</v>
          </cell>
          <cell r="E167">
            <v>33.43</v>
          </cell>
          <cell r="F167">
            <v>34.46</v>
          </cell>
        </row>
        <row r="168">
          <cell r="A168" t="str">
            <v>15030</v>
          </cell>
          <cell r="B168" t="str">
            <v>Air Crew Training Devices Instr</v>
          </cell>
          <cell r="C168">
            <v>40.340000000000003</v>
          </cell>
          <cell r="D168">
            <v>43.18</v>
          </cell>
          <cell r="E168">
            <v>40.07</v>
          </cell>
          <cell r="F168">
            <v>41.31</v>
          </cell>
        </row>
        <row r="169">
          <cell r="A169" t="str">
            <v>15050</v>
          </cell>
          <cell r="B169" t="str">
            <v>Computer Based Training Special</v>
          </cell>
          <cell r="C169">
            <v>27.81</v>
          </cell>
          <cell r="D169">
            <v>30.58</v>
          </cell>
          <cell r="E169">
            <v>27.38</v>
          </cell>
          <cell r="F169">
            <v>28.48</v>
          </cell>
        </row>
        <row r="170">
          <cell r="A170" t="str">
            <v>15060</v>
          </cell>
          <cell r="B170" t="str">
            <v>Educational Technologist</v>
          </cell>
          <cell r="C170">
            <v>29.3</v>
          </cell>
          <cell r="D170">
            <v>33.76</v>
          </cell>
          <cell r="E170">
            <v>30.46</v>
          </cell>
          <cell r="F170">
            <v>35.14</v>
          </cell>
        </row>
        <row r="171">
          <cell r="A171" t="str">
            <v>15070</v>
          </cell>
          <cell r="B171" t="str">
            <v>Flight Instructor (Pilot)</v>
          </cell>
          <cell r="C171">
            <v>40.340000000000003</v>
          </cell>
          <cell r="D171">
            <v>43.18</v>
          </cell>
          <cell r="E171">
            <v>40.07</v>
          </cell>
          <cell r="F171">
            <v>41.31</v>
          </cell>
        </row>
        <row r="172">
          <cell r="A172" t="str">
            <v>15080</v>
          </cell>
          <cell r="B172" t="str">
            <v>Graphic Artist</v>
          </cell>
          <cell r="C172">
            <v>20.12</v>
          </cell>
          <cell r="D172">
            <v>21.52</v>
          </cell>
          <cell r="E172">
            <v>20.07</v>
          </cell>
          <cell r="F172">
            <v>19.579999999999998</v>
          </cell>
        </row>
        <row r="173">
          <cell r="A173" t="str">
            <v>15085</v>
          </cell>
          <cell r="B173" t="str">
            <v>Maintenance Test Pilot, Fixed,</v>
          </cell>
          <cell r="C173">
            <v>40.340000000000003</v>
          </cell>
          <cell r="D173">
            <v>43.18</v>
          </cell>
          <cell r="E173">
            <v>40.07</v>
          </cell>
          <cell r="F173">
            <v>40.08</v>
          </cell>
        </row>
        <row r="174">
          <cell r="A174" t="str">
            <v>15086</v>
          </cell>
          <cell r="B174" t="str">
            <v>Maintenance Test Pilot, Rotary</v>
          </cell>
          <cell r="C174">
            <v>40.340000000000003</v>
          </cell>
          <cell r="D174">
            <v>43.18</v>
          </cell>
          <cell r="E174">
            <v>40.07</v>
          </cell>
          <cell r="F174">
            <v>40.08</v>
          </cell>
        </row>
        <row r="175">
          <cell r="A175" t="str">
            <v>15088</v>
          </cell>
          <cell r="B175" t="str">
            <v>Non-Maintenance Test/Co-Pilot</v>
          </cell>
          <cell r="C175">
            <v>40.340000000000003</v>
          </cell>
          <cell r="D175">
            <v>43.18</v>
          </cell>
          <cell r="E175">
            <v>40.07</v>
          </cell>
          <cell r="F175">
            <v>40.08</v>
          </cell>
        </row>
        <row r="176">
          <cell r="A176" t="str">
            <v>15090</v>
          </cell>
          <cell r="B176" t="str">
            <v>Technical Instructor</v>
          </cell>
          <cell r="C176">
            <v>24.13</v>
          </cell>
          <cell r="D176">
            <v>22.33</v>
          </cell>
          <cell r="E176">
            <v>20.170000000000002</v>
          </cell>
          <cell r="F176">
            <v>19.87</v>
          </cell>
        </row>
        <row r="177">
          <cell r="A177" t="str">
            <v>15095</v>
          </cell>
          <cell r="B177" t="str">
            <v>Technical Instructor/Course Dev</v>
          </cell>
          <cell r="C177">
            <v>29.51</v>
          </cell>
          <cell r="D177">
            <v>27.31</v>
          </cell>
          <cell r="E177">
            <v>24.67</v>
          </cell>
          <cell r="F177">
            <v>24.3</v>
          </cell>
        </row>
        <row r="178">
          <cell r="A178" t="str">
            <v>15110</v>
          </cell>
          <cell r="B178" t="str">
            <v>Test Proctor</v>
          </cell>
          <cell r="C178">
            <v>19.48</v>
          </cell>
          <cell r="D178">
            <v>18.02</v>
          </cell>
          <cell r="E178">
            <v>16.28</v>
          </cell>
          <cell r="F178">
            <v>16.04</v>
          </cell>
        </row>
        <row r="179">
          <cell r="A179" t="str">
            <v>15120</v>
          </cell>
          <cell r="B179" t="str">
            <v>Tutor</v>
          </cell>
          <cell r="C179">
            <v>19.48</v>
          </cell>
          <cell r="D179">
            <v>18.02</v>
          </cell>
          <cell r="E179">
            <v>16.28</v>
          </cell>
          <cell r="F179">
            <v>16.04</v>
          </cell>
        </row>
        <row r="180">
          <cell r="A180" t="str">
            <v>16000 -</v>
          </cell>
          <cell r="B180" t="str">
            <v>aundry, Dry-Cleaning, Pressing A</v>
          </cell>
        </row>
        <row r="181">
          <cell r="A181" t="str">
            <v>16010</v>
          </cell>
          <cell r="B181" t="str">
            <v>Assembler</v>
          </cell>
          <cell r="C181">
            <v>8.86</v>
          </cell>
          <cell r="D181">
            <v>9.7799999999999994</v>
          </cell>
          <cell r="E181">
            <v>9.4499999999999993</v>
          </cell>
          <cell r="F181">
            <v>8.75</v>
          </cell>
        </row>
        <row r="182">
          <cell r="A182" t="str">
            <v>16030</v>
          </cell>
          <cell r="B182" t="str">
            <v>Counter Attendant</v>
          </cell>
          <cell r="C182">
            <v>8.86</v>
          </cell>
          <cell r="D182">
            <v>9.7799999999999994</v>
          </cell>
          <cell r="E182">
            <v>9.4499999999999993</v>
          </cell>
          <cell r="F182">
            <v>9.4</v>
          </cell>
        </row>
        <row r="183">
          <cell r="A183" t="str">
            <v>16040</v>
          </cell>
          <cell r="B183" t="str">
            <v>Dry Cleaner</v>
          </cell>
          <cell r="C183">
            <v>10.81</v>
          </cell>
          <cell r="D183">
            <v>12.03</v>
          </cell>
          <cell r="E183">
            <v>11.65</v>
          </cell>
          <cell r="F183">
            <v>10.25</v>
          </cell>
        </row>
        <row r="184">
          <cell r="A184" t="str">
            <v>16070</v>
          </cell>
          <cell r="B184" t="str">
            <v>Finisher, Flatwork, Machine</v>
          </cell>
          <cell r="C184">
            <v>8.86</v>
          </cell>
          <cell r="D184">
            <v>9.7799999999999994</v>
          </cell>
          <cell r="E184">
            <v>9.4499999999999993</v>
          </cell>
          <cell r="F184">
            <v>9.4</v>
          </cell>
        </row>
        <row r="185">
          <cell r="A185" t="str">
            <v>16090</v>
          </cell>
          <cell r="B185" t="str">
            <v>Presser, Hand</v>
          </cell>
          <cell r="C185">
            <v>8.86</v>
          </cell>
          <cell r="D185">
            <v>9.7799999999999994</v>
          </cell>
          <cell r="E185">
            <v>9.4499999999999993</v>
          </cell>
          <cell r="F185">
            <v>9.4</v>
          </cell>
        </row>
        <row r="186">
          <cell r="A186" t="str">
            <v>16110</v>
          </cell>
          <cell r="B186" t="str">
            <v>Presser, Machine, Drycleaning</v>
          </cell>
          <cell r="C186">
            <v>8.86</v>
          </cell>
          <cell r="D186">
            <v>9.7799999999999994</v>
          </cell>
          <cell r="E186">
            <v>9.4499999999999993</v>
          </cell>
          <cell r="F186">
            <v>9.4</v>
          </cell>
        </row>
        <row r="187">
          <cell r="A187" t="str">
            <v>16130</v>
          </cell>
          <cell r="B187" t="str">
            <v>Presser, Machine, Shirts</v>
          </cell>
          <cell r="C187">
            <v>8.86</v>
          </cell>
          <cell r="D187">
            <v>9.7799999999999994</v>
          </cell>
          <cell r="E187">
            <v>9.4499999999999993</v>
          </cell>
          <cell r="F187">
            <v>9.4</v>
          </cell>
        </row>
        <row r="188">
          <cell r="A188" t="str">
            <v>16160</v>
          </cell>
          <cell r="B188" t="str">
            <v>Presser, Machine, Wearing Appar</v>
          </cell>
          <cell r="C188">
            <v>8.86</v>
          </cell>
          <cell r="D188">
            <v>9.7799999999999994</v>
          </cell>
          <cell r="E188">
            <v>9.4499999999999993</v>
          </cell>
          <cell r="F188">
            <v>9.4</v>
          </cell>
        </row>
        <row r="189">
          <cell r="A189" t="str">
            <v>16190</v>
          </cell>
          <cell r="B189" t="str">
            <v>Sewing Machine Operator</v>
          </cell>
          <cell r="C189">
            <v>11.5</v>
          </cell>
          <cell r="D189">
            <v>12.75</v>
          </cell>
          <cell r="E189">
            <v>12.29</v>
          </cell>
          <cell r="F189">
            <v>10.85</v>
          </cell>
        </row>
        <row r="190">
          <cell r="A190" t="str">
            <v>16220</v>
          </cell>
          <cell r="B190" t="str">
            <v>Tailor</v>
          </cell>
          <cell r="C190">
            <v>12.25</v>
          </cell>
          <cell r="D190">
            <v>13.47</v>
          </cell>
          <cell r="E190">
            <v>13.09</v>
          </cell>
          <cell r="F190">
            <v>11.45</v>
          </cell>
        </row>
        <row r="191">
          <cell r="A191" t="str">
            <v>16250</v>
          </cell>
          <cell r="B191" t="str">
            <v>Washer, Machine</v>
          </cell>
          <cell r="C191">
            <v>9.39</v>
          </cell>
          <cell r="D191">
            <v>10.45</v>
          </cell>
          <cell r="E191">
            <v>10.199999999999999</v>
          </cell>
          <cell r="F191">
            <v>9.15</v>
          </cell>
        </row>
        <row r="192">
          <cell r="A192" t="str">
            <v>19000 -</v>
          </cell>
          <cell r="B192" t="str">
            <v>achine Tool Operation And Repair</v>
          </cell>
        </row>
        <row r="193">
          <cell r="A193" t="str">
            <v>19010</v>
          </cell>
          <cell r="B193" t="str">
            <v>Machine-Tool Operator (Tool Roo</v>
          </cell>
          <cell r="C193">
            <v>19.260000000000002</v>
          </cell>
          <cell r="D193">
            <v>22.01</v>
          </cell>
          <cell r="E193">
            <v>21.8</v>
          </cell>
          <cell r="F193">
            <v>20.62</v>
          </cell>
        </row>
        <row r="194">
          <cell r="A194" t="str">
            <v>19040</v>
          </cell>
          <cell r="B194" t="str">
            <v>Tool And Die Maker</v>
          </cell>
          <cell r="C194">
            <v>24.45</v>
          </cell>
          <cell r="D194">
            <v>27</v>
          </cell>
          <cell r="E194">
            <v>25.78</v>
          </cell>
          <cell r="F194">
            <v>26.66</v>
          </cell>
        </row>
        <row r="195">
          <cell r="A195" t="str">
            <v>21000 -</v>
          </cell>
          <cell r="B195" t="str">
            <v>aterials Handling And Packing Oc</v>
          </cell>
        </row>
        <row r="196">
          <cell r="A196" t="str">
            <v>21020</v>
          </cell>
          <cell r="B196" t="str">
            <v>Forklift Operator</v>
          </cell>
          <cell r="C196">
            <v>15.12</v>
          </cell>
          <cell r="D196">
            <v>15.57</v>
          </cell>
          <cell r="E196">
            <v>14.44</v>
          </cell>
          <cell r="F196">
            <v>11.99</v>
          </cell>
        </row>
        <row r="197">
          <cell r="A197" t="str">
            <v>21030</v>
          </cell>
          <cell r="B197" t="str">
            <v>Material Coordinator</v>
          </cell>
          <cell r="C197">
            <v>20.95</v>
          </cell>
          <cell r="D197">
            <v>21.58</v>
          </cell>
          <cell r="E197">
            <v>23.23</v>
          </cell>
          <cell r="F197">
            <v>17.14</v>
          </cell>
        </row>
        <row r="198">
          <cell r="A198" t="str">
            <v>21040</v>
          </cell>
          <cell r="B198" t="str">
            <v>Material Expediter</v>
          </cell>
          <cell r="C198">
            <v>20.95</v>
          </cell>
          <cell r="D198">
            <v>21.58</v>
          </cell>
          <cell r="E198">
            <v>23.23</v>
          </cell>
          <cell r="F198">
            <v>17.14</v>
          </cell>
        </row>
        <row r="199">
          <cell r="A199" t="str">
            <v>21050</v>
          </cell>
          <cell r="B199" t="str">
            <v>Material Handling Laborer</v>
          </cell>
          <cell r="C199">
            <v>12.11</v>
          </cell>
          <cell r="D199">
            <v>11.81</v>
          </cell>
          <cell r="E199">
            <v>13.01</v>
          </cell>
          <cell r="F199">
            <v>10.36</v>
          </cell>
        </row>
        <row r="200">
          <cell r="A200" t="str">
            <v>21071</v>
          </cell>
          <cell r="B200" t="str">
            <v>Order Filler</v>
          </cell>
          <cell r="C200">
            <v>13.38</v>
          </cell>
          <cell r="D200">
            <v>11.16</v>
          </cell>
          <cell r="E200">
            <v>11.87</v>
          </cell>
          <cell r="F200">
            <v>10.49</v>
          </cell>
        </row>
        <row r="201">
          <cell r="A201" t="str">
            <v>21080</v>
          </cell>
          <cell r="B201" t="str">
            <v>Production Line Worker (Food Pr</v>
          </cell>
          <cell r="C201">
            <v>15.12</v>
          </cell>
          <cell r="D201">
            <v>15.57</v>
          </cell>
          <cell r="E201">
            <v>14.44</v>
          </cell>
          <cell r="F201">
            <v>11.99</v>
          </cell>
        </row>
        <row r="202">
          <cell r="A202" t="str">
            <v>21110</v>
          </cell>
          <cell r="B202" t="str">
            <v>Shipping Packer</v>
          </cell>
          <cell r="C202">
            <v>16.489999999999998</v>
          </cell>
          <cell r="D202">
            <v>15.07</v>
          </cell>
          <cell r="E202">
            <v>14.11</v>
          </cell>
          <cell r="F202">
            <v>12.32</v>
          </cell>
        </row>
        <row r="203">
          <cell r="A203" t="str">
            <v>21130</v>
          </cell>
          <cell r="B203" t="str">
            <v>Shipping/Receiving Clerk</v>
          </cell>
          <cell r="C203">
            <v>16.489999999999998</v>
          </cell>
          <cell r="D203">
            <v>15.07</v>
          </cell>
          <cell r="E203">
            <v>14.11</v>
          </cell>
          <cell r="F203">
            <v>12.32</v>
          </cell>
        </row>
        <row r="204">
          <cell r="A204" t="str">
            <v>21140</v>
          </cell>
          <cell r="B204" t="str">
            <v>Store Worker I</v>
          </cell>
          <cell r="C204">
            <v>10.039999999999999</v>
          </cell>
          <cell r="D204">
            <v>12.16</v>
          </cell>
          <cell r="E204">
            <v>11.4</v>
          </cell>
          <cell r="F204">
            <v>9.91</v>
          </cell>
        </row>
        <row r="205">
          <cell r="A205" t="str">
            <v>21150</v>
          </cell>
          <cell r="B205" t="str">
            <v>Stock Clerk</v>
          </cell>
          <cell r="C205">
            <v>14.19</v>
          </cell>
          <cell r="D205">
            <v>15.99</v>
          </cell>
          <cell r="E205">
            <v>15.38</v>
          </cell>
          <cell r="F205">
            <v>14.12</v>
          </cell>
        </row>
        <row r="206">
          <cell r="A206" t="str">
            <v>21210</v>
          </cell>
          <cell r="B206" t="str">
            <v>Tools And Parts Attendant</v>
          </cell>
          <cell r="C206">
            <v>15.12</v>
          </cell>
          <cell r="D206">
            <v>15.57</v>
          </cell>
          <cell r="E206">
            <v>14.44</v>
          </cell>
          <cell r="F206">
            <v>11.99</v>
          </cell>
        </row>
        <row r="207">
          <cell r="A207" t="str">
            <v>21410</v>
          </cell>
          <cell r="B207" t="str">
            <v>Warehouse Specialist</v>
          </cell>
          <cell r="C207">
            <v>15.12</v>
          </cell>
          <cell r="D207">
            <v>15.57</v>
          </cell>
          <cell r="E207">
            <v>14.44</v>
          </cell>
          <cell r="F207">
            <v>11.99</v>
          </cell>
        </row>
        <row r="208">
          <cell r="A208" t="str">
            <v>23000 -</v>
          </cell>
          <cell r="B208" t="str">
            <v>echanics And Maintenance And Rep</v>
          </cell>
        </row>
        <row r="209">
          <cell r="A209" t="str">
            <v>23010</v>
          </cell>
          <cell r="B209" t="str">
            <v>Aerospace Structural Welder</v>
          </cell>
          <cell r="C209">
            <v>29.33</v>
          </cell>
          <cell r="D209">
            <v>22.99</v>
          </cell>
          <cell r="E209">
            <v>27.25</v>
          </cell>
          <cell r="F209">
            <v>32.78</v>
          </cell>
        </row>
        <row r="210">
          <cell r="A210" t="str">
            <v>23019</v>
          </cell>
          <cell r="B210" t="str">
            <v>Aircraft Logs and Records Techn</v>
          </cell>
          <cell r="C210">
            <v>21.29</v>
          </cell>
          <cell r="D210">
            <v>18.34</v>
          </cell>
          <cell r="E210">
            <v>21.33</v>
          </cell>
          <cell r="F210">
            <v>24.22</v>
          </cell>
        </row>
        <row r="211">
          <cell r="A211" t="str">
            <v>23021</v>
          </cell>
          <cell r="B211" t="str">
            <v>Aircraft Mechanic I</v>
          </cell>
          <cell r="C211">
            <v>27.59</v>
          </cell>
          <cell r="D211">
            <v>21.85</v>
          </cell>
          <cell r="E211">
            <v>25.74</v>
          </cell>
          <cell r="F211">
            <v>30.63</v>
          </cell>
        </row>
        <row r="212">
          <cell r="A212" t="str">
            <v>23022</v>
          </cell>
          <cell r="B212" t="str">
            <v>Aircraft Mechanic II</v>
          </cell>
          <cell r="C212">
            <v>29.33</v>
          </cell>
          <cell r="D212">
            <v>22.99</v>
          </cell>
          <cell r="E212">
            <v>27.25</v>
          </cell>
          <cell r="F212">
            <v>32.78</v>
          </cell>
        </row>
        <row r="213">
          <cell r="A213" t="str">
            <v>23023</v>
          </cell>
          <cell r="B213" t="str">
            <v>Aircraft Mechanic III</v>
          </cell>
          <cell r="C213">
            <v>30.83</v>
          </cell>
          <cell r="D213">
            <v>24.1</v>
          </cell>
          <cell r="E213">
            <v>28.67</v>
          </cell>
          <cell r="F213">
            <v>34.880000000000003</v>
          </cell>
        </row>
        <row r="214">
          <cell r="A214" t="str">
            <v>23040</v>
          </cell>
          <cell r="B214" t="str">
            <v>Aircraft Mechanic Helper</v>
          </cell>
          <cell r="C214">
            <v>18.46</v>
          </cell>
          <cell r="D214">
            <v>16.13</v>
          </cell>
          <cell r="E214">
            <v>18.399999999999999</v>
          </cell>
          <cell r="F214">
            <v>19.88</v>
          </cell>
        </row>
        <row r="215">
          <cell r="A215" t="str">
            <v>23050</v>
          </cell>
          <cell r="B215" t="str">
            <v>Aircraft, Painter</v>
          </cell>
          <cell r="C215">
            <v>24.77</v>
          </cell>
          <cell r="D215">
            <v>20.68</v>
          </cell>
          <cell r="E215">
            <v>24.35</v>
          </cell>
          <cell r="F215">
            <v>24.85</v>
          </cell>
        </row>
        <row r="216">
          <cell r="A216" t="str">
            <v>23060</v>
          </cell>
          <cell r="B216" t="str">
            <v>Aircraft Servicer</v>
          </cell>
          <cell r="C216">
            <v>21.29</v>
          </cell>
          <cell r="D216">
            <v>18.34</v>
          </cell>
          <cell r="E216">
            <v>21.33</v>
          </cell>
          <cell r="F216">
            <v>24.22</v>
          </cell>
        </row>
        <row r="217">
          <cell r="A217" t="str">
            <v>23070</v>
          </cell>
          <cell r="B217" t="str">
            <v>Aircraft Survival Flight Equipm</v>
          </cell>
          <cell r="C217">
            <v>24.77</v>
          </cell>
          <cell r="D217">
            <v>20.68</v>
          </cell>
          <cell r="E217">
            <v>24.35</v>
          </cell>
          <cell r="F217">
            <v>24.85</v>
          </cell>
        </row>
        <row r="218">
          <cell r="A218" t="str">
            <v>23080</v>
          </cell>
          <cell r="B218" t="str">
            <v>Aircraft Worker</v>
          </cell>
          <cell r="C218">
            <v>22.7</v>
          </cell>
          <cell r="D218">
            <v>19.46</v>
          </cell>
          <cell r="E218">
            <v>22.87</v>
          </cell>
          <cell r="F218">
            <v>26.37</v>
          </cell>
        </row>
        <row r="219">
          <cell r="A219" t="str">
            <v>23091</v>
          </cell>
          <cell r="B219" t="str">
            <v>Aircrew Life Support Equipment</v>
          </cell>
          <cell r="C219">
            <v>22.7</v>
          </cell>
          <cell r="D219">
            <v>19.46</v>
          </cell>
          <cell r="E219">
            <v>22.87</v>
          </cell>
          <cell r="F219">
            <v>26.37</v>
          </cell>
        </row>
        <row r="220">
          <cell r="A220" t="str">
            <v>I</v>
          </cell>
        </row>
        <row r="221">
          <cell r="A221" t="str">
            <v>23092</v>
          </cell>
          <cell r="B221" t="str">
            <v>Aircrew Life Support Equipment</v>
          </cell>
          <cell r="C221">
            <v>27.59</v>
          </cell>
          <cell r="D221">
            <v>21.85</v>
          </cell>
          <cell r="E221">
            <v>25.74</v>
          </cell>
          <cell r="F221">
            <v>30.63</v>
          </cell>
        </row>
        <row r="222">
          <cell r="A222" t="str">
            <v>II</v>
          </cell>
        </row>
        <row r="223">
          <cell r="A223" t="str">
            <v>23110</v>
          </cell>
          <cell r="B223" t="str">
            <v>Appliance Mechanic</v>
          </cell>
          <cell r="C223">
            <v>19.260000000000002</v>
          </cell>
          <cell r="D223">
            <v>19.53</v>
          </cell>
          <cell r="E223">
            <v>20.8</v>
          </cell>
          <cell r="F223">
            <v>18.02</v>
          </cell>
        </row>
        <row r="224">
          <cell r="A224" t="str">
            <v>23120</v>
          </cell>
          <cell r="B224" t="str">
            <v>Bicycle Repairer</v>
          </cell>
          <cell r="C224">
            <v>14.81</v>
          </cell>
          <cell r="D224">
            <v>16.29</v>
          </cell>
          <cell r="E224">
            <v>15.04</v>
          </cell>
          <cell r="F224">
            <v>14</v>
          </cell>
        </row>
        <row r="225">
          <cell r="A225" t="str">
            <v>23125</v>
          </cell>
          <cell r="B225" t="str">
            <v>Cable Splicer</v>
          </cell>
          <cell r="C225">
            <v>25.59</v>
          </cell>
          <cell r="D225">
            <v>27.34</v>
          </cell>
          <cell r="E225">
            <v>27.54</v>
          </cell>
          <cell r="F225">
            <v>24.06</v>
          </cell>
        </row>
        <row r="226">
          <cell r="A226" t="str">
            <v>23130</v>
          </cell>
          <cell r="B226" t="str">
            <v>Carpenter, Maintenance</v>
          </cell>
          <cell r="C226">
            <v>17.190000000000001</v>
          </cell>
          <cell r="D226">
            <v>17.05</v>
          </cell>
          <cell r="E226">
            <v>19.2</v>
          </cell>
          <cell r="F226">
            <v>15.73</v>
          </cell>
        </row>
        <row r="227">
          <cell r="A227" t="str">
            <v>23140</v>
          </cell>
          <cell r="B227" t="str">
            <v>Carpet Layer</v>
          </cell>
          <cell r="C227">
            <v>18.02</v>
          </cell>
          <cell r="D227">
            <v>18.38</v>
          </cell>
          <cell r="E227">
            <v>19.86</v>
          </cell>
          <cell r="F227">
            <v>16.73</v>
          </cell>
        </row>
        <row r="228">
          <cell r="A228" t="str">
            <v>23160</v>
          </cell>
          <cell r="B228" t="str">
            <v>Electrician, Maintenance</v>
          </cell>
          <cell r="C228">
            <v>21.54</v>
          </cell>
          <cell r="D228">
            <v>20.76</v>
          </cell>
          <cell r="E228">
            <v>21.66</v>
          </cell>
          <cell r="F228">
            <v>18.82</v>
          </cell>
        </row>
        <row r="229">
          <cell r="A229" t="str">
            <v>23181</v>
          </cell>
          <cell r="B229" t="str">
            <v>Electronics Technician Maintenance I</v>
          </cell>
          <cell r="C229">
            <v>20.16</v>
          </cell>
          <cell r="D229">
            <v>24.12</v>
          </cell>
          <cell r="E229">
            <v>24.32</v>
          </cell>
          <cell r="F229">
            <v>21.86</v>
          </cell>
        </row>
        <row r="230">
          <cell r="A230" t="str">
            <v>23182</v>
          </cell>
          <cell r="B230" t="str">
            <v>Electronics Technician Maintenance II</v>
          </cell>
          <cell r="C230">
            <v>21.55</v>
          </cell>
          <cell r="D230">
            <v>25.62</v>
          </cell>
          <cell r="E230">
            <v>25.9</v>
          </cell>
          <cell r="F230">
            <v>23.55</v>
          </cell>
        </row>
        <row r="231">
          <cell r="A231" t="str">
            <v>23183</v>
          </cell>
          <cell r="B231" t="str">
            <v>Electronics Technician Maintenance III</v>
          </cell>
          <cell r="C231">
            <v>22.96</v>
          </cell>
          <cell r="D231">
            <v>27.08</v>
          </cell>
          <cell r="E231">
            <v>27.37</v>
          </cell>
          <cell r="F231">
            <v>25.39</v>
          </cell>
        </row>
        <row r="232">
          <cell r="A232" t="str">
            <v>23260</v>
          </cell>
          <cell r="B232" t="str">
            <v>Fabric Worker</v>
          </cell>
          <cell r="C232">
            <v>16.760000000000002</v>
          </cell>
          <cell r="D232">
            <v>17.32</v>
          </cell>
          <cell r="E232">
            <v>18.52</v>
          </cell>
          <cell r="F232">
            <v>15.36</v>
          </cell>
        </row>
        <row r="233">
          <cell r="A233" t="str">
            <v>23290</v>
          </cell>
          <cell r="B233" t="str">
            <v>Fire Alarm System Mechanic</v>
          </cell>
          <cell r="C233">
            <v>20.51</v>
          </cell>
          <cell r="D233">
            <v>17.96</v>
          </cell>
          <cell r="E233">
            <v>18.11</v>
          </cell>
          <cell r="F233">
            <v>20.11</v>
          </cell>
        </row>
        <row r="234">
          <cell r="A234" t="str">
            <v>23310</v>
          </cell>
          <cell r="B234" t="str">
            <v>Fire Extinguisher Repairer</v>
          </cell>
          <cell r="C234">
            <v>15.51</v>
          </cell>
          <cell r="D234">
            <v>16.29</v>
          </cell>
          <cell r="E234">
            <v>17.260000000000002</v>
          </cell>
          <cell r="F234">
            <v>14.01</v>
          </cell>
        </row>
        <row r="235">
          <cell r="A235" t="str">
            <v>23311</v>
          </cell>
          <cell r="B235" t="str">
            <v>Fuel Distribution System Mechan</v>
          </cell>
          <cell r="C235">
            <v>22.37</v>
          </cell>
          <cell r="D235">
            <v>20.64</v>
          </cell>
          <cell r="E235">
            <v>26.72</v>
          </cell>
          <cell r="F235">
            <v>19.79</v>
          </cell>
        </row>
        <row r="236">
          <cell r="A236" t="str">
            <v>23312</v>
          </cell>
          <cell r="B236" t="str">
            <v>Fuel Distribution System Operat</v>
          </cell>
          <cell r="C236">
            <v>16.920000000000002</v>
          </cell>
          <cell r="D236">
            <v>16.29</v>
          </cell>
          <cell r="E236">
            <v>20.63</v>
          </cell>
          <cell r="F236">
            <v>15.2</v>
          </cell>
        </row>
        <row r="237">
          <cell r="A237" t="str">
            <v>23370</v>
          </cell>
          <cell r="B237" t="str">
            <v>General Maintenance Worker</v>
          </cell>
          <cell r="C237">
            <v>15.93</v>
          </cell>
          <cell r="D237">
            <v>17.52</v>
          </cell>
          <cell r="E237">
            <v>16.559999999999999</v>
          </cell>
          <cell r="F237">
            <v>14.64</v>
          </cell>
        </row>
        <row r="238">
          <cell r="A238" t="str">
            <v>23380</v>
          </cell>
          <cell r="B238" t="str">
            <v>Ground Support Equipment Mechan</v>
          </cell>
          <cell r="C238">
            <v>27.59</v>
          </cell>
          <cell r="D238">
            <v>21.85</v>
          </cell>
          <cell r="E238">
            <v>25.74</v>
          </cell>
          <cell r="F238">
            <v>30.63</v>
          </cell>
        </row>
        <row r="239">
          <cell r="A239" t="str">
            <v>23381</v>
          </cell>
          <cell r="B239" t="str">
            <v>Ground Support Equipment Servic</v>
          </cell>
          <cell r="C239">
            <v>21.29</v>
          </cell>
          <cell r="D239">
            <v>18.34</v>
          </cell>
          <cell r="E239">
            <v>21.33</v>
          </cell>
          <cell r="F239">
            <v>24.22</v>
          </cell>
        </row>
        <row r="240">
          <cell r="A240" t="str">
            <v>23382</v>
          </cell>
          <cell r="B240" t="str">
            <v>Ground Support Equipment Worker</v>
          </cell>
          <cell r="C240">
            <v>22.7</v>
          </cell>
          <cell r="D240">
            <v>19.46</v>
          </cell>
          <cell r="E240">
            <v>22.87</v>
          </cell>
          <cell r="F240">
            <v>26.37</v>
          </cell>
        </row>
        <row r="241">
          <cell r="A241" t="str">
            <v>23391</v>
          </cell>
          <cell r="B241" t="str">
            <v>Gunsmith I</v>
          </cell>
          <cell r="C241">
            <v>15.51</v>
          </cell>
          <cell r="D241">
            <v>16.29</v>
          </cell>
          <cell r="E241">
            <v>17.260000000000002</v>
          </cell>
          <cell r="F241">
            <v>14.01</v>
          </cell>
        </row>
        <row r="242">
          <cell r="A242" t="str">
            <v>23392</v>
          </cell>
          <cell r="B242" t="str">
            <v>Gunsmith II</v>
          </cell>
          <cell r="C242">
            <v>18.02</v>
          </cell>
          <cell r="D242">
            <v>18.38</v>
          </cell>
          <cell r="E242">
            <v>19.86</v>
          </cell>
          <cell r="F242">
            <v>16.73</v>
          </cell>
        </row>
        <row r="243">
          <cell r="A243" t="str">
            <v>23393</v>
          </cell>
          <cell r="B243" t="str">
            <v>Gunsmith III</v>
          </cell>
          <cell r="C243">
            <v>20.51</v>
          </cell>
          <cell r="D243">
            <v>20.64</v>
          </cell>
          <cell r="E243">
            <v>22.35</v>
          </cell>
          <cell r="F243">
            <v>19.43</v>
          </cell>
        </row>
        <row r="244">
          <cell r="A244" t="str">
            <v>23410</v>
          </cell>
          <cell r="B244" t="str">
            <v>Heating, Ventilation And Air-Conidtioning Mechanic</v>
          </cell>
          <cell r="C244">
            <v>17.27</v>
          </cell>
          <cell r="D244">
            <v>20.239999999999998</v>
          </cell>
          <cell r="E244">
            <v>18.149999999999999</v>
          </cell>
          <cell r="F244">
            <v>17.52</v>
          </cell>
        </row>
        <row r="245">
          <cell r="A245" t="str">
            <v>Mecha</v>
          </cell>
          <cell r="B245" t="str">
            <v>c</v>
          </cell>
        </row>
        <row r="246">
          <cell r="A246" t="str">
            <v>23411</v>
          </cell>
          <cell r="B246" t="str">
            <v>Heating, Ventilation And Air Co</v>
          </cell>
          <cell r="C246">
            <v>18.36</v>
          </cell>
          <cell r="D246">
            <v>21.36</v>
          </cell>
          <cell r="E246">
            <v>19.79</v>
          </cell>
          <cell r="F246">
            <v>18.75</v>
          </cell>
        </row>
        <row r="247">
          <cell r="A247" t="str">
            <v>Mecha</v>
          </cell>
          <cell r="B247" t="str">
            <v>c (Research Facility)</v>
          </cell>
        </row>
        <row r="248">
          <cell r="A248" t="str">
            <v>23430</v>
          </cell>
          <cell r="B248" t="str">
            <v>Heavy Equipment Mechanic</v>
          </cell>
          <cell r="C248">
            <v>21.7</v>
          </cell>
          <cell r="D248">
            <v>22.85</v>
          </cell>
          <cell r="E248">
            <v>23.96</v>
          </cell>
          <cell r="F248">
            <v>19.34</v>
          </cell>
        </row>
        <row r="249">
          <cell r="A249" t="str">
            <v>23440</v>
          </cell>
          <cell r="B249" t="str">
            <v>Heavy Equipment Operator</v>
          </cell>
          <cell r="C249">
            <v>16.86</v>
          </cell>
          <cell r="D249">
            <v>18.32</v>
          </cell>
          <cell r="E249">
            <v>17.690000000000001</v>
          </cell>
          <cell r="F249">
            <v>16.96</v>
          </cell>
        </row>
        <row r="250">
          <cell r="A250" t="str">
            <v>23460</v>
          </cell>
          <cell r="B250" t="str">
            <v>Instrument Mechanic</v>
          </cell>
          <cell r="C250">
            <v>20.51</v>
          </cell>
          <cell r="D250">
            <v>20.64</v>
          </cell>
          <cell r="E250">
            <v>20.39</v>
          </cell>
          <cell r="F250">
            <v>19.61</v>
          </cell>
        </row>
        <row r="251">
          <cell r="A251" t="str">
            <v>23465</v>
          </cell>
          <cell r="B251" t="str">
            <v>Laboratory/Shelter Mechanic</v>
          </cell>
          <cell r="C251">
            <v>19.260000000000002</v>
          </cell>
          <cell r="D251">
            <v>19.53</v>
          </cell>
          <cell r="E251">
            <v>21.15</v>
          </cell>
          <cell r="F251">
            <v>18.02</v>
          </cell>
        </row>
        <row r="252">
          <cell r="A252" t="str">
            <v>23470</v>
          </cell>
          <cell r="B252" t="str">
            <v>Laborer</v>
          </cell>
          <cell r="C252">
            <v>12.11</v>
          </cell>
          <cell r="D252">
            <v>11.81</v>
          </cell>
          <cell r="E252">
            <v>13.01</v>
          </cell>
          <cell r="F252">
            <v>10.36</v>
          </cell>
        </row>
        <row r="253">
          <cell r="A253" t="str">
            <v>23510</v>
          </cell>
          <cell r="B253" t="str">
            <v>Locksmith</v>
          </cell>
          <cell r="C253">
            <v>18.38</v>
          </cell>
          <cell r="D253">
            <v>19.53</v>
          </cell>
          <cell r="E253">
            <v>18.55</v>
          </cell>
          <cell r="F253">
            <v>18.02</v>
          </cell>
        </row>
        <row r="254">
          <cell r="A254" t="str">
            <v>23530</v>
          </cell>
          <cell r="B254" t="str">
            <v>Machinery Maintenance Mechanic</v>
          </cell>
          <cell r="C254">
            <v>20.83</v>
          </cell>
          <cell r="D254">
            <v>22.88</v>
          </cell>
          <cell r="E254">
            <v>27.82</v>
          </cell>
          <cell r="F254">
            <v>20.77</v>
          </cell>
        </row>
        <row r="255">
          <cell r="A255" t="str">
            <v>23550</v>
          </cell>
          <cell r="B255" t="str">
            <v>Machinist, Maintenance</v>
          </cell>
          <cell r="C255">
            <v>19.34</v>
          </cell>
          <cell r="D255">
            <v>21.6</v>
          </cell>
          <cell r="E255">
            <v>22.13</v>
          </cell>
          <cell r="F255">
            <v>17.940000000000001</v>
          </cell>
        </row>
        <row r="256">
          <cell r="A256" t="str">
            <v>23580</v>
          </cell>
          <cell r="B256" t="str">
            <v>Maintenance Trades Helper</v>
          </cell>
          <cell r="C256">
            <v>13.19</v>
          </cell>
          <cell r="D256">
            <v>13.34</v>
          </cell>
          <cell r="E256">
            <v>13.66</v>
          </cell>
          <cell r="F256">
            <v>11.54</v>
          </cell>
        </row>
        <row r="257">
          <cell r="A257" t="str">
            <v>23591</v>
          </cell>
          <cell r="B257" t="str">
            <v>Metrology Technician I</v>
          </cell>
          <cell r="C257">
            <v>20.51</v>
          </cell>
          <cell r="D257">
            <v>20.64</v>
          </cell>
          <cell r="E257">
            <v>20.39</v>
          </cell>
          <cell r="F257">
            <v>19.61</v>
          </cell>
        </row>
        <row r="258">
          <cell r="A258" t="str">
            <v>23592</v>
          </cell>
          <cell r="B258" t="str">
            <v>Metrology Technician II</v>
          </cell>
          <cell r="C258">
            <v>21.8</v>
          </cell>
          <cell r="D258">
            <v>21.71</v>
          </cell>
          <cell r="E258">
            <v>21.59</v>
          </cell>
          <cell r="F258">
            <v>20.79</v>
          </cell>
        </row>
        <row r="259">
          <cell r="A259" t="str">
            <v>23593</v>
          </cell>
          <cell r="B259" t="str">
            <v>Metrology Technician III</v>
          </cell>
          <cell r="C259">
            <v>23.13</v>
          </cell>
          <cell r="D259">
            <v>22.77</v>
          </cell>
          <cell r="E259">
            <v>22.72</v>
          </cell>
          <cell r="F259">
            <v>22.13</v>
          </cell>
        </row>
        <row r="260">
          <cell r="A260" t="str">
            <v>23640</v>
          </cell>
          <cell r="B260" t="str">
            <v>Millwright</v>
          </cell>
          <cell r="C260">
            <v>20.51</v>
          </cell>
          <cell r="D260">
            <v>20.64</v>
          </cell>
          <cell r="E260">
            <v>24.63</v>
          </cell>
          <cell r="F260">
            <v>19.45</v>
          </cell>
        </row>
        <row r="261">
          <cell r="A261" t="str">
            <v>23710</v>
          </cell>
          <cell r="B261" t="str">
            <v>Office Appliance Repairer</v>
          </cell>
          <cell r="C261">
            <v>17.55</v>
          </cell>
          <cell r="D261">
            <v>17.190000000000001</v>
          </cell>
          <cell r="E261">
            <v>19.86</v>
          </cell>
          <cell r="F261">
            <v>15.62</v>
          </cell>
        </row>
        <row r="262">
          <cell r="A262" t="str">
            <v>23760</v>
          </cell>
          <cell r="B262" t="str">
            <v>Painter, Maintenance</v>
          </cell>
          <cell r="C262">
            <v>17.149999999999999</v>
          </cell>
          <cell r="D262">
            <v>17.05</v>
          </cell>
          <cell r="E262">
            <v>16.22</v>
          </cell>
          <cell r="F262">
            <v>14.67</v>
          </cell>
        </row>
        <row r="263">
          <cell r="A263" t="str">
            <v>23790</v>
          </cell>
          <cell r="B263" t="str">
            <v>Pipefitter, Maintenance</v>
          </cell>
          <cell r="C263">
            <v>21.13</v>
          </cell>
          <cell r="D263">
            <v>22.25</v>
          </cell>
          <cell r="E263">
            <v>23.35</v>
          </cell>
          <cell r="F263">
            <v>17.63</v>
          </cell>
        </row>
        <row r="264">
          <cell r="A264" t="str">
            <v>23810</v>
          </cell>
          <cell r="B264" t="str">
            <v>Plumber, Maintenance</v>
          </cell>
          <cell r="C264">
            <v>19.84</v>
          </cell>
          <cell r="D264">
            <v>21.05</v>
          </cell>
          <cell r="E264">
            <v>22.09</v>
          </cell>
          <cell r="F264">
            <v>16.55</v>
          </cell>
        </row>
        <row r="265">
          <cell r="A265" t="str">
            <v>23820</v>
          </cell>
          <cell r="B265" t="str">
            <v>Pneudraulic Systems Mechanic</v>
          </cell>
          <cell r="C265">
            <v>20.51</v>
          </cell>
          <cell r="D265">
            <v>20.64</v>
          </cell>
          <cell r="E265">
            <v>22.35</v>
          </cell>
          <cell r="F265">
            <v>19.43</v>
          </cell>
        </row>
        <row r="266">
          <cell r="A266" t="str">
            <v>23850</v>
          </cell>
          <cell r="B266" t="str">
            <v>Rigger</v>
          </cell>
          <cell r="C266">
            <v>20.51</v>
          </cell>
          <cell r="D266">
            <v>20.64</v>
          </cell>
          <cell r="E266">
            <v>22.59</v>
          </cell>
          <cell r="F266">
            <v>18.66</v>
          </cell>
        </row>
        <row r="267">
          <cell r="A267" t="str">
            <v>23870</v>
          </cell>
          <cell r="B267" t="str">
            <v>Scale Mechanic</v>
          </cell>
          <cell r="C267">
            <v>18.02</v>
          </cell>
          <cell r="D267">
            <v>18.38</v>
          </cell>
          <cell r="E267">
            <v>19.86</v>
          </cell>
          <cell r="F267">
            <v>16.73</v>
          </cell>
        </row>
        <row r="268">
          <cell r="A268" t="str">
            <v>23890</v>
          </cell>
          <cell r="B268" t="str">
            <v>Sheet-Metal Worker, Maintenance</v>
          </cell>
          <cell r="C268">
            <v>18.100000000000001</v>
          </cell>
          <cell r="D268">
            <v>18.399999999999999</v>
          </cell>
          <cell r="E268">
            <v>18.559999999999999</v>
          </cell>
          <cell r="F268">
            <v>18.91</v>
          </cell>
        </row>
        <row r="269">
          <cell r="A269" t="str">
            <v>23910</v>
          </cell>
          <cell r="B269" t="str">
            <v>Small Engine Mechanic</v>
          </cell>
          <cell r="C269">
            <v>18.02</v>
          </cell>
          <cell r="D269">
            <v>18.38</v>
          </cell>
          <cell r="E269">
            <v>17.34</v>
          </cell>
          <cell r="F269">
            <v>16.73</v>
          </cell>
        </row>
        <row r="270">
          <cell r="A270" t="str">
            <v>23931</v>
          </cell>
          <cell r="B270" t="str">
            <v>Telecommunications Mechanic I</v>
          </cell>
          <cell r="C270">
            <v>26.38</v>
          </cell>
          <cell r="D270">
            <v>25.03</v>
          </cell>
          <cell r="E270">
            <v>25.42</v>
          </cell>
          <cell r="F270">
            <v>23.02</v>
          </cell>
        </row>
        <row r="271">
          <cell r="A271" t="str">
            <v>23932</v>
          </cell>
          <cell r="B271" t="str">
            <v>Telecommunications Mechanic II</v>
          </cell>
          <cell r="C271">
            <v>32.26</v>
          </cell>
          <cell r="D271">
            <v>26.33</v>
          </cell>
          <cell r="E271">
            <v>26.93</v>
          </cell>
          <cell r="F271">
            <v>24.35</v>
          </cell>
        </row>
        <row r="272">
          <cell r="A272" t="str">
            <v>23950</v>
          </cell>
          <cell r="B272" t="str">
            <v>Telephone Lineman</v>
          </cell>
          <cell r="C272">
            <v>23.56</v>
          </cell>
          <cell r="D272">
            <v>21.89</v>
          </cell>
          <cell r="E272">
            <v>23.6</v>
          </cell>
          <cell r="F272">
            <v>23.57</v>
          </cell>
        </row>
        <row r="273">
          <cell r="A273" t="str">
            <v>23960</v>
          </cell>
          <cell r="B273" t="str">
            <v>Welder, Combination, Maintenanc</v>
          </cell>
          <cell r="C273">
            <v>19.899999999999999</v>
          </cell>
          <cell r="D273">
            <v>20.239999999999998</v>
          </cell>
          <cell r="E273">
            <v>19.84</v>
          </cell>
          <cell r="F273">
            <v>18.66</v>
          </cell>
        </row>
        <row r="274">
          <cell r="A274" t="str">
            <v>23965</v>
          </cell>
          <cell r="B274" t="str">
            <v>Well Driller</v>
          </cell>
          <cell r="C274">
            <v>20.51</v>
          </cell>
          <cell r="D274">
            <v>20.64</v>
          </cell>
          <cell r="E274">
            <v>21.04</v>
          </cell>
          <cell r="F274">
            <v>20.13</v>
          </cell>
        </row>
        <row r="275">
          <cell r="A275" t="str">
            <v>23970</v>
          </cell>
          <cell r="B275" t="str">
            <v>Woodcraft Worker</v>
          </cell>
          <cell r="C275">
            <v>20.51</v>
          </cell>
          <cell r="D275">
            <v>20.64</v>
          </cell>
          <cell r="E275">
            <v>22.35</v>
          </cell>
          <cell r="F275">
            <v>19.43</v>
          </cell>
        </row>
        <row r="276">
          <cell r="A276" t="str">
            <v>23980</v>
          </cell>
          <cell r="B276" t="str">
            <v>Woodworker</v>
          </cell>
          <cell r="C276">
            <v>15.51</v>
          </cell>
          <cell r="D276">
            <v>16.29</v>
          </cell>
          <cell r="E276">
            <v>17.260000000000002</v>
          </cell>
          <cell r="F276">
            <v>14.01</v>
          </cell>
        </row>
        <row r="277">
          <cell r="A277" t="str">
            <v>24000 -</v>
          </cell>
          <cell r="B277" t="str">
            <v>ersonal Needs Occupations</v>
          </cell>
        </row>
        <row r="278">
          <cell r="A278" t="str">
            <v>24550</v>
          </cell>
          <cell r="B278" t="str">
            <v>Case Manager</v>
          </cell>
          <cell r="C278">
            <v>15.15</v>
          </cell>
          <cell r="D278">
            <v>15.77</v>
          </cell>
          <cell r="E278">
            <v>13.78</v>
          </cell>
          <cell r="F278">
            <v>14.65</v>
          </cell>
        </row>
        <row r="279">
          <cell r="A279" t="str">
            <v>24570</v>
          </cell>
          <cell r="B279" t="str">
            <v>Child Care Attendant</v>
          </cell>
          <cell r="C279">
            <v>9.49</v>
          </cell>
          <cell r="D279">
            <v>11.68</v>
          </cell>
          <cell r="E279">
            <v>9.4</v>
          </cell>
          <cell r="F279">
            <v>8.8800000000000008</v>
          </cell>
        </row>
        <row r="280">
          <cell r="A280" t="str">
            <v>24580</v>
          </cell>
          <cell r="B280" t="str">
            <v>Child Care Center Clerk</v>
          </cell>
          <cell r="C280">
            <v>11.84</v>
          </cell>
          <cell r="D280">
            <v>14.58</v>
          </cell>
          <cell r="E280">
            <v>14.74</v>
          </cell>
          <cell r="F280">
            <v>11.07</v>
          </cell>
        </row>
        <row r="281">
          <cell r="A281" t="str">
            <v>24610</v>
          </cell>
          <cell r="B281" t="str">
            <v>Chore Aide</v>
          </cell>
          <cell r="C281">
            <v>8.89</v>
          </cell>
          <cell r="D281">
            <v>9.59</v>
          </cell>
          <cell r="E281">
            <v>10.57</v>
          </cell>
          <cell r="F281">
            <v>8.67</v>
          </cell>
        </row>
        <row r="282">
          <cell r="A282" t="str">
            <v>24620</v>
          </cell>
          <cell r="B282" t="str">
            <v>Family Readiness And Support Se</v>
          </cell>
          <cell r="C282">
            <v>15.15</v>
          </cell>
          <cell r="D282">
            <v>15.77</v>
          </cell>
          <cell r="E282">
            <v>13.78</v>
          </cell>
          <cell r="F282">
            <v>14.65</v>
          </cell>
        </row>
        <row r="283">
          <cell r="A283" t="str">
            <v>Coord</v>
          </cell>
          <cell r="B283" t="str">
            <v>ator</v>
          </cell>
        </row>
        <row r="284">
          <cell r="A284" t="str">
            <v>24630</v>
          </cell>
          <cell r="B284" t="str">
            <v>Homemaker</v>
          </cell>
          <cell r="C284">
            <v>15.15</v>
          </cell>
          <cell r="D284">
            <v>16.2</v>
          </cell>
          <cell r="E284">
            <v>15</v>
          </cell>
          <cell r="F284">
            <v>14.65</v>
          </cell>
        </row>
        <row r="285">
          <cell r="A285" t="str">
            <v>25000 -</v>
          </cell>
          <cell r="B285" t="str">
            <v>lant And System Operations Occup</v>
          </cell>
        </row>
        <row r="286">
          <cell r="A286" t="str">
            <v>25010</v>
          </cell>
          <cell r="B286" t="str">
            <v>Boiler Tender</v>
          </cell>
          <cell r="C286">
            <v>20.51</v>
          </cell>
          <cell r="D286">
            <v>20.64</v>
          </cell>
          <cell r="E286">
            <v>22.35</v>
          </cell>
          <cell r="F286">
            <v>19.71</v>
          </cell>
        </row>
        <row r="287">
          <cell r="A287" t="str">
            <v>25040</v>
          </cell>
          <cell r="B287" t="str">
            <v>Sewage Plant Operator</v>
          </cell>
          <cell r="C287">
            <v>15.7</v>
          </cell>
          <cell r="D287">
            <v>21.65</v>
          </cell>
          <cell r="E287">
            <v>18.7</v>
          </cell>
          <cell r="F287">
            <v>17.23</v>
          </cell>
        </row>
        <row r="288">
          <cell r="A288" t="str">
            <v>25070</v>
          </cell>
          <cell r="B288" t="str">
            <v>Stationary Engineer</v>
          </cell>
          <cell r="C288">
            <v>20.51</v>
          </cell>
          <cell r="D288">
            <v>20.69</v>
          </cell>
          <cell r="E288">
            <v>22.35</v>
          </cell>
          <cell r="F288">
            <v>19.61</v>
          </cell>
        </row>
        <row r="289">
          <cell r="A289" t="str">
            <v>25190</v>
          </cell>
          <cell r="B289" t="str">
            <v>Ventilation Equipment Tender</v>
          </cell>
          <cell r="C289">
            <v>14.27</v>
          </cell>
          <cell r="D289">
            <v>15.17</v>
          </cell>
          <cell r="E289">
            <v>15.98</v>
          </cell>
          <cell r="F289">
            <v>13.84</v>
          </cell>
        </row>
        <row r="290">
          <cell r="A290" t="str">
            <v>25210</v>
          </cell>
          <cell r="B290" t="str">
            <v>Water Treatment Plant Operator</v>
          </cell>
          <cell r="C290">
            <v>15.7</v>
          </cell>
          <cell r="D290">
            <v>21.65</v>
          </cell>
          <cell r="E290">
            <v>18.7</v>
          </cell>
          <cell r="F290">
            <v>17.23</v>
          </cell>
        </row>
        <row r="291">
          <cell r="A291" t="str">
            <v>27000 -</v>
          </cell>
          <cell r="B291" t="str">
            <v>rotective Service Occupations</v>
          </cell>
        </row>
        <row r="292">
          <cell r="A292" t="str">
            <v>27004</v>
          </cell>
          <cell r="B292" t="str">
            <v>Alarm Monitor</v>
          </cell>
          <cell r="C292">
            <v>15.96</v>
          </cell>
          <cell r="D292">
            <v>17.010000000000002</v>
          </cell>
          <cell r="E292">
            <v>14.8</v>
          </cell>
          <cell r="F292">
            <v>17.600000000000001</v>
          </cell>
        </row>
        <row r="293">
          <cell r="A293" t="str">
            <v>27007</v>
          </cell>
          <cell r="B293" t="str">
            <v>Baggage Inspector</v>
          </cell>
          <cell r="C293">
            <v>14.62</v>
          </cell>
          <cell r="D293">
            <v>16.059999999999999</v>
          </cell>
          <cell r="E293">
            <v>12.75</v>
          </cell>
          <cell r="F293">
            <v>11.59</v>
          </cell>
        </row>
        <row r="294">
          <cell r="A294" t="str">
            <v>27008</v>
          </cell>
          <cell r="B294" t="str">
            <v>Corrections Officer</v>
          </cell>
          <cell r="C294">
            <v>19.829999999999998</v>
          </cell>
          <cell r="D294">
            <v>15.5</v>
          </cell>
          <cell r="E294">
            <v>16.170000000000002</v>
          </cell>
          <cell r="F294">
            <v>21.59</v>
          </cell>
        </row>
        <row r="295">
          <cell r="A295" t="str">
            <v>27010</v>
          </cell>
          <cell r="B295" t="str">
            <v>Court Security Officer</v>
          </cell>
          <cell r="C295">
            <v>20.83</v>
          </cell>
          <cell r="D295">
            <v>16.559999999999999</v>
          </cell>
          <cell r="E295">
            <v>17.52</v>
          </cell>
          <cell r="F295">
            <v>21.59</v>
          </cell>
        </row>
        <row r="296">
          <cell r="A296" t="str">
            <v>27030</v>
          </cell>
          <cell r="B296" t="str">
            <v>Detection Dog Handler</v>
          </cell>
          <cell r="C296">
            <v>17.48</v>
          </cell>
          <cell r="D296">
            <v>17.97</v>
          </cell>
          <cell r="E296">
            <v>14.33</v>
          </cell>
          <cell r="F296">
            <v>14.84</v>
          </cell>
        </row>
        <row r="297">
          <cell r="A297" t="str">
            <v>27040</v>
          </cell>
          <cell r="B297" t="str">
            <v>Detention Officer</v>
          </cell>
          <cell r="C297">
            <v>19.829999999999998</v>
          </cell>
          <cell r="D297">
            <v>15.5</v>
          </cell>
          <cell r="E297">
            <v>16.170000000000002</v>
          </cell>
          <cell r="F297">
            <v>21.59</v>
          </cell>
        </row>
        <row r="298">
          <cell r="A298" t="str">
            <v>27070</v>
          </cell>
          <cell r="B298" t="str">
            <v>Firefighter</v>
          </cell>
          <cell r="C298">
            <v>20.7</v>
          </cell>
          <cell r="D298">
            <v>15.64</v>
          </cell>
          <cell r="E298">
            <v>18.04</v>
          </cell>
          <cell r="F298">
            <v>21.81</v>
          </cell>
        </row>
        <row r="299">
          <cell r="A299" t="str">
            <v>27101</v>
          </cell>
          <cell r="B299" t="str">
            <v>Guard I</v>
          </cell>
          <cell r="C299">
            <v>14.62</v>
          </cell>
          <cell r="D299">
            <v>16.059999999999999</v>
          </cell>
          <cell r="E299">
            <v>12.75</v>
          </cell>
          <cell r="F299">
            <v>11.59</v>
          </cell>
        </row>
        <row r="300">
          <cell r="A300" t="str">
            <v>27102</v>
          </cell>
          <cell r="B300" t="str">
            <v>Guard II</v>
          </cell>
          <cell r="C300">
            <v>17.48</v>
          </cell>
          <cell r="D300">
            <v>17.97</v>
          </cell>
          <cell r="E300">
            <v>14.33</v>
          </cell>
          <cell r="F300">
            <v>14.84</v>
          </cell>
        </row>
        <row r="301">
          <cell r="A301" t="str">
            <v>27131</v>
          </cell>
          <cell r="B301" t="str">
            <v>Police Officer I</v>
          </cell>
          <cell r="C301">
            <v>23.52</v>
          </cell>
          <cell r="D301">
            <v>19.72</v>
          </cell>
          <cell r="E301">
            <v>19.899999999999999</v>
          </cell>
          <cell r="F301">
            <v>28.5</v>
          </cell>
        </row>
        <row r="302">
          <cell r="A302" t="str">
            <v>27132</v>
          </cell>
          <cell r="B302" t="str">
            <v>Police Officer II</v>
          </cell>
          <cell r="C302">
            <v>26.13</v>
          </cell>
          <cell r="D302">
            <v>21.91</v>
          </cell>
          <cell r="E302">
            <v>22.11</v>
          </cell>
          <cell r="F302">
            <v>31.66</v>
          </cell>
        </row>
        <row r="303">
          <cell r="A303" t="str">
            <v>28000 -</v>
          </cell>
          <cell r="B303" t="str">
            <v>ecreation Occupations</v>
          </cell>
        </row>
        <row r="304">
          <cell r="A304" t="str">
            <v>28041</v>
          </cell>
          <cell r="B304" t="str">
            <v>Carnival Equipment Operator</v>
          </cell>
          <cell r="C304">
            <v>12.62</v>
          </cell>
          <cell r="D304">
            <v>11.58</v>
          </cell>
          <cell r="E304">
            <v>12.18</v>
          </cell>
          <cell r="F304">
            <v>13.32</v>
          </cell>
        </row>
        <row r="305">
          <cell r="A305" t="str">
            <v>28042</v>
          </cell>
          <cell r="B305" t="str">
            <v>Carnival Equipment Repairer</v>
          </cell>
          <cell r="C305">
            <v>13.7</v>
          </cell>
          <cell r="D305">
            <v>12.44</v>
          </cell>
          <cell r="E305">
            <v>13.15</v>
          </cell>
          <cell r="F305">
            <v>14.79</v>
          </cell>
        </row>
        <row r="306">
          <cell r="A306" t="str">
            <v>28043</v>
          </cell>
          <cell r="B306" t="str">
            <v>Carnival Worker</v>
          </cell>
          <cell r="C306">
            <v>9.2100000000000009</v>
          </cell>
          <cell r="D306">
            <v>9.11</v>
          </cell>
          <cell r="E306">
            <v>9.25</v>
          </cell>
          <cell r="F306">
            <v>9.3000000000000007</v>
          </cell>
        </row>
        <row r="307">
          <cell r="A307" t="str">
            <v>28210</v>
          </cell>
          <cell r="B307" t="str">
            <v>Gate Attendant/Gate Tender</v>
          </cell>
          <cell r="C307">
            <v>12.73</v>
          </cell>
          <cell r="D307">
            <v>15.11</v>
          </cell>
          <cell r="E307">
            <v>14</v>
          </cell>
          <cell r="F307">
            <v>13.92</v>
          </cell>
        </row>
        <row r="308">
          <cell r="A308" t="str">
            <v>28310</v>
          </cell>
          <cell r="B308" t="str">
            <v>Lifeguard</v>
          </cell>
          <cell r="C308">
            <v>11.34</v>
          </cell>
          <cell r="D308">
            <v>13.46</v>
          </cell>
          <cell r="E308">
            <v>11.01</v>
          </cell>
          <cell r="F308">
            <v>11.9</v>
          </cell>
        </row>
        <row r="309">
          <cell r="A309" t="str">
            <v>28350</v>
          </cell>
          <cell r="B309" t="str">
            <v>Park Attendant (Aide)</v>
          </cell>
          <cell r="C309">
            <v>14.24</v>
          </cell>
          <cell r="D309">
            <v>16.91</v>
          </cell>
          <cell r="E309">
            <v>15.66</v>
          </cell>
          <cell r="F309">
            <v>15.58</v>
          </cell>
        </row>
        <row r="310">
          <cell r="A310" t="str">
            <v>28510</v>
          </cell>
          <cell r="B310" t="str">
            <v>Recreation Aide/Health Facility</v>
          </cell>
          <cell r="C310">
            <v>10.09</v>
          </cell>
          <cell r="D310">
            <v>12.34</v>
          </cell>
          <cell r="E310">
            <v>11.1</v>
          </cell>
          <cell r="F310">
            <v>11.37</v>
          </cell>
        </row>
        <row r="311">
          <cell r="A311" t="str">
            <v>28515</v>
          </cell>
          <cell r="B311" t="str">
            <v>Recreation Specialist</v>
          </cell>
          <cell r="C311">
            <v>16.02</v>
          </cell>
          <cell r="D311">
            <v>19.95</v>
          </cell>
          <cell r="E311">
            <v>17.89</v>
          </cell>
          <cell r="F311">
            <v>18.77</v>
          </cell>
        </row>
        <row r="312">
          <cell r="A312" t="str">
            <v>28630</v>
          </cell>
          <cell r="B312" t="str">
            <v>Sports Official</v>
          </cell>
          <cell r="C312">
            <v>11.34</v>
          </cell>
          <cell r="D312">
            <v>13.46</v>
          </cell>
          <cell r="E312">
            <v>12.47</v>
          </cell>
          <cell r="F312">
            <v>12.4</v>
          </cell>
        </row>
        <row r="313">
          <cell r="A313" t="str">
            <v>28690</v>
          </cell>
          <cell r="B313" t="str">
            <v>Swimming Pool Operator</v>
          </cell>
          <cell r="C313">
            <v>15.91</v>
          </cell>
          <cell r="D313">
            <v>18.940000000000001</v>
          </cell>
          <cell r="E313">
            <v>15.14</v>
          </cell>
          <cell r="F313">
            <v>17.670000000000002</v>
          </cell>
        </row>
        <row r="314">
          <cell r="A314" t="str">
            <v>29000 -</v>
          </cell>
          <cell r="B314" t="str">
            <v>tevedoring/Longshoremen Occupati</v>
          </cell>
        </row>
        <row r="315">
          <cell r="A315" t="str">
            <v>29010</v>
          </cell>
          <cell r="B315" t="str">
            <v>Blocker And Bracer</v>
          </cell>
          <cell r="C315">
            <v>18.559999999999999</v>
          </cell>
          <cell r="D315">
            <v>18.38</v>
          </cell>
          <cell r="E315">
            <v>23.01</v>
          </cell>
          <cell r="F315">
            <v>17.29</v>
          </cell>
        </row>
        <row r="316">
          <cell r="A316" t="str">
            <v>29020</v>
          </cell>
          <cell r="B316" t="str">
            <v>Hatch Tender</v>
          </cell>
          <cell r="C316">
            <v>18.32</v>
          </cell>
          <cell r="D316">
            <v>18.38</v>
          </cell>
          <cell r="E316">
            <v>23.01</v>
          </cell>
          <cell r="F316">
            <v>17.29</v>
          </cell>
        </row>
        <row r="317">
          <cell r="A317" t="str">
            <v>29030</v>
          </cell>
          <cell r="B317" t="str">
            <v>Line Handler</v>
          </cell>
          <cell r="C317">
            <v>18.32</v>
          </cell>
          <cell r="D317">
            <v>18.38</v>
          </cell>
          <cell r="E317">
            <v>23.01</v>
          </cell>
          <cell r="F317">
            <v>17.29</v>
          </cell>
        </row>
        <row r="318">
          <cell r="A318" t="str">
            <v>29041</v>
          </cell>
          <cell r="B318" t="str">
            <v>Stevedore I</v>
          </cell>
          <cell r="C318">
            <v>17.149999999999999</v>
          </cell>
          <cell r="D318">
            <v>17.32</v>
          </cell>
          <cell r="E318">
            <v>21.45</v>
          </cell>
          <cell r="F318">
            <v>16.12</v>
          </cell>
        </row>
        <row r="319">
          <cell r="A319" t="str">
            <v>29042</v>
          </cell>
          <cell r="B319" t="str">
            <v>Stevedore II</v>
          </cell>
          <cell r="C319">
            <v>19.71</v>
          </cell>
          <cell r="D319">
            <v>19.53</v>
          </cell>
          <cell r="E319">
            <v>24.46</v>
          </cell>
          <cell r="F319">
            <v>18.98</v>
          </cell>
        </row>
        <row r="320">
          <cell r="A320" t="str">
            <v>30000 -</v>
          </cell>
          <cell r="B320" t="str">
            <v>echnical Occupations</v>
          </cell>
        </row>
        <row r="321">
          <cell r="A321" t="str">
            <v>30010</v>
          </cell>
          <cell r="B321" t="str">
            <v>Air Traffic Control Specialist,</v>
          </cell>
          <cell r="C321">
            <v>38.15</v>
          </cell>
          <cell r="D321">
            <v>39.520000000000003</v>
          </cell>
          <cell r="E321">
            <v>38.15</v>
          </cell>
          <cell r="F321">
            <v>38.15</v>
          </cell>
        </row>
        <row r="322">
          <cell r="A322" t="str">
            <v>30011</v>
          </cell>
          <cell r="B322" t="str">
            <v>Air Traffic Control Specialist,</v>
          </cell>
          <cell r="C322">
            <v>26.3</v>
          </cell>
          <cell r="D322">
            <v>27.25</v>
          </cell>
          <cell r="E322">
            <v>26.3</v>
          </cell>
          <cell r="F322">
            <v>26.3</v>
          </cell>
        </row>
        <row r="323">
          <cell r="A323" t="str">
            <v>30012</v>
          </cell>
          <cell r="B323" t="str">
            <v>Air Traffic Control Specialist,</v>
          </cell>
          <cell r="C323">
            <v>28.97</v>
          </cell>
          <cell r="D323">
            <v>30.01</v>
          </cell>
          <cell r="E323">
            <v>28.97</v>
          </cell>
          <cell r="F323">
            <v>28.97</v>
          </cell>
        </row>
        <row r="324">
          <cell r="A324" t="str">
            <v>30021</v>
          </cell>
          <cell r="B324" t="str">
            <v>Archeological Technician I</v>
          </cell>
          <cell r="C324">
            <v>17.739999999999998</v>
          </cell>
          <cell r="D324">
            <v>18.28</v>
          </cell>
          <cell r="E324">
            <v>16.95</v>
          </cell>
          <cell r="F324">
            <v>18.13</v>
          </cell>
        </row>
        <row r="325">
          <cell r="A325" t="str">
            <v>30022</v>
          </cell>
          <cell r="B325" t="str">
            <v>Archeological Technician II</v>
          </cell>
          <cell r="C325">
            <v>19.850000000000001</v>
          </cell>
          <cell r="D325">
            <v>20.53</v>
          </cell>
          <cell r="E325">
            <v>18.579999999999998</v>
          </cell>
          <cell r="F325">
            <v>20.27</v>
          </cell>
        </row>
        <row r="326">
          <cell r="A326" t="str">
            <v>30023</v>
          </cell>
          <cell r="B326" t="str">
            <v>Archeological Technician III</v>
          </cell>
          <cell r="C326">
            <v>24.59</v>
          </cell>
          <cell r="D326">
            <v>25.8</v>
          </cell>
          <cell r="E326">
            <v>22.82</v>
          </cell>
          <cell r="F326">
            <v>25.11</v>
          </cell>
        </row>
        <row r="327">
          <cell r="A327" t="str">
            <v>30030</v>
          </cell>
          <cell r="B327" t="str">
            <v>Cartographic Technician</v>
          </cell>
          <cell r="C327">
            <v>24.59</v>
          </cell>
          <cell r="D327">
            <v>25.8</v>
          </cell>
          <cell r="E327">
            <v>22.84</v>
          </cell>
          <cell r="F327">
            <v>25.12</v>
          </cell>
        </row>
        <row r="328">
          <cell r="A328" t="str">
            <v>30040</v>
          </cell>
          <cell r="B328" t="str">
            <v>Civil Engineering Technician</v>
          </cell>
          <cell r="C328">
            <v>21.12</v>
          </cell>
          <cell r="D328">
            <v>23.6</v>
          </cell>
          <cell r="E328">
            <v>27.15</v>
          </cell>
          <cell r="F328">
            <v>21.08</v>
          </cell>
        </row>
        <row r="329">
          <cell r="A329" t="str">
            <v>30051</v>
          </cell>
          <cell r="B329" t="str">
            <v>Cryogenic Technician I</v>
          </cell>
          <cell r="C329">
            <v>27.23</v>
          </cell>
          <cell r="D329">
            <v>28.57</v>
          </cell>
          <cell r="E329">
            <v>25.27</v>
          </cell>
          <cell r="F329">
            <v>24.4</v>
          </cell>
        </row>
        <row r="330">
          <cell r="A330" t="str">
            <v>30052</v>
          </cell>
          <cell r="B330" t="str">
            <v>Cryogenic Technician II</v>
          </cell>
          <cell r="C330">
            <v>30.07</v>
          </cell>
          <cell r="D330">
            <v>31.56</v>
          </cell>
          <cell r="E330">
            <v>26.53</v>
          </cell>
          <cell r="F330">
            <v>26.95</v>
          </cell>
        </row>
        <row r="331">
          <cell r="A331" t="str">
            <v>30061</v>
          </cell>
          <cell r="B331" t="str">
            <v>Drafter/CAD Operator I</v>
          </cell>
          <cell r="C331">
            <v>17.739999999999998</v>
          </cell>
          <cell r="D331">
            <v>18.28</v>
          </cell>
          <cell r="E331">
            <v>16.95</v>
          </cell>
          <cell r="F331">
            <v>15.9</v>
          </cell>
        </row>
        <row r="332">
          <cell r="A332" t="str">
            <v>30062</v>
          </cell>
          <cell r="B332" t="str">
            <v>Drafter/CAD Operator II</v>
          </cell>
          <cell r="C332">
            <v>19.850000000000001</v>
          </cell>
          <cell r="D332">
            <v>20.53</v>
          </cell>
          <cell r="E332">
            <v>18.579999999999998</v>
          </cell>
          <cell r="F332">
            <v>16.809999999999999</v>
          </cell>
        </row>
        <row r="333">
          <cell r="A333" t="str">
            <v>30063</v>
          </cell>
          <cell r="B333" t="str">
            <v>Drafter/CAD Operator III</v>
          </cell>
          <cell r="C333">
            <v>22.13</v>
          </cell>
          <cell r="D333">
            <v>22.97</v>
          </cell>
          <cell r="E333">
            <v>20.54</v>
          </cell>
          <cell r="F333">
            <v>19.989999999999998</v>
          </cell>
        </row>
        <row r="334">
          <cell r="A334" t="str">
            <v>30064</v>
          </cell>
          <cell r="B334" t="str">
            <v>Drafter/CAD Operator IV</v>
          </cell>
          <cell r="C334">
            <v>27.23</v>
          </cell>
          <cell r="D334">
            <v>27.72</v>
          </cell>
          <cell r="E334">
            <v>25.27</v>
          </cell>
          <cell r="F334">
            <v>26.25</v>
          </cell>
        </row>
        <row r="335">
          <cell r="A335" t="str">
            <v>30081</v>
          </cell>
          <cell r="B335" t="str">
            <v>Engineering Technician I</v>
          </cell>
          <cell r="C335">
            <v>14.99</v>
          </cell>
          <cell r="D335">
            <v>15.07</v>
          </cell>
          <cell r="E335">
            <v>14.83</v>
          </cell>
          <cell r="F335">
            <v>15.71</v>
          </cell>
        </row>
        <row r="336">
          <cell r="A336" t="str">
            <v>30082</v>
          </cell>
          <cell r="B336" t="str">
            <v>Engineering Technician II</v>
          </cell>
          <cell r="C336">
            <v>18.07</v>
          </cell>
          <cell r="D336">
            <v>16.920000000000002</v>
          </cell>
          <cell r="E336">
            <v>16.64</v>
          </cell>
          <cell r="F336">
            <v>17.63</v>
          </cell>
        </row>
        <row r="337">
          <cell r="A337" t="str">
            <v>30083</v>
          </cell>
          <cell r="B337" t="str">
            <v>Engineering Technician III</v>
          </cell>
          <cell r="C337">
            <v>20.239999999999998</v>
          </cell>
          <cell r="D337">
            <v>18.93</v>
          </cell>
          <cell r="E337">
            <v>18.61</v>
          </cell>
          <cell r="F337">
            <v>20.27</v>
          </cell>
        </row>
        <row r="338">
          <cell r="A338" t="str">
            <v>30084</v>
          </cell>
          <cell r="B338" t="str">
            <v>Engineering Technician IV</v>
          </cell>
          <cell r="C338">
            <v>26.53</v>
          </cell>
          <cell r="D338">
            <v>23.45</v>
          </cell>
          <cell r="E338">
            <v>23.07</v>
          </cell>
          <cell r="F338">
            <v>24.96</v>
          </cell>
        </row>
        <row r="339">
          <cell r="A339" t="str">
            <v>30085</v>
          </cell>
          <cell r="B339" t="str">
            <v>Engineering Technician V</v>
          </cell>
          <cell r="C339">
            <v>31.84</v>
          </cell>
          <cell r="D339">
            <v>28.69</v>
          </cell>
          <cell r="E339">
            <v>28.22</v>
          </cell>
          <cell r="F339">
            <v>29.9</v>
          </cell>
        </row>
        <row r="340">
          <cell r="A340" t="str">
            <v>30086</v>
          </cell>
          <cell r="B340" t="str">
            <v>Engineering Technician VI</v>
          </cell>
          <cell r="C340">
            <v>36.700000000000003</v>
          </cell>
          <cell r="D340">
            <v>34.700000000000003</v>
          </cell>
          <cell r="E340">
            <v>34.14</v>
          </cell>
          <cell r="F340">
            <v>36.17</v>
          </cell>
        </row>
        <row r="341">
          <cell r="A341" t="str">
            <v>30090</v>
          </cell>
          <cell r="B341" t="str">
            <v>Environmental Technician</v>
          </cell>
          <cell r="C341">
            <v>23.72</v>
          </cell>
          <cell r="D341">
            <v>23.87</v>
          </cell>
          <cell r="E341">
            <v>23.49</v>
          </cell>
          <cell r="F341">
            <v>20.89</v>
          </cell>
        </row>
        <row r="342">
          <cell r="A342" t="str">
            <v>30095</v>
          </cell>
          <cell r="B342" t="str">
            <v>Evidence Control Specialist</v>
          </cell>
          <cell r="C342">
            <v>24.59</v>
          </cell>
          <cell r="D342">
            <v>25.8</v>
          </cell>
          <cell r="E342">
            <v>21.69</v>
          </cell>
          <cell r="F342">
            <v>22.02</v>
          </cell>
        </row>
        <row r="343">
          <cell r="A343" t="str">
            <v>30210</v>
          </cell>
          <cell r="B343" t="str">
            <v>Laboratory Technician</v>
          </cell>
          <cell r="C343">
            <v>22.13</v>
          </cell>
          <cell r="D343">
            <v>24.67</v>
          </cell>
          <cell r="E343">
            <v>22.71</v>
          </cell>
          <cell r="F343">
            <v>19.91</v>
          </cell>
        </row>
        <row r="344">
          <cell r="A344" t="str">
            <v>30221</v>
          </cell>
          <cell r="B344" t="str">
            <v>Latent Fingerprint Technician I</v>
          </cell>
          <cell r="C344">
            <v>27.23</v>
          </cell>
          <cell r="D344">
            <v>25.97</v>
          </cell>
          <cell r="E344">
            <v>23.25</v>
          </cell>
          <cell r="F344">
            <v>21</v>
          </cell>
        </row>
        <row r="345">
          <cell r="A345" t="str">
            <v>30222</v>
          </cell>
          <cell r="B345" t="str">
            <v>Latent Fingerprint Technician I</v>
          </cell>
          <cell r="C345">
            <v>30.07</v>
          </cell>
          <cell r="D345">
            <v>28.69</v>
          </cell>
          <cell r="E345">
            <v>25.63</v>
          </cell>
          <cell r="F345">
            <v>23.19</v>
          </cell>
        </row>
        <row r="346">
          <cell r="A346" t="str">
            <v>30240</v>
          </cell>
          <cell r="B346" t="str">
            <v>Mathematical Technician</v>
          </cell>
          <cell r="C346">
            <v>24.59</v>
          </cell>
          <cell r="D346">
            <v>25.8</v>
          </cell>
          <cell r="E346">
            <v>23.81</v>
          </cell>
          <cell r="F346">
            <v>24.9</v>
          </cell>
        </row>
        <row r="347">
          <cell r="A347" t="str">
            <v>30361</v>
          </cell>
          <cell r="B347" t="str">
            <v>Paralegal/Legal Assistant I</v>
          </cell>
          <cell r="C347">
            <v>19.559999999999999</v>
          </cell>
          <cell r="D347">
            <v>17.920000000000002</v>
          </cell>
          <cell r="E347">
            <v>16.559999999999999</v>
          </cell>
          <cell r="F347">
            <v>16.54</v>
          </cell>
        </row>
        <row r="348">
          <cell r="A348" t="str">
            <v>30362</v>
          </cell>
          <cell r="B348" t="str">
            <v>Paralegal/Legal Assistant II</v>
          </cell>
          <cell r="C348">
            <v>24.23</v>
          </cell>
          <cell r="D348">
            <v>22.19</v>
          </cell>
          <cell r="E348">
            <v>20.51</v>
          </cell>
          <cell r="F348">
            <v>20.49</v>
          </cell>
        </row>
        <row r="349">
          <cell r="A349" t="str">
            <v>30363</v>
          </cell>
          <cell r="B349" t="str">
            <v>Paralegal/Legal Assistant III</v>
          </cell>
          <cell r="C349">
            <v>29.63</v>
          </cell>
          <cell r="D349">
            <v>27.15</v>
          </cell>
          <cell r="E349">
            <v>24.98</v>
          </cell>
          <cell r="F349">
            <v>25.07</v>
          </cell>
        </row>
        <row r="350">
          <cell r="A350" t="str">
            <v>30364</v>
          </cell>
          <cell r="B350" t="str">
            <v>Paralegal/Legal Assistant IV</v>
          </cell>
          <cell r="C350">
            <v>35.86</v>
          </cell>
          <cell r="D350">
            <v>32.840000000000003</v>
          </cell>
          <cell r="E350">
            <v>32.35</v>
          </cell>
          <cell r="F350">
            <v>30.33</v>
          </cell>
        </row>
        <row r="351">
          <cell r="A351" t="str">
            <v>30375</v>
          </cell>
          <cell r="B351" t="str">
            <v>Petroleum Supply Specialist</v>
          </cell>
          <cell r="C351">
            <v>30.07</v>
          </cell>
          <cell r="D351">
            <v>31.56</v>
          </cell>
          <cell r="E351">
            <v>26.53</v>
          </cell>
          <cell r="F351">
            <v>26.95</v>
          </cell>
        </row>
        <row r="352">
          <cell r="A352" t="str">
            <v>30390</v>
          </cell>
          <cell r="B352" t="str">
            <v>Photo-Optics Technician</v>
          </cell>
          <cell r="C352">
            <v>24.59</v>
          </cell>
          <cell r="D352">
            <v>25.8</v>
          </cell>
          <cell r="E352">
            <v>25.12</v>
          </cell>
          <cell r="F352">
            <v>22.9</v>
          </cell>
        </row>
        <row r="353">
          <cell r="A353" t="str">
            <v>30395</v>
          </cell>
          <cell r="B353" t="str">
            <v>Radiation Control Technician</v>
          </cell>
          <cell r="C353">
            <v>30.07</v>
          </cell>
          <cell r="D353">
            <v>31.56</v>
          </cell>
          <cell r="E353">
            <v>26.53</v>
          </cell>
          <cell r="F353">
            <v>26.95</v>
          </cell>
        </row>
        <row r="354">
          <cell r="A354" t="str">
            <v>30461</v>
          </cell>
          <cell r="B354" t="str">
            <v>Technical Writer I</v>
          </cell>
          <cell r="C354">
            <v>24.59</v>
          </cell>
          <cell r="D354">
            <v>25.8</v>
          </cell>
          <cell r="E354">
            <v>22.21</v>
          </cell>
          <cell r="F354">
            <v>26.68</v>
          </cell>
        </row>
        <row r="355">
          <cell r="A355" t="str">
            <v>30462</v>
          </cell>
          <cell r="B355" t="str">
            <v>Technical Writer II</v>
          </cell>
          <cell r="C355">
            <v>30.07</v>
          </cell>
          <cell r="D355">
            <v>31.56</v>
          </cell>
          <cell r="E355">
            <v>27.16</v>
          </cell>
          <cell r="F355">
            <v>32.65</v>
          </cell>
        </row>
        <row r="356">
          <cell r="A356" t="str">
            <v>30463</v>
          </cell>
          <cell r="B356" t="str">
            <v>Technical Writer III</v>
          </cell>
          <cell r="C356">
            <v>36.39</v>
          </cell>
          <cell r="D356">
            <v>38.17</v>
          </cell>
          <cell r="E356">
            <v>32.86</v>
          </cell>
          <cell r="F356">
            <v>39.49</v>
          </cell>
        </row>
        <row r="357">
          <cell r="A357" t="str">
            <v>30491</v>
          </cell>
          <cell r="B357" t="str">
            <v>Unexploded Ordnance (UXO) Techn</v>
          </cell>
          <cell r="C357">
            <v>24.24</v>
          </cell>
          <cell r="D357">
            <v>25.12</v>
          </cell>
          <cell r="E357">
            <v>24.24</v>
          </cell>
          <cell r="F357">
            <v>24.24</v>
          </cell>
        </row>
        <row r="358">
          <cell r="A358" t="str">
            <v>30492</v>
          </cell>
          <cell r="B358" t="str">
            <v>Unexploded Ordnance (UXO) Techn</v>
          </cell>
          <cell r="C358">
            <v>29.33</v>
          </cell>
          <cell r="D358">
            <v>30.39</v>
          </cell>
          <cell r="E358">
            <v>28.44</v>
          </cell>
          <cell r="F358">
            <v>29.33</v>
          </cell>
        </row>
        <row r="359">
          <cell r="A359" t="str">
            <v>30493</v>
          </cell>
          <cell r="B359" t="str">
            <v>Unexploded Ordnance (UXO) Techn</v>
          </cell>
          <cell r="C359">
            <v>35.159999999999997</v>
          </cell>
          <cell r="D359">
            <v>36.42</v>
          </cell>
          <cell r="E359">
            <v>35.159999999999997</v>
          </cell>
          <cell r="F359">
            <v>35.159999999999997</v>
          </cell>
        </row>
        <row r="360">
          <cell r="A360" t="str">
            <v>30494</v>
          </cell>
          <cell r="B360" t="str">
            <v>Unexploded (UXO) Safety Escort</v>
          </cell>
          <cell r="C360">
            <v>24.24</v>
          </cell>
          <cell r="D360">
            <v>25.12</v>
          </cell>
          <cell r="E360">
            <v>24.24</v>
          </cell>
          <cell r="F360">
            <v>24.24</v>
          </cell>
        </row>
        <row r="361">
          <cell r="A361" t="str">
            <v>30495</v>
          </cell>
          <cell r="B361" t="str">
            <v>Unexploded (UXO) Sweep Personne</v>
          </cell>
          <cell r="C361">
            <v>24.24</v>
          </cell>
          <cell r="D361">
            <v>25.12</v>
          </cell>
          <cell r="E361">
            <v>24.24</v>
          </cell>
          <cell r="F361">
            <v>24.24</v>
          </cell>
        </row>
        <row r="362">
          <cell r="A362" t="str">
            <v>30501</v>
          </cell>
          <cell r="B362" t="str">
            <v>Weather Forecaster I</v>
          </cell>
          <cell r="C362">
            <v>27.23</v>
          </cell>
          <cell r="D362">
            <v>28.57</v>
          </cell>
          <cell r="E362">
            <v>25.27</v>
          </cell>
          <cell r="F362">
            <v>24.4</v>
          </cell>
        </row>
        <row r="363">
          <cell r="A363" t="str">
            <v>30502</v>
          </cell>
          <cell r="B363" t="str">
            <v>Weather Forecaster II</v>
          </cell>
          <cell r="C363">
            <v>33.119999999999997</v>
          </cell>
          <cell r="D363">
            <v>34.75</v>
          </cell>
          <cell r="E363">
            <v>29.22</v>
          </cell>
          <cell r="F363">
            <v>31.92</v>
          </cell>
        </row>
        <row r="364">
          <cell r="A364" t="str">
            <v>30620</v>
          </cell>
          <cell r="B364" t="str">
            <v>Weather Observer, Combined Uppe</v>
          </cell>
          <cell r="C364">
            <v>22.13</v>
          </cell>
          <cell r="D364">
            <v>22.97</v>
          </cell>
          <cell r="E364">
            <v>20.54</v>
          </cell>
          <cell r="F364">
            <v>19.989999999999998</v>
          </cell>
        </row>
        <row r="365">
          <cell r="A365" t="str">
            <v>Surfa</v>
          </cell>
          <cell r="B365" t="str">
            <v>Programs</v>
          </cell>
        </row>
        <row r="366">
          <cell r="A366" t="str">
            <v>30621</v>
          </cell>
          <cell r="B366" t="str">
            <v>Weather Observer, Senior</v>
          </cell>
          <cell r="C366">
            <v>24.59</v>
          </cell>
          <cell r="D366">
            <v>25.04</v>
          </cell>
          <cell r="E366">
            <v>22.82</v>
          </cell>
          <cell r="F366">
            <v>22.02</v>
          </cell>
        </row>
        <row r="367">
          <cell r="A367" t="str">
            <v>31000 -</v>
          </cell>
          <cell r="B367" t="str">
            <v>ransportation/Mobile Equipment O</v>
          </cell>
        </row>
        <row r="368">
          <cell r="A368" t="str">
            <v>31010</v>
          </cell>
          <cell r="B368" t="str">
            <v>Airplane Pilot</v>
          </cell>
          <cell r="C368">
            <v>29.33</v>
          </cell>
          <cell r="D368">
            <v>30.39</v>
          </cell>
          <cell r="E368">
            <v>29.33</v>
          </cell>
          <cell r="F368">
            <v>29.33</v>
          </cell>
        </row>
        <row r="369">
          <cell r="A369" t="str">
            <v>31020</v>
          </cell>
          <cell r="B369" t="str">
            <v>Bus Aide</v>
          </cell>
          <cell r="C369">
            <v>12.19</v>
          </cell>
          <cell r="D369">
            <v>11.41</v>
          </cell>
          <cell r="E369">
            <v>9.85</v>
          </cell>
          <cell r="F369">
            <v>10.18</v>
          </cell>
        </row>
        <row r="370">
          <cell r="A370" t="str">
            <v>31030</v>
          </cell>
          <cell r="B370" t="str">
            <v>Bus Driver</v>
          </cell>
          <cell r="C370">
            <v>17.36</v>
          </cell>
          <cell r="D370">
            <v>15.48</v>
          </cell>
          <cell r="E370">
            <v>14.43</v>
          </cell>
          <cell r="F370">
            <v>15.82</v>
          </cell>
        </row>
        <row r="371">
          <cell r="A371" t="str">
            <v>31043</v>
          </cell>
          <cell r="B371" t="str">
            <v>Driver Courier</v>
          </cell>
          <cell r="C371">
            <v>11.85</v>
          </cell>
          <cell r="D371">
            <v>13.73</v>
          </cell>
          <cell r="E371">
            <v>13.44</v>
          </cell>
          <cell r="F371">
            <v>11.32</v>
          </cell>
        </row>
        <row r="372">
          <cell r="A372" t="str">
            <v>31260</v>
          </cell>
          <cell r="B372" t="str">
            <v>Parking and Lot Attendant</v>
          </cell>
          <cell r="C372">
            <v>9.7899999999999991</v>
          </cell>
          <cell r="D372">
            <v>10.94</v>
          </cell>
          <cell r="E372">
            <v>12.13</v>
          </cell>
          <cell r="F372">
            <v>9.0399999999999991</v>
          </cell>
        </row>
        <row r="373">
          <cell r="A373" t="str">
            <v>31290</v>
          </cell>
          <cell r="B373" t="str">
            <v>Shuttle Bus Driver</v>
          </cell>
          <cell r="C373">
            <v>13.59</v>
          </cell>
          <cell r="D373">
            <v>14.74</v>
          </cell>
          <cell r="E373">
            <v>14.52</v>
          </cell>
          <cell r="F373">
            <v>12.54</v>
          </cell>
        </row>
        <row r="374">
          <cell r="A374" t="str">
            <v>31310</v>
          </cell>
          <cell r="B374" t="str">
            <v>Taxi Driver</v>
          </cell>
          <cell r="C374">
            <v>11.54</v>
          </cell>
          <cell r="D374">
            <v>11.79</v>
          </cell>
          <cell r="E374">
            <v>11.15</v>
          </cell>
          <cell r="F374">
            <v>11.01</v>
          </cell>
        </row>
        <row r="375">
          <cell r="A375" t="str">
            <v>31361</v>
          </cell>
          <cell r="B375" t="str">
            <v>Truckdriver, Light</v>
          </cell>
          <cell r="C375">
            <v>12.56</v>
          </cell>
          <cell r="D375">
            <v>14.74</v>
          </cell>
          <cell r="E375">
            <v>14.52</v>
          </cell>
          <cell r="F375">
            <v>12.54</v>
          </cell>
        </row>
        <row r="376">
          <cell r="A376" t="str">
            <v>31362</v>
          </cell>
          <cell r="B376" t="str">
            <v>Truckdriver, Medium</v>
          </cell>
          <cell r="C376">
            <v>16.13</v>
          </cell>
          <cell r="D376">
            <v>15.67</v>
          </cell>
          <cell r="E376">
            <v>15.58</v>
          </cell>
          <cell r="F376">
            <v>14.19</v>
          </cell>
        </row>
        <row r="377">
          <cell r="A377" t="str">
            <v>31363</v>
          </cell>
          <cell r="B377" t="str">
            <v>Truckdriver, Heavy</v>
          </cell>
          <cell r="C377">
            <v>18.66</v>
          </cell>
          <cell r="D377">
            <v>17.41</v>
          </cell>
          <cell r="E377">
            <v>19.03</v>
          </cell>
          <cell r="F377">
            <v>17.87</v>
          </cell>
        </row>
        <row r="378">
          <cell r="A378" t="str">
            <v>31364</v>
          </cell>
          <cell r="B378" t="str">
            <v>Truckdriver, Tractor-Trailer</v>
          </cell>
          <cell r="C378">
            <v>18.66</v>
          </cell>
          <cell r="D378">
            <v>17.41</v>
          </cell>
          <cell r="E378">
            <v>19.03</v>
          </cell>
          <cell r="F378">
            <v>17.87</v>
          </cell>
        </row>
        <row r="379">
          <cell r="A379" t="str">
            <v>99000 -</v>
          </cell>
          <cell r="B379" t="str">
            <v>iscellaneous Occupations</v>
          </cell>
        </row>
        <row r="380">
          <cell r="A380" t="str">
            <v>99020</v>
          </cell>
          <cell r="B380" t="str">
            <v>Cabin Safety Specialist</v>
          </cell>
          <cell r="C380">
            <v>14.3</v>
          </cell>
          <cell r="D380">
            <v>14.82</v>
          </cell>
          <cell r="E380">
            <v>14.3</v>
          </cell>
          <cell r="F380">
            <v>14.3</v>
          </cell>
        </row>
        <row r="381">
          <cell r="A381" t="str">
            <v>99030</v>
          </cell>
          <cell r="B381" t="str">
            <v>Cashier</v>
          </cell>
          <cell r="C381">
            <v>9.32</v>
          </cell>
          <cell r="D381">
            <v>8.98</v>
          </cell>
          <cell r="E381">
            <v>8.83</v>
          </cell>
          <cell r="F381">
            <v>8.91</v>
          </cell>
        </row>
        <row r="382">
          <cell r="A382" t="str">
            <v>99050</v>
          </cell>
          <cell r="B382" t="str">
            <v>Desk Clerk</v>
          </cell>
          <cell r="C382">
            <v>9.49</v>
          </cell>
          <cell r="D382">
            <v>9.83</v>
          </cell>
          <cell r="E382">
            <v>9.9700000000000006</v>
          </cell>
          <cell r="F382">
            <v>10.35</v>
          </cell>
        </row>
        <row r="383">
          <cell r="A383" t="str">
            <v>99095</v>
          </cell>
          <cell r="B383" t="str">
            <v>Embalmer</v>
          </cell>
          <cell r="C383">
            <v>24.24</v>
          </cell>
          <cell r="D383">
            <v>26.27</v>
          </cell>
          <cell r="E383">
            <v>23.93</v>
          </cell>
          <cell r="F383">
            <v>24.24</v>
          </cell>
        </row>
        <row r="384">
          <cell r="A384" t="str">
            <v>99130</v>
          </cell>
          <cell r="B384" t="str">
            <v>Flight Follower</v>
          </cell>
          <cell r="C384">
            <v>24.24</v>
          </cell>
          <cell r="D384">
            <v>25.12</v>
          </cell>
          <cell r="E384">
            <v>24.24</v>
          </cell>
          <cell r="F384">
            <v>24.24</v>
          </cell>
        </row>
        <row r="385">
          <cell r="A385" t="str">
            <v>99251</v>
          </cell>
          <cell r="B385" t="str">
            <v>Laboratory Animal Caretaker I</v>
          </cell>
          <cell r="C385">
            <v>11.45</v>
          </cell>
          <cell r="D385">
            <v>13.41</v>
          </cell>
          <cell r="E385">
            <v>11.37</v>
          </cell>
          <cell r="F385">
            <v>12.9</v>
          </cell>
        </row>
        <row r="386">
          <cell r="A386" t="str">
            <v>99252</v>
          </cell>
          <cell r="B386" t="str">
            <v>Laboratory Animal Caretaker II</v>
          </cell>
          <cell r="C386">
            <v>11.61</v>
          </cell>
          <cell r="D386">
            <v>14.74</v>
          </cell>
          <cell r="E386">
            <v>12.28</v>
          </cell>
          <cell r="F386">
            <v>14.32</v>
          </cell>
        </row>
        <row r="387">
          <cell r="A387" t="str">
            <v>99260</v>
          </cell>
          <cell r="B387" t="str">
            <v>Marketing Analyst</v>
          </cell>
          <cell r="C387">
            <v>30.29</v>
          </cell>
          <cell r="D387">
            <v>26.6</v>
          </cell>
          <cell r="E387">
            <v>27.85</v>
          </cell>
          <cell r="F387">
            <v>32.61</v>
          </cell>
        </row>
        <row r="388">
          <cell r="A388" t="str">
            <v>99310</v>
          </cell>
          <cell r="B388" t="str">
            <v>Mortician</v>
          </cell>
          <cell r="C388">
            <v>24.24</v>
          </cell>
          <cell r="D388">
            <v>26.27</v>
          </cell>
          <cell r="E388">
            <v>23.93</v>
          </cell>
          <cell r="F388">
            <v>24.24</v>
          </cell>
        </row>
        <row r="389">
          <cell r="A389" t="str">
            <v>99410</v>
          </cell>
          <cell r="B389" t="str">
            <v>Pest Controller</v>
          </cell>
          <cell r="C389">
            <v>18.66</v>
          </cell>
          <cell r="D389">
            <v>17.05</v>
          </cell>
          <cell r="E389">
            <v>16.93</v>
          </cell>
          <cell r="F389">
            <v>16.100000000000001</v>
          </cell>
        </row>
        <row r="390">
          <cell r="A390" t="str">
            <v>99510</v>
          </cell>
          <cell r="B390" t="str">
            <v>Photofinishing Worker</v>
          </cell>
          <cell r="C390">
            <v>12.74</v>
          </cell>
          <cell r="D390">
            <v>13.2</v>
          </cell>
          <cell r="E390">
            <v>12.74</v>
          </cell>
          <cell r="F390">
            <v>12.74</v>
          </cell>
        </row>
        <row r="391">
          <cell r="A391" t="str">
            <v>99710</v>
          </cell>
          <cell r="B391" t="str">
            <v>Recycling Laborer</v>
          </cell>
          <cell r="C391">
            <v>15.29</v>
          </cell>
          <cell r="D391">
            <v>16.260000000000002</v>
          </cell>
          <cell r="E391">
            <v>13.11</v>
          </cell>
          <cell r="F391">
            <v>14.99</v>
          </cell>
        </row>
        <row r="392">
          <cell r="A392" t="str">
            <v>99711</v>
          </cell>
          <cell r="B392" t="str">
            <v>Recycling Specialist</v>
          </cell>
          <cell r="C392">
            <v>18.54</v>
          </cell>
          <cell r="D392">
            <v>19.02</v>
          </cell>
          <cell r="E392">
            <v>16.25</v>
          </cell>
          <cell r="F392">
            <v>19.13</v>
          </cell>
        </row>
        <row r="393">
          <cell r="A393" t="str">
            <v>99730</v>
          </cell>
          <cell r="B393" t="str">
            <v>Refuse Collector</v>
          </cell>
          <cell r="C393">
            <v>14.16</v>
          </cell>
          <cell r="D393">
            <v>14.95</v>
          </cell>
          <cell r="E393">
            <v>13.2</v>
          </cell>
          <cell r="F393">
            <v>12.94</v>
          </cell>
        </row>
        <row r="394">
          <cell r="A394" t="str">
            <v>99810</v>
          </cell>
          <cell r="B394" t="str">
            <v>Sales Clerk</v>
          </cell>
          <cell r="C394">
            <v>10.68</v>
          </cell>
          <cell r="D394">
            <v>11.08</v>
          </cell>
          <cell r="E394">
            <v>12.56</v>
          </cell>
          <cell r="F394">
            <v>10.14</v>
          </cell>
        </row>
        <row r="395">
          <cell r="A395" t="str">
            <v>99820</v>
          </cell>
          <cell r="B395" t="str">
            <v>School Crossing Guard</v>
          </cell>
          <cell r="C395">
            <v>10.64</v>
          </cell>
          <cell r="D395">
            <v>13.55</v>
          </cell>
          <cell r="E395">
            <v>12.7</v>
          </cell>
          <cell r="F395">
            <v>9.19</v>
          </cell>
        </row>
        <row r="396">
          <cell r="A396" t="str">
            <v>99830</v>
          </cell>
          <cell r="B396" t="str">
            <v>Survey Party Chief</v>
          </cell>
          <cell r="C396">
            <v>19.399999999999999</v>
          </cell>
          <cell r="D396">
            <v>21.34</v>
          </cell>
          <cell r="E396">
            <v>19.05</v>
          </cell>
          <cell r="F396">
            <v>18.11</v>
          </cell>
        </row>
        <row r="397">
          <cell r="A397" t="str">
            <v>99831</v>
          </cell>
          <cell r="B397" t="str">
            <v>Surveying Aide</v>
          </cell>
          <cell r="C397">
            <v>12.11</v>
          </cell>
          <cell r="D397">
            <v>12.63</v>
          </cell>
          <cell r="E397">
            <v>12.77</v>
          </cell>
          <cell r="F397">
            <v>12.55</v>
          </cell>
        </row>
        <row r="398">
          <cell r="A398" t="str">
            <v>99832</v>
          </cell>
          <cell r="B398" t="str">
            <v>Surveying Technician</v>
          </cell>
          <cell r="C398">
            <v>16.59</v>
          </cell>
          <cell r="D398">
            <v>17.309999999999999</v>
          </cell>
          <cell r="E398">
            <v>17.5</v>
          </cell>
          <cell r="F398">
            <v>14.81</v>
          </cell>
        </row>
        <row r="399">
          <cell r="A399" t="str">
            <v>99840</v>
          </cell>
          <cell r="B399" t="str">
            <v>Vending Machine Attendant</v>
          </cell>
          <cell r="C399">
            <v>15.19</v>
          </cell>
          <cell r="D399">
            <v>13.63</v>
          </cell>
          <cell r="E399">
            <v>16.72</v>
          </cell>
          <cell r="F399">
            <v>10.86</v>
          </cell>
        </row>
        <row r="400">
          <cell r="A400" t="str">
            <v>99841</v>
          </cell>
          <cell r="B400" t="str">
            <v>Vending Machine Repairer</v>
          </cell>
          <cell r="C400">
            <v>19.18</v>
          </cell>
          <cell r="D400">
            <v>16.43</v>
          </cell>
          <cell r="E400">
            <v>20.78</v>
          </cell>
          <cell r="F400">
            <v>13.79</v>
          </cell>
        </row>
        <row r="401">
          <cell r="A401" t="str">
            <v>99842</v>
          </cell>
          <cell r="B401" t="str">
            <v>Vending Machine Repairer Helper</v>
          </cell>
          <cell r="C401">
            <v>15.19</v>
          </cell>
          <cell r="D401">
            <v>13.63</v>
          </cell>
          <cell r="E401">
            <v>16.72</v>
          </cell>
          <cell r="F401">
            <v>10.86</v>
          </cell>
        </row>
      </sheetData>
      <sheetData sheetId="22">
        <row r="2">
          <cell r="C2" t="str">
            <v>Base Year</v>
          </cell>
          <cell r="D2" t="str">
            <v>Year 2</v>
          </cell>
          <cell r="E2" t="str">
            <v>Year 3</v>
          </cell>
          <cell r="F2" t="str">
            <v>Year 4</v>
          </cell>
          <cell r="G2" t="str">
            <v>Year 5</v>
          </cell>
        </row>
        <row r="8">
          <cell r="A8" t="str">
            <v>Gross Hours</v>
          </cell>
          <cell r="B8">
            <v>173.333</v>
          </cell>
          <cell r="C8">
            <v>1906.6666666666665</v>
          </cell>
          <cell r="D8">
            <v>2080</v>
          </cell>
          <cell r="E8">
            <v>2080</v>
          </cell>
          <cell r="F8">
            <v>2080</v>
          </cell>
          <cell r="G8">
            <v>2080</v>
          </cell>
        </row>
        <row r="10">
          <cell r="A10" t="str">
            <v>Leave Hours</v>
          </cell>
          <cell r="B10" t="str">
            <v>Empl Class</v>
          </cell>
        </row>
        <row r="11">
          <cell r="A11" t="str">
            <v>Vacation</v>
          </cell>
          <cell r="B11" t="str">
            <v>E</v>
          </cell>
          <cell r="C11">
            <v>73.333333333333343</v>
          </cell>
          <cell r="D11">
            <v>80</v>
          </cell>
          <cell r="E11">
            <v>80</v>
          </cell>
          <cell r="F11">
            <v>80</v>
          </cell>
          <cell r="G11">
            <v>80</v>
          </cell>
        </row>
        <row r="12">
          <cell r="A12" t="str">
            <v>Holiday</v>
          </cell>
          <cell r="B12" t="str">
            <v>E</v>
          </cell>
          <cell r="C12">
            <v>73.333333333333343</v>
          </cell>
          <cell r="D12">
            <v>80</v>
          </cell>
          <cell r="E12">
            <v>80</v>
          </cell>
          <cell r="F12">
            <v>80</v>
          </cell>
          <cell r="G12">
            <v>80</v>
          </cell>
        </row>
        <row r="13">
          <cell r="A13" t="str">
            <v>Sick</v>
          </cell>
          <cell r="B13" t="str">
            <v>E</v>
          </cell>
          <cell r="C13">
            <v>51.333333333333336</v>
          </cell>
          <cell r="D13">
            <v>56</v>
          </cell>
          <cell r="E13">
            <v>56</v>
          </cell>
          <cell r="F13">
            <v>56</v>
          </cell>
          <cell r="G13">
            <v>56</v>
          </cell>
        </row>
        <row r="15">
          <cell r="A15" t="str">
            <v>Productive Hours</v>
          </cell>
          <cell r="B15" t="str">
            <v>E</v>
          </cell>
          <cell r="C15">
            <v>1708.6666666666665</v>
          </cell>
          <cell r="D15">
            <v>1864</v>
          </cell>
          <cell r="E15">
            <v>1864</v>
          </cell>
          <cell r="F15">
            <v>1864</v>
          </cell>
          <cell r="G15">
            <v>1864</v>
          </cell>
        </row>
        <row r="17">
          <cell r="A17" t="str">
            <v>Leave Hours</v>
          </cell>
          <cell r="B17" t="str">
            <v>Empl Class</v>
          </cell>
        </row>
        <row r="18">
          <cell r="A18" t="str">
            <v>Vacation</v>
          </cell>
          <cell r="B18" t="str">
            <v>NE</v>
          </cell>
          <cell r="C18">
            <v>73.333333333333343</v>
          </cell>
          <cell r="D18">
            <v>80</v>
          </cell>
          <cell r="E18">
            <v>80</v>
          </cell>
          <cell r="F18">
            <v>80</v>
          </cell>
          <cell r="G18">
            <v>80</v>
          </cell>
        </row>
        <row r="19">
          <cell r="A19" t="str">
            <v>Holiday</v>
          </cell>
          <cell r="B19" t="str">
            <v>NE</v>
          </cell>
          <cell r="C19">
            <v>73.333333333333343</v>
          </cell>
          <cell r="D19">
            <v>80</v>
          </cell>
          <cell r="E19">
            <v>80</v>
          </cell>
          <cell r="F19">
            <v>80</v>
          </cell>
          <cell r="G19">
            <v>80</v>
          </cell>
        </row>
        <row r="20">
          <cell r="A20" t="str">
            <v>Sick</v>
          </cell>
          <cell r="B20" t="str">
            <v>NE</v>
          </cell>
          <cell r="C20">
            <v>51.333333333333336</v>
          </cell>
          <cell r="D20">
            <v>56</v>
          </cell>
          <cell r="E20">
            <v>56</v>
          </cell>
          <cell r="F20">
            <v>56</v>
          </cell>
          <cell r="G20">
            <v>56</v>
          </cell>
        </row>
        <row r="22">
          <cell r="A22" t="str">
            <v>Productive Hours</v>
          </cell>
          <cell r="B22" t="str">
            <v>NE</v>
          </cell>
          <cell r="C22">
            <v>1708.6666666666665</v>
          </cell>
          <cell r="D22">
            <v>1864</v>
          </cell>
          <cell r="E22">
            <v>1864</v>
          </cell>
          <cell r="F22">
            <v>1864</v>
          </cell>
          <cell r="G22">
            <v>1864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Section B"/>
      <sheetName val="Cost Summary"/>
      <sheetName val="Summary"/>
      <sheetName val="Labor Hours"/>
      <sheetName val="SB Breakout"/>
      <sheetName val="Direct Labor Rate Schedule"/>
      <sheetName val="Phase In Labor Detail"/>
      <sheetName val="Regular Labor Detail"/>
      <sheetName val="Sheet2"/>
      <sheetName val="Shift Labor Detail"/>
      <sheetName val="Exempt Labor Detail"/>
      <sheetName val="IT Services 5.7.6 &amp; 5.12"/>
      <sheetName val="Fleet Maint 5.8.5"/>
      <sheetName val="ODC Cost Detail"/>
      <sheetName val="Indirect Rate Summary"/>
      <sheetName val="Fringe Benefit Worksheet"/>
      <sheetName val="Fringe Rate Worksheet"/>
      <sheetName val="Fringe Benefit Worksheet (CBA)"/>
      <sheetName val="Fringe Rate Worksheet (CBA)"/>
      <sheetName val="Overhead Rate Worksheet"/>
      <sheetName val="SMH Rate Worksheet"/>
      <sheetName val="G&amp;A Rate Worksheet"/>
      <sheetName val="PMO Rate"/>
      <sheetName val="Additional Backup --&gt;"/>
      <sheetName val="Fringe Factors_Detail"/>
      <sheetName val="Fringe Worksheet_Detail"/>
      <sheetName val="Fringe Worksheet (CBA)_Detail"/>
      <sheetName val="YPG Fringe Factors (CBA)_Detail"/>
      <sheetName val="Overhead Worksheet_Detail"/>
      <sheetName val="G&amp;A Worksheet_Detail"/>
      <sheetName val="PPE_Detail"/>
      <sheetName val="A-1 RATES "/>
      <sheetName val="B-1 FRINGE - GEN-TECH-PRO"/>
      <sheetName val="C-2 OH - ADD"/>
      <sheetName val="E-1 SMH"/>
      <sheetName val="D-1 G&amp;A VAB"/>
      <sheetName val="Hours"/>
      <sheetName val="Rate Development"/>
      <sheetName val="Internal Labor Detail"/>
    </sheetNames>
    <sheetDataSet>
      <sheetData sheetId="0">
        <row r="11">
          <cell r="H11">
            <v>1820</v>
          </cell>
        </row>
      </sheetData>
      <sheetData sheetId="1"/>
      <sheetData sheetId="2">
        <row r="42">
          <cell r="B42">
            <v>512449.44000000006</v>
          </cell>
        </row>
      </sheetData>
      <sheetData sheetId="3"/>
      <sheetData sheetId="4"/>
      <sheetData sheetId="5"/>
      <sheetData sheetId="6"/>
      <sheetData sheetId="7"/>
      <sheetData sheetId="8"/>
      <sheetData sheetId="9"/>
      <sheetData sheetId="10"/>
      <sheetData sheetId="11"/>
      <sheetData sheetId="12"/>
      <sheetData sheetId="13"/>
      <sheetData sheetId="14">
        <row r="12">
          <cell r="H12">
            <v>72553699.149999991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Cost Summary"/>
      <sheetName val="Summary Roll-Up - Ext Pd."/>
      <sheetName val="Basis of Estimate"/>
      <sheetName val="Fringe Buildup - Ext Pd."/>
      <sheetName val="Allocation Rates"/>
      <sheetName val="Rates Table"/>
      <sheetName val="Productive Hours"/>
      <sheetName val="Labor Rates"/>
      <sheetName val="OT Calculation"/>
      <sheetName val="ODC Summary"/>
    </sheetNames>
    <sheetDataSet>
      <sheetData sheetId="0"/>
      <sheetData sheetId="1"/>
      <sheetData sheetId="2"/>
      <sheetData sheetId="3"/>
      <sheetData sheetId="4"/>
      <sheetData sheetId="5">
        <row r="25">
          <cell r="B25">
            <v>14000</v>
          </cell>
        </row>
      </sheetData>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6"/>
  <sheetViews>
    <sheetView tabSelected="1" workbookViewId="0">
      <selection activeCell="C18" sqref="C18:I18"/>
    </sheetView>
  </sheetViews>
  <sheetFormatPr defaultColWidth="9.109375" defaultRowHeight="15.6" x14ac:dyDescent="0.3"/>
  <cols>
    <col min="1" max="1" width="8" style="2" customWidth="1"/>
    <col min="2" max="2" width="7.5546875" style="2" customWidth="1"/>
    <col min="3" max="3" width="68.6640625" style="2" bestFit="1" customWidth="1"/>
    <col min="4" max="5" width="17.88671875" style="2" customWidth="1"/>
    <col min="6" max="6" width="15.5546875" style="2" customWidth="1"/>
    <col min="7" max="7" width="19.5546875" style="11" customWidth="1"/>
    <col min="8" max="8" width="19.109375" style="11" customWidth="1"/>
    <col min="9" max="10" width="16.44140625" style="11" customWidth="1"/>
    <col min="11" max="11" width="16.6640625" style="11" customWidth="1"/>
    <col min="12" max="12" width="16.44140625" style="11" customWidth="1"/>
    <col min="13" max="13" width="16.5546875" style="11" customWidth="1"/>
    <col min="14" max="14" width="16.44140625" style="11" customWidth="1"/>
    <col min="15" max="15" width="16" style="11" customWidth="1"/>
    <col min="16" max="18" width="16.5546875" style="11" customWidth="1"/>
    <col min="19" max="19" width="17.109375" style="11" customWidth="1"/>
    <col min="20" max="20" width="16.44140625" style="11" customWidth="1"/>
    <col min="21" max="21" width="21.88671875" style="11" customWidth="1"/>
    <col min="22" max="22" width="15.6640625" style="2" bestFit="1" customWidth="1"/>
    <col min="23" max="16384" width="9.109375" style="2"/>
  </cols>
  <sheetData>
    <row r="1" spans="1:22" s="9" customFormat="1" ht="31.2" x14ac:dyDescent="0.3">
      <c r="A1" s="21" t="s">
        <v>0</v>
      </c>
      <c r="B1" s="22" t="s">
        <v>16</v>
      </c>
      <c r="C1" s="21" t="s">
        <v>4</v>
      </c>
      <c r="D1" s="21" t="s">
        <v>125</v>
      </c>
      <c r="E1" s="21" t="s">
        <v>126</v>
      </c>
      <c r="F1" s="21" t="s">
        <v>12</v>
      </c>
      <c r="G1" s="22" t="s">
        <v>57</v>
      </c>
      <c r="H1" s="22" t="s">
        <v>58</v>
      </c>
      <c r="I1" s="22" t="s">
        <v>108</v>
      </c>
      <c r="J1" s="22" t="s">
        <v>109</v>
      </c>
      <c r="K1" s="22" t="s">
        <v>110</v>
      </c>
      <c r="L1" s="22" t="s">
        <v>111</v>
      </c>
      <c r="M1" s="22" t="s">
        <v>112</v>
      </c>
      <c r="N1" s="22" t="s">
        <v>113</v>
      </c>
      <c r="O1" s="22" t="s">
        <v>114</v>
      </c>
      <c r="P1" s="22" t="s">
        <v>115</v>
      </c>
      <c r="Q1" s="22" t="s">
        <v>128</v>
      </c>
      <c r="R1" s="22" t="s">
        <v>129</v>
      </c>
      <c r="S1" s="22" t="s">
        <v>131</v>
      </c>
      <c r="T1" s="22" t="s">
        <v>132</v>
      </c>
      <c r="U1" s="14" t="s">
        <v>130</v>
      </c>
    </row>
    <row r="2" spans="1:22" s="5" customFormat="1" x14ac:dyDescent="0.3">
      <c r="A2" s="23">
        <v>1</v>
      </c>
      <c r="B2" s="24" t="s">
        <v>2</v>
      </c>
      <c r="C2" s="25" t="s">
        <v>18</v>
      </c>
      <c r="D2" s="7">
        <f ca="1">'Proposed CPFF Cost Summary'!D13</f>
        <v>0</v>
      </c>
      <c r="E2" s="7">
        <f>'Proposed CPFF Cost Summary'!D14</f>
        <v>0</v>
      </c>
      <c r="F2" s="80"/>
      <c r="G2" s="7">
        <f ca="1">'Proposed CPFF Cost Summary'!E13</f>
        <v>0</v>
      </c>
      <c r="H2" s="7">
        <f>'Proposed CPFF Cost Summary'!E14</f>
        <v>0</v>
      </c>
      <c r="I2" s="7">
        <f ca="1">'Proposed CPFF Cost Summary'!F13</f>
        <v>0</v>
      </c>
      <c r="J2" s="7">
        <f>'Proposed CPFF Cost Summary'!F14</f>
        <v>0</v>
      </c>
      <c r="K2" s="7">
        <f ca="1">'Proposed CPFF Cost Summary'!G13</f>
        <v>0</v>
      </c>
      <c r="L2" s="7">
        <f>'Proposed CPFF Cost Summary'!G14</f>
        <v>0</v>
      </c>
      <c r="M2" s="7">
        <f ca="1">'Proposed CPFF Cost Summary'!H13</f>
        <v>0</v>
      </c>
      <c r="N2" s="7">
        <f>'Proposed CPFF Cost Summary'!H14</f>
        <v>0</v>
      </c>
      <c r="O2" s="7">
        <f ca="1">'Proposed CPFF Cost Summary'!I13</f>
        <v>0</v>
      </c>
      <c r="P2" s="7">
        <f>'Proposed CPFF Cost Summary'!I14</f>
        <v>0</v>
      </c>
      <c r="Q2" s="7">
        <f ca="1">O2/2</f>
        <v>0</v>
      </c>
      <c r="R2" s="7">
        <f>P2/2</f>
        <v>0</v>
      </c>
      <c r="S2" s="7">
        <f ca="1">SUM(G2,I2,K2,M2,O2)</f>
        <v>0</v>
      </c>
      <c r="T2" s="7">
        <f>SUM(H2,J2,L2,N2,P2)</f>
        <v>0</v>
      </c>
      <c r="U2" s="67">
        <f ca="1">SUM(D2:R2)</f>
        <v>0</v>
      </c>
    </row>
    <row r="3" spans="1:22" x14ac:dyDescent="0.3">
      <c r="A3" s="23">
        <v>2</v>
      </c>
      <c r="B3" s="24" t="s">
        <v>3</v>
      </c>
      <c r="C3" s="3" t="s">
        <v>15</v>
      </c>
      <c r="D3" s="3"/>
      <c r="E3" s="81"/>
      <c r="F3" s="79"/>
      <c r="G3" s="7">
        <v>2137650.62</v>
      </c>
      <c r="H3" s="78"/>
      <c r="I3" s="7">
        <v>2201780.14</v>
      </c>
      <c r="J3" s="78"/>
      <c r="K3" s="7">
        <v>2267833.54</v>
      </c>
      <c r="L3" s="78"/>
      <c r="M3" s="7">
        <v>2335868.5499999998</v>
      </c>
      <c r="N3" s="78"/>
      <c r="O3" s="7">
        <v>2405944.6</v>
      </c>
      <c r="P3" s="78"/>
      <c r="Q3" s="7">
        <f>O3/2</f>
        <v>1202972.3</v>
      </c>
      <c r="R3" s="78"/>
      <c r="S3" s="7">
        <f t="shared" ref="S3:S9" si="0">SUM(G3,I3,K3,M3,O3)</f>
        <v>11349077.449999999</v>
      </c>
      <c r="T3" s="7">
        <f t="shared" ref="T3:T9" si="1">SUM(H3,J3,L3,N3,P3)</f>
        <v>0</v>
      </c>
      <c r="U3" s="67">
        <f>SUM(D3:R3)</f>
        <v>12552049.75</v>
      </c>
    </row>
    <row r="4" spans="1:22" x14ac:dyDescent="0.3">
      <c r="A4" s="23"/>
      <c r="B4" s="13"/>
      <c r="C4" s="3" t="s">
        <v>5</v>
      </c>
      <c r="D4" s="3"/>
      <c r="E4" s="81"/>
      <c r="F4" s="79"/>
      <c r="G4" s="4"/>
      <c r="H4" s="79"/>
      <c r="I4" s="4"/>
      <c r="J4" s="79"/>
      <c r="K4" s="4"/>
      <c r="L4" s="79"/>
      <c r="M4" s="4"/>
      <c r="N4" s="79"/>
      <c r="O4" s="4"/>
      <c r="P4" s="79"/>
      <c r="Q4" s="4"/>
      <c r="R4" s="79"/>
      <c r="S4" s="7"/>
      <c r="T4" s="7"/>
      <c r="U4" s="15"/>
    </row>
    <row r="5" spans="1:22" x14ac:dyDescent="0.3">
      <c r="A5" s="23">
        <v>3</v>
      </c>
      <c r="B5" s="13" t="s">
        <v>3</v>
      </c>
      <c r="C5" s="3" t="s">
        <v>19</v>
      </c>
      <c r="D5" s="3"/>
      <c r="E5" s="81"/>
      <c r="F5" s="79"/>
      <c r="G5" s="4">
        <v>9322.0338983050842</v>
      </c>
      <c r="H5" s="79"/>
      <c r="I5" s="4">
        <v>10169.491525423728</v>
      </c>
      <c r="J5" s="79"/>
      <c r="K5" s="4">
        <v>10169.491525423728</v>
      </c>
      <c r="L5" s="79"/>
      <c r="M5" s="4">
        <v>10169.491525423728</v>
      </c>
      <c r="N5" s="79"/>
      <c r="O5" s="4">
        <v>10169.491525423728</v>
      </c>
      <c r="P5" s="79"/>
      <c r="Q5" s="7"/>
      <c r="R5" s="79"/>
      <c r="S5" s="7">
        <f t="shared" si="0"/>
        <v>49999.999999999993</v>
      </c>
      <c r="T5" s="7">
        <f t="shared" si="1"/>
        <v>0</v>
      </c>
      <c r="U5" s="67">
        <f>SUM(D5:R5)</f>
        <v>49999.999999999993</v>
      </c>
    </row>
    <row r="6" spans="1:22" x14ac:dyDescent="0.3">
      <c r="A6" s="23">
        <v>4</v>
      </c>
      <c r="B6" s="13" t="s">
        <v>3</v>
      </c>
      <c r="C6" s="1" t="s">
        <v>20</v>
      </c>
      <c r="D6" s="1"/>
      <c r="E6" s="82"/>
      <c r="F6" s="79"/>
      <c r="G6" s="4">
        <v>4661.0169491525421</v>
      </c>
      <c r="H6" s="79"/>
      <c r="I6" s="4">
        <v>5084.7457627118638</v>
      </c>
      <c r="J6" s="79"/>
      <c r="K6" s="4">
        <v>5084.7457627118638</v>
      </c>
      <c r="L6" s="79"/>
      <c r="M6" s="4">
        <v>5084.7457627118638</v>
      </c>
      <c r="N6" s="79"/>
      <c r="O6" s="4">
        <v>5084.7457627118638</v>
      </c>
      <c r="P6" s="79"/>
      <c r="Q6" s="7"/>
      <c r="R6" s="79"/>
      <c r="S6" s="7">
        <f t="shared" si="0"/>
        <v>24999.999999999996</v>
      </c>
      <c r="T6" s="7">
        <f t="shared" si="1"/>
        <v>0</v>
      </c>
      <c r="U6" s="67">
        <f>SUM(D6:R6)</f>
        <v>24999.999999999996</v>
      </c>
      <c r="V6" s="10"/>
    </row>
    <row r="7" spans="1:22" x14ac:dyDescent="0.3">
      <c r="A7" s="23">
        <v>5</v>
      </c>
      <c r="B7" s="13" t="s">
        <v>11</v>
      </c>
      <c r="C7" s="1" t="s">
        <v>21</v>
      </c>
      <c r="D7" s="1"/>
      <c r="E7" s="1"/>
      <c r="F7" s="79"/>
      <c r="G7" s="15"/>
      <c r="H7" s="15"/>
      <c r="I7" s="15"/>
      <c r="J7" s="15"/>
      <c r="K7" s="15"/>
      <c r="L7" s="15"/>
      <c r="M7" s="15"/>
      <c r="N7" s="15"/>
      <c r="O7" s="15"/>
      <c r="P7" s="15"/>
      <c r="Q7" s="15"/>
      <c r="R7" s="15"/>
      <c r="S7" s="7">
        <f t="shared" si="0"/>
        <v>0</v>
      </c>
      <c r="T7" s="7">
        <f t="shared" si="1"/>
        <v>0</v>
      </c>
      <c r="U7" s="67">
        <f>SUM(D7:R7)</f>
        <v>0</v>
      </c>
      <c r="V7" s="10"/>
    </row>
    <row r="8" spans="1:22" x14ac:dyDescent="0.3">
      <c r="A8" s="23">
        <v>6</v>
      </c>
      <c r="B8" s="13" t="s">
        <v>11</v>
      </c>
      <c r="C8" s="1" t="s">
        <v>22</v>
      </c>
      <c r="D8" s="1"/>
      <c r="E8" s="1"/>
      <c r="F8" s="79"/>
      <c r="G8" s="15"/>
      <c r="H8" s="15"/>
      <c r="I8" s="15"/>
      <c r="J8" s="15"/>
      <c r="K8" s="15"/>
      <c r="L8" s="15"/>
      <c r="M8" s="15"/>
      <c r="N8" s="15"/>
      <c r="O8" s="15"/>
      <c r="P8" s="15"/>
      <c r="Q8" s="15"/>
      <c r="R8" s="15"/>
      <c r="S8" s="7">
        <f t="shared" si="0"/>
        <v>0</v>
      </c>
      <c r="T8" s="7">
        <f t="shared" si="1"/>
        <v>0</v>
      </c>
      <c r="U8" s="67">
        <f>SUM(D8:R8)</f>
        <v>0</v>
      </c>
      <c r="V8" s="10"/>
    </row>
    <row r="9" spans="1:22" x14ac:dyDescent="0.3">
      <c r="A9" s="23">
        <v>7</v>
      </c>
      <c r="B9" s="13" t="s">
        <v>11</v>
      </c>
      <c r="C9" s="1" t="s">
        <v>12</v>
      </c>
      <c r="D9" s="1"/>
      <c r="E9" s="1"/>
      <c r="F9" s="7">
        <v>0</v>
      </c>
      <c r="G9" s="4"/>
      <c r="H9" s="4"/>
      <c r="I9" s="4"/>
      <c r="J9" s="4"/>
      <c r="K9" s="4"/>
      <c r="L9" s="4"/>
      <c r="M9" s="4"/>
      <c r="N9" s="4"/>
      <c r="O9" s="4"/>
      <c r="P9" s="4"/>
      <c r="Q9" s="4"/>
      <c r="R9" s="4"/>
      <c r="S9" s="7">
        <f t="shared" si="0"/>
        <v>0</v>
      </c>
      <c r="T9" s="7">
        <f t="shared" si="1"/>
        <v>0</v>
      </c>
      <c r="U9" s="67">
        <f>SUM(D9:R9)</f>
        <v>0</v>
      </c>
      <c r="V9" s="10"/>
    </row>
    <row r="10" spans="1:22" x14ac:dyDescent="0.3">
      <c r="A10" s="23"/>
      <c r="B10" s="13"/>
      <c r="C10" s="1"/>
      <c r="D10" s="1"/>
      <c r="E10" s="1"/>
      <c r="F10" s="4"/>
      <c r="G10" s="4"/>
      <c r="H10" s="4"/>
      <c r="I10" s="4"/>
      <c r="J10" s="4"/>
      <c r="K10" s="4"/>
      <c r="L10" s="4"/>
      <c r="M10" s="4"/>
      <c r="N10" s="4"/>
      <c r="O10" s="4"/>
      <c r="P10" s="4"/>
      <c r="Q10" s="4"/>
      <c r="R10" s="4"/>
      <c r="S10" s="15"/>
      <c r="T10" s="15"/>
      <c r="U10" s="20"/>
      <c r="V10" s="10"/>
    </row>
    <row r="11" spans="1:22" x14ac:dyDescent="0.3">
      <c r="A11" s="17"/>
      <c r="B11" s="18"/>
      <c r="C11" s="19" t="s">
        <v>9</v>
      </c>
      <c r="D11" s="68">
        <f t="shared" ref="D11:U11" ca="1" si="2">SUM(D2:D9)</f>
        <v>0</v>
      </c>
      <c r="E11" s="68">
        <f t="shared" si="2"/>
        <v>0</v>
      </c>
      <c r="F11" s="68">
        <f t="shared" si="2"/>
        <v>0</v>
      </c>
      <c r="G11" s="68">
        <f t="shared" ca="1" si="2"/>
        <v>2151633.6708474578</v>
      </c>
      <c r="H11" s="68">
        <f t="shared" si="2"/>
        <v>0</v>
      </c>
      <c r="I11" s="68">
        <f t="shared" ca="1" si="2"/>
        <v>2217034.3772881357</v>
      </c>
      <c r="J11" s="68">
        <f t="shared" si="2"/>
        <v>0</v>
      </c>
      <c r="K11" s="68">
        <f t="shared" ca="1" si="2"/>
        <v>2283087.7772881356</v>
      </c>
      <c r="L11" s="68">
        <f t="shared" si="2"/>
        <v>0</v>
      </c>
      <c r="M11" s="68">
        <f t="shared" ca="1" si="2"/>
        <v>2351122.7872881354</v>
      </c>
      <c r="N11" s="68">
        <f t="shared" si="2"/>
        <v>0</v>
      </c>
      <c r="O11" s="68">
        <f t="shared" ca="1" si="2"/>
        <v>2421198.8372881357</v>
      </c>
      <c r="P11" s="68">
        <f t="shared" si="2"/>
        <v>0</v>
      </c>
      <c r="Q11" s="68"/>
      <c r="R11" s="68"/>
      <c r="S11" s="68">
        <f t="shared" ca="1" si="2"/>
        <v>11424077.449999999</v>
      </c>
      <c r="T11" s="68">
        <f t="shared" si="2"/>
        <v>0</v>
      </c>
      <c r="U11" s="68">
        <f t="shared" ca="1" si="2"/>
        <v>12627049.75</v>
      </c>
      <c r="V11" s="5"/>
    </row>
    <row r="12" spans="1:22" x14ac:dyDescent="0.3">
      <c r="U12" s="12"/>
      <c r="V12" s="5"/>
    </row>
    <row r="13" spans="1:22" ht="16.2" x14ac:dyDescent="0.35">
      <c r="C13" s="6" t="s">
        <v>13</v>
      </c>
      <c r="D13" s="6"/>
      <c r="E13" s="6"/>
      <c r="J13" s="12"/>
      <c r="K13" s="5"/>
      <c r="L13" s="2"/>
      <c r="M13" s="2"/>
      <c r="N13" s="2"/>
      <c r="O13" s="2"/>
      <c r="P13" s="2"/>
      <c r="Q13" s="2"/>
      <c r="R13" s="2"/>
      <c r="S13" s="2"/>
      <c r="T13" s="2"/>
      <c r="U13" s="2"/>
    </row>
    <row r="14" spans="1:22" ht="73.5" customHeight="1" x14ac:dyDescent="0.3">
      <c r="C14" s="92" t="s">
        <v>121</v>
      </c>
      <c r="D14" s="92"/>
      <c r="E14" s="92"/>
      <c r="F14" s="92"/>
      <c r="G14" s="92"/>
      <c r="H14" s="92"/>
      <c r="I14" s="92"/>
      <c r="J14" s="12"/>
      <c r="K14" s="5"/>
      <c r="L14" s="2"/>
      <c r="M14" s="2"/>
      <c r="N14" s="2"/>
      <c r="O14" s="2"/>
      <c r="P14" s="2"/>
      <c r="Q14" s="2"/>
      <c r="R14" s="2"/>
      <c r="S14" s="2"/>
      <c r="T14" s="2"/>
      <c r="U14" s="2"/>
    </row>
    <row r="15" spans="1:22" x14ac:dyDescent="0.3">
      <c r="C15" s="74"/>
      <c r="D15" s="74"/>
      <c r="E15" s="74"/>
      <c r="J15" s="12"/>
      <c r="K15" s="5"/>
      <c r="L15" s="2"/>
      <c r="M15" s="2"/>
      <c r="N15" s="2"/>
      <c r="O15" s="2"/>
      <c r="P15" s="2"/>
      <c r="Q15" s="2"/>
      <c r="R15" s="2"/>
      <c r="S15" s="2"/>
      <c r="T15" s="2"/>
      <c r="U15" s="2"/>
    </row>
    <row r="16" spans="1:22" ht="30" customHeight="1" x14ac:dyDescent="0.3">
      <c r="C16" s="91" t="s">
        <v>135</v>
      </c>
      <c r="D16" s="91"/>
      <c r="E16" s="91"/>
      <c r="F16" s="91"/>
      <c r="G16" s="91"/>
      <c r="H16" s="91"/>
      <c r="I16" s="91"/>
      <c r="K16" s="2"/>
      <c r="L16" s="2"/>
      <c r="M16" s="2"/>
      <c r="N16" s="2"/>
      <c r="O16" s="2"/>
      <c r="P16" s="2"/>
      <c r="Q16" s="2"/>
      <c r="R16" s="2"/>
      <c r="S16" s="2"/>
      <c r="T16" s="2"/>
      <c r="U16" s="2"/>
    </row>
    <row r="17" spans="3:21" x14ac:dyDescent="0.3">
      <c r="C17" s="8"/>
      <c r="D17" s="8"/>
      <c r="E17" s="8"/>
      <c r="G17" s="12"/>
      <c r="H17" s="12"/>
      <c r="I17" s="12"/>
      <c r="K17" s="2"/>
      <c r="L17" s="2"/>
      <c r="M17" s="2"/>
      <c r="N17" s="2"/>
      <c r="O17" s="2"/>
      <c r="P17" s="2"/>
      <c r="Q17" s="2"/>
      <c r="R17" s="2"/>
      <c r="S17" s="2"/>
      <c r="T17" s="2"/>
      <c r="U17" s="2"/>
    </row>
    <row r="18" spans="3:21" ht="45" customHeight="1" x14ac:dyDescent="0.3">
      <c r="C18" s="91" t="s">
        <v>136</v>
      </c>
      <c r="D18" s="91"/>
      <c r="E18" s="91"/>
      <c r="F18" s="91"/>
      <c r="G18" s="91"/>
      <c r="H18" s="91"/>
      <c r="I18" s="91"/>
      <c r="K18" s="2"/>
      <c r="L18" s="2"/>
      <c r="M18" s="2"/>
      <c r="N18" s="2"/>
      <c r="O18" s="2"/>
      <c r="P18" s="2"/>
      <c r="Q18" s="2"/>
      <c r="R18" s="2"/>
      <c r="S18" s="2"/>
      <c r="T18" s="2"/>
      <c r="U18" s="2"/>
    </row>
    <row r="19" spans="3:21" x14ac:dyDescent="0.3">
      <c r="C19" s="8"/>
      <c r="D19" s="8"/>
      <c r="E19" s="8"/>
      <c r="K19" s="2"/>
      <c r="L19" s="2"/>
      <c r="M19" s="2"/>
      <c r="N19" s="2"/>
      <c r="O19" s="2"/>
      <c r="P19" s="2"/>
      <c r="Q19" s="2"/>
      <c r="R19" s="2"/>
      <c r="S19" s="2"/>
      <c r="T19" s="2"/>
      <c r="U19" s="2"/>
    </row>
    <row r="20" spans="3:21" x14ac:dyDescent="0.3">
      <c r="K20" s="2"/>
      <c r="L20" s="2"/>
      <c r="M20" s="2"/>
      <c r="N20" s="2"/>
      <c r="O20" s="2"/>
      <c r="P20" s="2"/>
      <c r="Q20" s="2"/>
      <c r="R20" s="2"/>
      <c r="S20" s="2"/>
      <c r="T20" s="2"/>
      <c r="U20" s="2"/>
    </row>
    <row r="21" spans="3:21" ht="15" customHeight="1" x14ac:dyDescent="0.3">
      <c r="C21" s="91" t="s">
        <v>122</v>
      </c>
      <c r="D21" s="91"/>
      <c r="E21" s="91"/>
      <c r="F21" s="91"/>
      <c r="G21" s="91"/>
      <c r="H21" s="91"/>
      <c r="I21" s="91"/>
      <c r="K21" s="2"/>
      <c r="L21" s="2"/>
      <c r="M21" s="2"/>
      <c r="N21" s="2"/>
      <c r="O21" s="2"/>
      <c r="P21" s="2"/>
      <c r="Q21" s="2"/>
      <c r="R21" s="2"/>
      <c r="S21" s="2"/>
      <c r="T21" s="2"/>
      <c r="U21" s="2"/>
    </row>
    <row r="22" spans="3:21" x14ac:dyDescent="0.3">
      <c r="F22" s="74"/>
      <c r="G22" s="76"/>
      <c r="H22" s="77"/>
      <c r="I22" s="77"/>
      <c r="K22" s="2"/>
      <c r="L22" s="2"/>
      <c r="M22" s="2"/>
      <c r="N22" s="2"/>
      <c r="O22" s="2"/>
      <c r="P22" s="2"/>
      <c r="Q22" s="2"/>
      <c r="R22" s="2"/>
      <c r="S22" s="2"/>
      <c r="T22" s="2"/>
      <c r="U22" s="2"/>
    </row>
    <row r="23" spans="3:21" x14ac:dyDescent="0.3">
      <c r="C23" s="16" t="s">
        <v>123</v>
      </c>
      <c r="D23" s="16"/>
      <c r="E23" s="16"/>
      <c r="K23" s="2"/>
      <c r="L23" s="2"/>
      <c r="M23" s="2"/>
      <c r="N23" s="2"/>
      <c r="O23" s="2"/>
      <c r="P23" s="2"/>
      <c r="Q23" s="2"/>
      <c r="R23" s="2"/>
      <c r="S23" s="2"/>
      <c r="T23" s="2"/>
      <c r="U23" s="2"/>
    </row>
    <row r="24" spans="3:21" x14ac:dyDescent="0.3">
      <c r="C24" s="16" t="s">
        <v>124</v>
      </c>
      <c r="D24" s="16"/>
      <c r="E24" s="16"/>
      <c r="K24" s="2"/>
      <c r="L24" s="2"/>
      <c r="M24" s="2"/>
      <c r="N24" s="2"/>
      <c r="O24" s="2"/>
      <c r="P24" s="2"/>
      <c r="Q24" s="2"/>
      <c r="R24" s="2"/>
      <c r="S24" s="2"/>
      <c r="T24" s="2"/>
      <c r="U24" s="2"/>
    </row>
    <row r="25" spans="3:21" x14ac:dyDescent="0.3">
      <c r="C25" s="26" t="s">
        <v>59</v>
      </c>
      <c r="D25" s="26"/>
      <c r="E25" s="26"/>
      <c r="K25" s="2"/>
      <c r="L25" s="2"/>
      <c r="M25" s="2"/>
      <c r="N25" s="2"/>
      <c r="O25" s="2"/>
      <c r="P25" s="2"/>
      <c r="Q25" s="2"/>
      <c r="R25" s="2"/>
      <c r="S25" s="2"/>
      <c r="T25" s="2"/>
      <c r="U25" s="2"/>
    </row>
    <row r="26" spans="3:21" x14ac:dyDescent="0.3">
      <c r="C26" s="26" t="s">
        <v>60</v>
      </c>
      <c r="D26" s="26"/>
      <c r="E26" s="26"/>
      <c r="K26" s="2"/>
      <c r="L26" s="2"/>
      <c r="M26" s="2"/>
      <c r="N26" s="2"/>
      <c r="O26" s="2"/>
      <c r="P26" s="2"/>
      <c r="Q26" s="2"/>
      <c r="R26" s="2"/>
      <c r="S26" s="2"/>
      <c r="T26" s="2"/>
      <c r="U26" s="2"/>
    </row>
  </sheetData>
  <sheetProtection selectLockedCells="1"/>
  <mergeCells count="4">
    <mergeCell ref="C21:I21"/>
    <mergeCell ref="C14:I14"/>
    <mergeCell ref="C16:I16"/>
    <mergeCell ref="C18:I18"/>
  </mergeCells>
  <phoneticPr fontId="1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64F06-458F-4FFE-853B-B8E6601486F2}">
  <dimension ref="C4:AF29"/>
  <sheetViews>
    <sheetView showGridLines="0" topLeftCell="A4" workbookViewId="0">
      <selection activeCell="D37" sqref="D37"/>
    </sheetView>
  </sheetViews>
  <sheetFormatPr defaultColWidth="9.109375" defaultRowHeight="13.2" x14ac:dyDescent="0.25"/>
  <cols>
    <col min="1" max="1" width="9.109375" style="44"/>
    <col min="2" max="2" width="16" style="44" bestFit="1" customWidth="1"/>
    <col min="3" max="3" width="19" style="44" bestFit="1" customWidth="1"/>
    <col min="4" max="4" width="16.109375" style="44" customWidth="1"/>
    <col min="5" max="9" width="13.33203125" style="44" customWidth="1"/>
    <col min="10" max="10" width="12.44140625" style="44" customWidth="1"/>
    <col min="11" max="11" width="16" style="44" bestFit="1" customWidth="1"/>
    <col min="12" max="12" width="9.109375" style="44"/>
    <col min="13" max="13" width="16" style="44" bestFit="1" customWidth="1"/>
    <col min="14" max="14" width="9.109375" style="44"/>
    <col min="15" max="15" width="15" style="44" bestFit="1" customWidth="1"/>
    <col min="16" max="16" width="9.109375" style="44"/>
    <col min="17" max="17" width="15" style="44" bestFit="1" customWidth="1"/>
    <col min="18" max="18" width="9.109375" style="44"/>
    <col min="19" max="19" width="15" style="44" bestFit="1" customWidth="1"/>
    <col min="20" max="20" width="9.109375" style="44"/>
    <col min="21" max="21" width="24.33203125" style="44" bestFit="1" customWidth="1"/>
    <col min="22" max="26" width="14" style="44" bestFit="1" customWidth="1"/>
    <col min="27" max="28" width="17.88671875" style="44" bestFit="1" customWidth="1"/>
    <col min="29" max="29" width="9.109375" style="44"/>
    <col min="30" max="31" width="15" style="44" bestFit="1" customWidth="1"/>
    <col min="32" max="32" width="9.109375" style="44"/>
    <col min="33" max="33" width="12.33203125" style="44" bestFit="1" customWidth="1"/>
    <col min="34" max="16384" width="9.109375" style="44"/>
  </cols>
  <sheetData>
    <row r="4" spans="3:32" ht="13.8" thickBot="1" x14ac:dyDescent="0.3"/>
    <row r="5" spans="3:32" ht="15" thickBot="1" x14ac:dyDescent="0.35">
      <c r="C5" s="45" t="s">
        <v>77</v>
      </c>
      <c r="D5" s="88" t="s">
        <v>127</v>
      </c>
      <c r="E5" s="46" t="s">
        <v>72</v>
      </c>
      <c r="F5" s="46" t="s">
        <v>73</v>
      </c>
      <c r="G5" s="46" t="s">
        <v>74</v>
      </c>
      <c r="H5" s="46" t="s">
        <v>75</v>
      </c>
      <c r="I5" s="46" t="s">
        <v>76</v>
      </c>
      <c r="J5" s="46" t="s">
        <v>83</v>
      </c>
      <c r="K5" s="47"/>
      <c r="L5" s="47"/>
      <c r="M5" s="47"/>
      <c r="N5" s="47"/>
      <c r="O5" s="47"/>
      <c r="P5" s="47"/>
      <c r="Q5" s="47"/>
      <c r="S5" s="47"/>
    </row>
    <row r="6" spans="3:32" ht="14.4" x14ac:dyDescent="0.3">
      <c r="C6" s="48" t="s">
        <v>78</v>
      </c>
      <c r="D6" s="89">
        <f>'Sample TOP Labor Build-up CLIN1'!R305</f>
        <v>0</v>
      </c>
      <c r="E6" s="49">
        <f>'Base Year Labor Build-up CLIN 1'!R305</f>
        <v>0</v>
      </c>
      <c r="F6" s="49">
        <f>'Year 2 Labor Build-up CLIN 1'!R305</f>
        <v>0</v>
      </c>
      <c r="G6" s="49">
        <f>'Year 3 Labor Build-up CLIN 1'!R305</f>
        <v>0</v>
      </c>
      <c r="H6" s="49">
        <f>'Year 4 Labor Build-up CLIN 1'!R305</f>
        <v>0</v>
      </c>
      <c r="I6" s="49">
        <f>'Year 4 Labor Build-up CLIN 1'!R305</f>
        <v>0</v>
      </c>
      <c r="J6" s="49">
        <f>I6/2</f>
        <v>0</v>
      </c>
      <c r="K6" s="50"/>
      <c r="L6" s="50"/>
      <c r="M6" s="50"/>
      <c r="N6" s="50"/>
      <c r="O6" s="50"/>
      <c r="P6" s="50"/>
      <c r="Q6" s="50"/>
      <c r="R6" s="50"/>
      <c r="S6" s="50"/>
    </row>
    <row r="7" spans="3:32" ht="14.4" x14ac:dyDescent="0.3">
      <c r="C7" s="51" t="s">
        <v>79</v>
      </c>
      <c r="D7" s="90">
        <f>'Sample TOP Labor Build-up CLIN1'!S305</f>
        <v>0</v>
      </c>
      <c r="E7" s="52">
        <f>'Base Year Labor Build-up CLIN 1'!S305</f>
        <v>0</v>
      </c>
      <c r="F7" s="52">
        <f>'Year 2 Labor Build-up CLIN 1'!S305</f>
        <v>0</v>
      </c>
      <c r="G7" s="52">
        <f>'Year 3 Labor Build-up CLIN 1'!S305</f>
        <v>0</v>
      </c>
      <c r="H7" s="52">
        <f>'Year 4 Labor Build-up CLIN 1'!S305</f>
        <v>0</v>
      </c>
      <c r="I7" s="52">
        <f>'Year 5 Labor Build-up CLIN 1'!S305</f>
        <v>0</v>
      </c>
      <c r="J7" s="52">
        <f t="shared" ref="J7" si="0">I7/2</f>
        <v>0</v>
      </c>
      <c r="K7" s="50"/>
      <c r="L7" s="50"/>
      <c r="M7" s="50"/>
      <c r="N7" s="50"/>
      <c r="O7" s="50"/>
      <c r="P7" s="50"/>
      <c r="Q7" s="50"/>
      <c r="R7" s="50"/>
      <c r="S7" s="50"/>
    </row>
    <row r="8" spans="3:32" ht="14.4" x14ac:dyDescent="0.3">
      <c r="C8" s="51" t="s">
        <v>81</v>
      </c>
      <c r="D8" s="71">
        <f ca="1">SUMIF('Sample TOP Labor Build-up CLIN1'!J3:J302, "Sub", 'Sample TOP Labor Build-up CLIN1'!R305)</f>
        <v>0</v>
      </c>
      <c r="E8" s="71">
        <f ca="1">SUMIF('Base Year Labor Build-up CLIN 1'!J3:J302, "Sub", 'Base Year Labor Build-up CLIN 1'!R305)</f>
        <v>0</v>
      </c>
      <c r="F8" s="71">
        <f ca="1">SUMIF('Year 2 Labor Build-up CLIN 1'!J3:J302, "Sub", 'Year 2 Labor Build-up CLIN 1'!R305)</f>
        <v>0</v>
      </c>
      <c r="G8" s="71">
        <f ca="1">SUMIF('Year 3 Labor Build-up CLIN 1'!J3:J302, "Sub", 'Year 3 Labor Build-up CLIN 1'!R305)</f>
        <v>0</v>
      </c>
      <c r="H8" s="71">
        <f ca="1">SUMIF('Year 4 Labor Build-up CLIN 1'!J3:J302, "Sub", 'Year 4 Labor Build-up CLIN 1'!R305)</f>
        <v>0</v>
      </c>
      <c r="I8" s="71">
        <f ca="1">SUMIF('Year 5 Labor Build-up CLIN 1'!J3:J302, "Sub", 'Year 5 Labor Build-up CLIN 1'!R305)</f>
        <v>0</v>
      </c>
      <c r="J8" s="71">
        <f ca="1">I8/2</f>
        <v>0</v>
      </c>
      <c r="K8" s="50"/>
      <c r="L8" s="50"/>
      <c r="M8" s="50"/>
      <c r="N8" s="50"/>
      <c r="O8" s="50"/>
      <c r="P8" s="50"/>
      <c r="Q8" s="50"/>
      <c r="R8" s="50"/>
      <c r="S8" s="50"/>
    </row>
    <row r="9" spans="3:32" ht="14.4" x14ac:dyDescent="0.3">
      <c r="C9" s="51" t="s">
        <v>80</v>
      </c>
      <c r="D9" s="71">
        <f>'Sample TOP Labor Build-up CLIN1'!T305</f>
        <v>0</v>
      </c>
      <c r="E9" s="52">
        <f>'Base Year Labor Build-up CLIN 1'!T305</f>
        <v>0</v>
      </c>
      <c r="F9" s="52">
        <f>'Year 2 Labor Build-up CLIN 1'!T305</f>
        <v>0</v>
      </c>
      <c r="G9" s="52">
        <f>'Year 3 Labor Build-up CLIN 1'!T305</f>
        <v>0</v>
      </c>
      <c r="H9" s="52">
        <f>'Year 4 Labor Build-up CLIN 1'!T305</f>
        <v>0</v>
      </c>
      <c r="I9" s="52">
        <f>'Year 5 Labor Build-up CLIN 1'!T305</f>
        <v>0</v>
      </c>
      <c r="J9" s="52">
        <f>I9/2</f>
        <v>0</v>
      </c>
      <c r="K9" s="50"/>
      <c r="L9" s="50"/>
      <c r="M9" s="50"/>
      <c r="N9" s="50"/>
      <c r="O9" s="50"/>
      <c r="P9" s="50"/>
      <c r="Q9" s="50"/>
      <c r="R9" s="50"/>
      <c r="S9" s="50"/>
    </row>
    <row r="10" spans="3:32" ht="14.4" x14ac:dyDescent="0.3">
      <c r="C10" s="51" t="s">
        <v>8</v>
      </c>
      <c r="D10" s="71">
        <f>'Sample TOP Labor Build-up CLIN1'!U305</f>
        <v>0</v>
      </c>
      <c r="E10" s="61">
        <f>'Base Year Labor Build-up CLIN 1'!U305</f>
        <v>0</v>
      </c>
      <c r="F10" s="61">
        <f>'Year 2 Labor Build-up CLIN 1'!U305</f>
        <v>0</v>
      </c>
      <c r="G10" s="61">
        <f>'Year 3 Labor Build-up CLIN 1'!U305</f>
        <v>0</v>
      </c>
      <c r="H10" s="61">
        <f>'Year 4 Labor Build-up CLIN 1'!U305</f>
        <v>0</v>
      </c>
      <c r="I10" s="61">
        <f>'Year 5 Labor Build-up CLIN 1'!U305</f>
        <v>0</v>
      </c>
      <c r="J10" s="61">
        <f>I10/2</f>
        <v>0</v>
      </c>
      <c r="K10" s="50"/>
      <c r="L10" s="50"/>
      <c r="M10" s="50"/>
      <c r="N10" s="50"/>
      <c r="O10" s="50"/>
      <c r="P10" s="50"/>
      <c r="Q10" s="50"/>
      <c r="R10" s="50"/>
      <c r="S10" s="50"/>
    </row>
    <row r="11" spans="3:32" ht="14.4" x14ac:dyDescent="0.3">
      <c r="C11" s="70" t="s">
        <v>120</v>
      </c>
      <c r="D11" s="71">
        <f>'Sample TOP Labor Build-up CLIN1'!V305</f>
        <v>0</v>
      </c>
      <c r="E11" s="61">
        <f>'Base Year Labor Build-up CLIN 1'!V305</f>
        <v>0</v>
      </c>
      <c r="F11" s="61">
        <f>'Year 2 Labor Build-up CLIN 1'!V305</f>
        <v>0</v>
      </c>
      <c r="G11" s="61">
        <f>'Year 3 Labor Build-up CLIN 1'!V305</f>
        <v>0</v>
      </c>
      <c r="H11" s="61">
        <f>'Year 4 Labor Build-up CLIN 1'!V305</f>
        <v>0</v>
      </c>
      <c r="I11" s="61">
        <f>'Year 5 Labor Build-up CLIN 1'!V305</f>
        <v>0</v>
      </c>
      <c r="J11" s="61">
        <f t="shared" ref="J11:J12" si="1">I11/2</f>
        <v>0</v>
      </c>
      <c r="K11" s="50"/>
      <c r="L11" s="50"/>
      <c r="M11" s="50"/>
      <c r="N11" s="50"/>
      <c r="O11" s="50"/>
      <c r="P11" s="50"/>
      <c r="Q11" s="50"/>
      <c r="R11" s="50"/>
      <c r="S11" s="50"/>
    </row>
    <row r="12" spans="3:32" ht="14.4" x14ac:dyDescent="0.3">
      <c r="C12" s="70" t="s">
        <v>117</v>
      </c>
      <c r="D12" s="71">
        <f>'Sample TOP Labor Build-up CLIN1'!W305</f>
        <v>0</v>
      </c>
      <c r="E12" s="61">
        <f>'Base Year Labor Build-up CLIN 1'!W305</f>
        <v>0</v>
      </c>
      <c r="F12" s="61">
        <f>'Year 2 Labor Build-up CLIN 1'!W305</f>
        <v>0</v>
      </c>
      <c r="G12" s="61">
        <f>'Year 3 Labor Build-up CLIN 1'!W305</f>
        <v>0</v>
      </c>
      <c r="H12" s="61">
        <f>'Year 4 Labor Build-up CLIN 1'!W305</f>
        <v>0</v>
      </c>
      <c r="I12" s="61">
        <f>'Year 5 Labor Build-up CLIN 1'!W305</f>
        <v>0</v>
      </c>
      <c r="J12" s="61">
        <f t="shared" si="1"/>
        <v>0</v>
      </c>
      <c r="K12" s="50"/>
      <c r="L12" s="50"/>
      <c r="M12" s="50"/>
      <c r="N12" s="50"/>
      <c r="O12" s="50"/>
      <c r="P12" s="50"/>
      <c r="Q12" s="50"/>
      <c r="R12" s="50"/>
      <c r="S12" s="50"/>
    </row>
    <row r="13" spans="3:32" ht="14.4" x14ac:dyDescent="0.3">
      <c r="C13" s="51" t="s">
        <v>82</v>
      </c>
      <c r="D13" s="52">
        <f t="shared" ref="D13:H13" ca="1" si="2">SUM(D6:D12)</f>
        <v>0</v>
      </c>
      <c r="E13" s="52">
        <f t="shared" ca="1" si="2"/>
        <v>0</v>
      </c>
      <c r="F13" s="52">
        <f t="shared" ca="1" si="2"/>
        <v>0</v>
      </c>
      <c r="G13" s="52">
        <f t="shared" ca="1" si="2"/>
        <v>0</v>
      </c>
      <c r="H13" s="52">
        <f t="shared" ca="1" si="2"/>
        <v>0</v>
      </c>
      <c r="I13" s="52">
        <f ca="1">SUM(I6:I12)</f>
        <v>0</v>
      </c>
      <c r="J13" s="52">
        <f t="shared" ref="J13" ca="1" si="3">SUM(J6:J10)</f>
        <v>0</v>
      </c>
      <c r="K13" s="50"/>
      <c r="L13" s="50"/>
      <c r="M13" s="50"/>
      <c r="N13" s="50"/>
      <c r="O13" s="50"/>
      <c r="P13" s="50"/>
      <c r="Q13" s="50"/>
      <c r="R13" s="50"/>
      <c r="S13" s="50"/>
    </row>
    <row r="14" spans="3:32" ht="14.4" x14ac:dyDescent="0.3">
      <c r="C14" s="51" t="s">
        <v>6</v>
      </c>
      <c r="D14" s="71">
        <f>'Sample TOP Labor Build-up CLIN1'!X305</f>
        <v>0</v>
      </c>
      <c r="E14" s="61">
        <f>'Base Year Labor Build-up CLIN 1'!X305</f>
        <v>0</v>
      </c>
      <c r="F14" s="61">
        <f>'Year 2 Labor Build-up CLIN 1'!X305</f>
        <v>0</v>
      </c>
      <c r="G14" s="61">
        <f>'Year 3 Labor Build-up CLIN 1'!X305</f>
        <v>0</v>
      </c>
      <c r="H14" s="61">
        <f>'Year 4 Labor Build-up CLIN 1'!X305</f>
        <v>0</v>
      </c>
      <c r="I14" s="61">
        <f>'Year 5 Labor Build-up CLIN 1'!X305</f>
        <v>0</v>
      </c>
      <c r="J14" s="61">
        <f>I14/2</f>
        <v>0</v>
      </c>
      <c r="K14" s="50"/>
      <c r="L14" s="50"/>
      <c r="M14" s="50"/>
      <c r="N14" s="50"/>
      <c r="O14" s="50"/>
      <c r="P14" s="50"/>
      <c r="Q14" s="50"/>
      <c r="R14" s="50"/>
      <c r="S14" s="50"/>
      <c r="T14" s="50"/>
      <c r="U14" s="50"/>
      <c r="V14" s="50"/>
      <c r="W14" s="50"/>
      <c r="X14" s="50"/>
      <c r="Y14" s="50"/>
      <c r="Z14" s="50"/>
      <c r="AA14" s="50"/>
      <c r="AB14" s="50"/>
      <c r="AC14" s="50"/>
      <c r="AD14" s="50"/>
      <c r="AE14" s="50"/>
      <c r="AF14" s="50"/>
    </row>
    <row r="15" spans="3:32" ht="15" thickBot="1" x14ac:dyDescent="0.35">
      <c r="C15" s="72" t="s">
        <v>84</v>
      </c>
      <c r="D15" s="73">
        <f ca="1">SUM(D13:D14)</f>
        <v>0</v>
      </c>
      <c r="E15" s="73">
        <f ca="1">SUM(E13:E14)</f>
        <v>0</v>
      </c>
      <c r="F15" s="73">
        <f t="shared" ref="F15:J15" ca="1" si="4">SUM(F13:F14)</f>
        <v>0</v>
      </c>
      <c r="G15" s="73">
        <f t="shared" ca="1" si="4"/>
        <v>0</v>
      </c>
      <c r="H15" s="73">
        <f t="shared" ca="1" si="4"/>
        <v>0</v>
      </c>
      <c r="I15" s="73">
        <f t="shared" ca="1" si="4"/>
        <v>0</v>
      </c>
      <c r="J15" s="73">
        <f t="shared" ca="1" si="4"/>
        <v>0</v>
      </c>
      <c r="K15" s="50"/>
      <c r="L15" s="50"/>
      <c r="M15" s="50"/>
      <c r="N15" s="50"/>
      <c r="O15" s="50"/>
      <c r="P15" s="50"/>
      <c r="Q15" s="50"/>
      <c r="R15" s="50"/>
      <c r="S15" s="50"/>
      <c r="T15" s="50"/>
      <c r="U15" s="50"/>
      <c r="V15" s="50"/>
      <c r="W15" s="50"/>
      <c r="X15" s="50"/>
      <c r="Y15" s="50"/>
      <c r="Z15" s="50"/>
      <c r="AA15" s="50"/>
      <c r="AB15" s="50"/>
      <c r="AC15" s="50"/>
      <c r="AD15" s="50"/>
      <c r="AE15" s="50"/>
      <c r="AF15" s="50"/>
    </row>
    <row r="16" spans="3:32" ht="15" thickTop="1" x14ac:dyDescent="0.3">
      <c r="S16" s="50"/>
      <c r="T16" s="50"/>
      <c r="U16" s="50"/>
      <c r="V16" s="50"/>
      <c r="W16" s="50"/>
      <c r="X16" s="50"/>
      <c r="Y16" s="50"/>
      <c r="Z16" s="50"/>
      <c r="AA16" s="50"/>
      <c r="AB16" s="50"/>
      <c r="AC16" s="50"/>
      <c r="AD16" s="50"/>
      <c r="AE16" s="50"/>
      <c r="AF16" s="50"/>
    </row>
    <row r="17" spans="8:32" ht="14.4" x14ac:dyDescent="0.3">
      <c r="S17" s="50"/>
      <c r="T17" s="50"/>
      <c r="U17" s="50"/>
      <c r="V17" s="50"/>
      <c r="W17" s="50"/>
      <c r="X17" s="50"/>
      <c r="Y17" s="50"/>
      <c r="Z17" s="50"/>
      <c r="AA17" s="50"/>
      <c r="AB17" s="50"/>
      <c r="AC17" s="50"/>
      <c r="AD17" s="50"/>
      <c r="AE17" s="50"/>
      <c r="AF17" s="50"/>
    </row>
    <row r="18" spans="8:32" ht="14.4" x14ac:dyDescent="0.3">
      <c r="S18" s="50"/>
      <c r="T18" s="50"/>
      <c r="U18" s="50"/>
      <c r="V18" s="50"/>
      <c r="W18" s="50"/>
      <c r="X18" s="50"/>
      <c r="Y18" s="50"/>
      <c r="Z18" s="50"/>
      <c r="AA18" s="50"/>
      <c r="AB18" s="50"/>
      <c r="AC18" s="50"/>
      <c r="AD18" s="50"/>
      <c r="AE18" s="50"/>
      <c r="AF18" s="50"/>
    </row>
    <row r="19" spans="8:32" ht="14.4" x14ac:dyDescent="0.3">
      <c r="S19" s="50"/>
      <c r="T19" s="50"/>
      <c r="U19" s="50"/>
      <c r="V19" s="50"/>
      <c r="W19" s="50"/>
      <c r="X19" s="50"/>
      <c r="Y19" s="50"/>
      <c r="Z19" s="50"/>
      <c r="AA19" s="50"/>
      <c r="AB19" s="50"/>
      <c r="AC19" s="50"/>
      <c r="AD19" s="50"/>
      <c r="AE19" s="50"/>
      <c r="AF19" s="50"/>
    </row>
    <row r="20" spans="8:32" ht="14.4" x14ac:dyDescent="0.3">
      <c r="S20" s="50"/>
      <c r="T20" s="50"/>
      <c r="U20" s="50"/>
      <c r="V20" s="50"/>
      <c r="W20" s="50"/>
      <c r="X20" s="50"/>
      <c r="Y20" s="50"/>
      <c r="Z20" s="50"/>
      <c r="AA20" s="50"/>
      <c r="AB20" s="50"/>
      <c r="AC20" s="50"/>
      <c r="AD20" s="50"/>
      <c r="AE20" s="50"/>
      <c r="AF20" s="50"/>
    </row>
    <row r="21" spans="8:32" ht="14.4" x14ac:dyDescent="0.3">
      <c r="S21" s="50"/>
      <c r="T21" s="50"/>
      <c r="U21" s="50"/>
      <c r="V21" s="50"/>
      <c r="W21" s="50"/>
      <c r="X21" s="50"/>
      <c r="Y21" s="50"/>
      <c r="Z21" s="50"/>
      <c r="AA21" s="50"/>
      <c r="AB21" s="50"/>
      <c r="AC21" s="50"/>
      <c r="AD21" s="50"/>
      <c r="AE21" s="50"/>
      <c r="AF21" s="50"/>
    </row>
    <row r="22" spans="8:32" ht="14.4" x14ac:dyDescent="0.3">
      <c r="S22" s="50"/>
      <c r="T22" s="50"/>
      <c r="U22" s="50"/>
      <c r="V22" s="50"/>
      <c r="W22" s="50"/>
      <c r="X22" s="50"/>
      <c r="Y22" s="50"/>
      <c r="Z22" s="50"/>
      <c r="AA22" s="50"/>
      <c r="AB22" s="50"/>
      <c r="AC22" s="50"/>
      <c r="AD22" s="50"/>
      <c r="AE22" s="50"/>
      <c r="AF22" s="50"/>
    </row>
    <row r="23" spans="8:32" ht="14.4" x14ac:dyDescent="0.3">
      <c r="S23" s="50"/>
      <c r="T23" s="50"/>
      <c r="U23" s="50"/>
      <c r="V23" s="50"/>
      <c r="W23" s="50"/>
      <c r="X23" s="50"/>
      <c r="Y23" s="50"/>
      <c r="Z23" s="50"/>
      <c r="AA23" s="50"/>
      <c r="AB23" s="50"/>
      <c r="AC23" s="50"/>
      <c r="AD23" s="50"/>
      <c r="AE23" s="50"/>
      <c r="AF23" s="50"/>
    </row>
    <row r="25" spans="8:32" x14ac:dyDescent="0.25">
      <c r="I25" s="44" t="s">
        <v>86</v>
      </c>
      <c r="K25" s="44" t="s">
        <v>85</v>
      </c>
    </row>
    <row r="26" spans="8:32" x14ac:dyDescent="0.25">
      <c r="I26" s="44" t="s">
        <v>87</v>
      </c>
    </row>
    <row r="29" spans="8:32" x14ac:dyDescent="0.25">
      <c r="H29" s="44" t="s">
        <v>85</v>
      </c>
    </row>
  </sheetData>
  <phoneticPr fontId="10" type="noConversion"/>
  <pageMargins left="0.7" right="0.7" top="0.75" bottom="0.75" header="0.3" footer="0.3"/>
  <ignoredErrors>
    <ignoredError sqref="J1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BB1BE-5CFE-4EBC-8B48-CAE3EA2A126A}">
  <sheetPr>
    <tabColor rgb="FF0070C0"/>
  </sheetPr>
  <dimension ref="A1:Y306"/>
  <sheetViews>
    <sheetView zoomScale="85" zoomScaleNormal="85" workbookViewId="0">
      <pane ySplit="2" topLeftCell="A3" activePane="bottomLeft" state="frozen"/>
      <selection pane="bottomLeft" activeCell="F31" sqref="F31"/>
    </sheetView>
  </sheetViews>
  <sheetFormatPr defaultColWidth="9.109375" defaultRowHeight="15" x14ac:dyDescent="0.25"/>
  <cols>
    <col min="1" max="2" width="18.33203125" style="27" customWidth="1"/>
    <col min="3" max="3" width="14.33203125" style="34" bestFit="1" customWidth="1"/>
    <col min="4" max="4" width="56" style="27" bestFit="1" customWidth="1"/>
    <col min="5" max="5" width="15.44140625" style="27" customWidth="1"/>
    <col min="6" max="6" width="12.88671875" style="27" bestFit="1" customWidth="1"/>
    <col min="7" max="7" width="15.109375" style="28" bestFit="1" customWidth="1"/>
    <col min="8" max="8" width="25.33203125" style="29" customWidth="1"/>
    <col min="9" max="9" width="19.5546875" style="30" customWidth="1"/>
    <col min="10" max="10" width="20.33203125" style="31" bestFit="1" customWidth="1"/>
    <col min="11" max="11" width="24.88671875" style="28" bestFit="1" customWidth="1"/>
    <col min="12" max="13" width="19.44140625" style="27" bestFit="1" customWidth="1"/>
    <col min="14" max="14" width="12.33203125" style="27" bestFit="1" customWidth="1"/>
    <col min="15" max="15" width="19.44140625" style="27" bestFit="1" customWidth="1"/>
    <col min="16" max="16" width="19.5546875" style="27" bestFit="1" customWidth="1"/>
    <col min="17" max="17" width="20.109375" style="27" bestFit="1" customWidth="1"/>
    <col min="18" max="18" width="22.6640625" style="27" bestFit="1" customWidth="1"/>
    <col min="19" max="23" width="19.44140625" style="27" customWidth="1"/>
    <col min="24" max="24" width="19.44140625" style="33" customWidth="1"/>
    <col min="25" max="25" width="19.44140625" style="27" bestFit="1" customWidth="1"/>
    <col min="26" max="16384" width="9.109375" style="27"/>
  </cols>
  <sheetData>
    <row r="1" spans="1:25" s="83" customFormat="1" ht="84" customHeight="1" thickBot="1" x14ac:dyDescent="0.35">
      <c r="C1" s="75"/>
      <c r="D1" s="63" t="s">
        <v>102</v>
      </c>
      <c r="G1" s="84"/>
      <c r="H1" s="85"/>
      <c r="I1" s="86"/>
      <c r="J1" s="64" t="s">
        <v>95</v>
      </c>
      <c r="K1" s="84"/>
      <c r="L1" s="87"/>
      <c r="M1" s="87"/>
      <c r="N1" s="87"/>
      <c r="O1" s="87"/>
      <c r="P1" s="87"/>
      <c r="Q1" s="87"/>
      <c r="R1" s="87"/>
      <c r="S1" s="93" t="s">
        <v>116</v>
      </c>
      <c r="T1" s="94"/>
      <c r="U1" s="94"/>
      <c r="V1" s="94"/>
      <c r="W1" s="94"/>
      <c r="X1" s="95"/>
    </row>
    <row r="2" spans="1:25" s="58" customFormat="1" ht="31.2" x14ac:dyDescent="0.3">
      <c r="A2" s="53" t="s">
        <v>89</v>
      </c>
      <c r="B2" s="62" t="s">
        <v>133</v>
      </c>
      <c r="C2" s="62" t="s">
        <v>61</v>
      </c>
      <c r="D2" s="53" t="s">
        <v>10</v>
      </c>
      <c r="E2" s="53" t="s">
        <v>94</v>
      </c>
      <c r="F2" s="53" t="s">
        <v>62</v>
      </c>
      <c r="G2" s="53" t="s">
        <v>63</v>
      </c>
      <c r="H2" s="57" t="s">
        <v>64</v>
      </c>
      <c r="I2" s="57" t="s">
        <v>65</v>
      </c>
      <c r="J2" s="60" t="s">
        <v>88</v>
      </c>
      <c r="K2" s="53" t="s">
        <v>93</v>
      </c>
      <c r="L2" s="53" t="s">
        <v>66</v>
      </c>
      <c r="M2" s="53" t="s">
        <v>67</v>
      </c>
      <c r="N2" s="53" t="s">
        <v>1</v>
      </c>
      <c r="O2" s="53" t="s">
        <v>7</v>
      </c>
      <c r="P2" s="53" t="s">
        <v>68</v>
      </c>
      <c r="Q2" s="53" t="s">
        <v>69</v>
      </c>
      <c r="R2" s="53" t="s">
        <v>70</v>
      </c>
      <c r="S2" s="55" t="s">
        <v>90</v>
      </c>
      <c r="T2" s="55" t="s">
        <v>91</v>
      </c>
      <c r="U2" s="55" t="s">
        <v>92</v>
      </c>
      <c r="V2" s="55" t="s">
        <v>119</v>
      </c>
      <c r="W2" s="55" t="s">
        <v>118</v>
      </c>
      <c r="X2" s="56" t="s">
        <v>101</v>
      </c>
      <c r="Y2" s="53" t="s">
        <v>71</v>
      </c>
    </row>
    <row r="3" spans="1:25" x14ac:dyDescent="0.25">
      <c r="C3" s="34" t="s">
        <v>127</v>
      </c>
      <c r="D3" s="54" t="s">
        <v>23</v>
      </c>
      <c r="E3" s="34"/>
      <c r="F3" s="34"/>
      <c r="H3" s="35"/>
      <c r="I3" s="36"/>
      <c r="J3" s="37"/>
      <c r="K3" s="38"/>
      <c r="L3" s="29"/>
      <c r="M3" s="29"/>
      <c r="N3" s="29"/>
      <c r="O3" s="39"/>
      <c r="P3" s="40">
        <f t="shared" ref="P3:P66" si="0">$L3*$O3</f>
        <v>0</v>
      </c>
      <c r="Q3" s="40">
        <f>IF(E3="NE",(M3*O3*1.5),(M3*O3))</f>
        <v>0</v>
      </c>
      <c r="R3" s="40">
        <f>P3+Q3</f>
        <v>0</v>
      </c>
      <c r="S3" s="41"/>
      <c r="T3" s="41"/>
      <c r="U3" s="41"/>
      <c r="V3" s="41"/>
      <c r="W3" s="41"/>
      <c r="X3" s="41"/>
      <c r="Y3" s="33">
        <f t="shared" ref="Y3:Y66" si="1">SUM(R3:X3)</f>
        <v>0</v>
      </c>
    </row>
    <row r="4" spans="1:25" x14ac:dyDescent="0.25">
      <c r="C4" s="34" t="s">
        <v>127</v>
      </c>
      <c r="D4" s="54" t="s">
        <v>24</v>
      </c>
      <c r="E4" s="34"/>
      <c r="F4" s="34"/>
      <c r="H4" s="35"/>
      <c r="I4" s="36"/>
      <c r="J4" s="37"/>
      <c r="K4" s="38"/>
      <c r="L4" s="29"/>
      <c r="M4" s="29"/>
      <c r="N4" s="29"/>
      <c r="O4" s="39"/>
      <c r="P4" s="40">
        <f t="shared" si="0"/>
        <v>0</v>
      </c>
      <c r="Q4" s="40">
        <f t="shared" ref="Q4:Q67" si="2">IF(E4="NE",(M4*O4*1.5),(M4*O4))</f>
        <v>0</v>
      </c>
      <c r="R4" s="40">
        <f t="shared" ref="R4:R67" si="3">P4+Q4</f>
        <v>0</v>
      </c>
      <c r="S4" s="41"/>
      <c r="T4" s="41"/>
      <c r="U4" s="41"/>
      <c r="V4" s="41"/>
      <c r="W4" s="41"/>
      <c r="X4" s="41"/>
      <c r="Y4" s="33">
        <f t="shared" si="1"/>
        <v>0</v>
      </c>
    </row>
    <row r="5" spans="1:25" x14ac:dyDescent="0.25">
      <c r="C5" s="34" t="s">
        <v>127</v>
      </c>
      <c r="D5" s="54" t="s">
        <v>25</v>
      </c>
      <c r="E5" s="34"/>
      <c r="F5" s="34"/>
      <c r="H5" s="35"/>
      <c r="I5" s="36"/>
      <c r="J5" s="37"/>
      <c r="K5" s="38"/>
      <c r="L5" s="29"/>
      <c r="M5" s="29"/>
      <c r="N5" s="29"/>
      <c r="O5" s="39"/>
      <c r="P5" s="40">
        <f t="shared" si="0"/>
        <v>0</v>
      </c>
      <c r="Q5" s="40">
        <f t="shared" si="2"/>
        <v>0</v>
      </c>
      <c r="R5" s="40">
        <f t="shared" si="3"/>
        <v>0</v>
      </c>
      <c r="S5" s="41"/>
      <c r="T5" s="41"/>
      <c r="U5" s="41"/>
      <c r="V5" s="41"/>
      <c r="W5" s="41"/>
      <c r="X5" s="41"/>
      <c r="Y5" s="33">
        <f t="shared" si="1"/>
        <v>0</v>
      </c>
    </row>
    <row r="6" spans="1:25" x14ac:dyDescent="0.25">
      <c r="C6" s="34" t="s">
        <v>127</v>
      </c>
      <c r="D6" s="54" t="s">
        <v>26</v>
      </c>
      <c r="E6" s="34"/>
      <c r="F6" s="34"/>
      <c r="H6" s="35"/>
      <c r="I6" s="36"/>
      <c r="J6" s="37"/>
      <c r="K6" s="38"/>
      <c r="L6" s="29"/>
      <c r="M6" s="29"/>
      <c r="N6" s="29"/>
      <c r="O6" s="39"/>
      <c r="P6" s="40">
        <f t="shared" si="0"/>
        <v>0</v>
      </c>
      <c r="Q6" s="40">
        <f t="shared" si="2"/>
        <v>0</v>
      </c>
      <c r="R6" s="40">
        <f t="shared" si="3"/>
        <v>0</v>
      </c>
      <c r="S6" s="41"/>
      <c r="T6" s="41"/>
      <c r="U6" s="41"/>
      <c r="V6" s="41"/>
      <c r="W6" s="41"/>
      <c r="X6" s="41"/>
      <c r="Y6" s="33">
        <f t="shared" si="1"/>
        <v>0</v>
      </c>
    </row>
    <row r="7" spans="1:25" x14ac:dyDescent="0.25">
      <c r="C7" s="34" t="s">
        <v>127</v>
      </c>
      <c r="D7" s="54" t="s">
        <v>27</v>
      </c>
      <c r="E7" s="34"/>
      <c r="F7" s="34"/>
      <c r="H7" s="35"/>
      <c r="I7" s="36"/>
      <c r="J7" s="37"/>
      <c r="K7" s="38"/>
      <c r="L7" s="29"/>
      <c r="M7" s="29"/>
      <c r="N7" s="29"/>
      <c r="O7" s="39"/>
      <c r="P7" s="40">
        <f t="shared" si="0"/>
        <v>0</v>
      </c>
      <c r="Q7" s="40">
        <f t="shared" si="2"/>
        <v>0</v>
      </c>
      <c r="R7" s="40">
        <f t="shared" si="3"/>
        <v>0</v>
      </c>
      <c r="S7" s="41"/>
      <c r="T7" s="41"/>
      <c r="U7" s="41"/>
      <c r="V7" s="41"/>
      <c r="W7" s="41"/>
      <c r="X7" s="41"/>
      <c r="Y7" s="33">
        <f t="shared" si="1"/>
        <v>0</v>
      </c>
    </row>
    <row r="8" spans="1:25" x14ac:dyDescent="0.25">
      <c r="C8" s="34" t="s">
        <v>127</v>
      </c>
      <c r="D8" s="54" t="s">
        <v>28</v>
      </c>
      <c r="E8" s="34"/>
      <c r="F8" s="34"/>
      <c r="H8" s="35"/>
      <c r="I8" s="36"/>
      <c r="J8" s="37"/>
      <c r="K8" s="38"/>
      <c r="L8" s="29"/>
      <c r="M8" s="29"/>
      <c r="N8" s="29"/>
      <c r="O8" s="39"/>
      <c r="P8" s="40">
        <f t="shared" si="0"/>
        <v>0</v>
      </c>
      <c r="Q8" s="40">
        <f t="shared" si="2"/>
        <v>0</v>
      </c>
      <c r="R8" s="40">
        <f t="shared" si="3"/>
        <v>0</v>
      </c>
      <c r="S8" s="41"/>
      <c r="T8" s="41"/>
      <c r="U8" s="41"/>
      <c r="V8" s="41"/>
      <c r="W8" s="41"/>
      <c r="X8" s="41"/>
      <c r="Y8" s="33">
        <f t="shared" si="1"/>
        <v>0</v>
      </c>
    </row>
    <row r="9" spans="1:25" x14ac:dyDescent="0.25">
      <c r="C9" s="34" t="s">
        <v>127</v>
      </c>
      <c r="D9" s="54" t="s">
        <v>29</v>
      </c>
      <c r="E9" s="34"/>
      <c r="F9" s="34"/>
      <c r="H9" s="35"/>
      <c r="I9" s="36"/>
      <c r="J9" s="37"/>
      <c r="K9" s="38"/>
      <c r="L9" s="29"/>
      <c r="M9" s="29"/>
      <c r="N9" s="29"/>
      <c r="O9" s="39"/>
      <c r="P9" s="40">
        <f t="shared" si="0"/>
        <v>0</v>
      </c>
      <c r="Q9" s="40">
        <f t="shared" si="2"/>
        <v>0</v>
      </c>
      <c r="R9" s="40">
        <f t="shared" si="3"/>
        <v>0</v>
      </c>
      <c r="S9" s="41"/>
      <c r="T9" s="41"/>
      <c r="U9" s="41"/>
      <c r="V9" s="41"/>
      <c r="W9" s="41"/>
      <c r="X9" s="41"/>
      <c r="Y9" s="33">
        <f t="shared" si="1"/>
        <v>0</v>
      </c>
    </row>
    <row r="10" spans="1:25" x14ac:dyDescent="0.25">
      <c r="C10" s="34" t="s">
        <v>127</v>
      </c>
      <c r="D10" s="54" t="s">
        <v>17</v>
      </c>
      <c r="E10" s="34"/>
      <c r="F10" s="34"/>
      <c r="H10" s="35"/>
      <c r="I10" s="36"/>
      <c r="J10" s="37"/>
      <c r="K10" s="38"/>
      <c r="L10" s="29"/>
      <c r="M10" s="29"/>
      <c r="N10" s="29"/>
      <c r="O10" s="39"/>
      <c r="P10" s="40">
        <f t="shared" si="0"/>
        <v>0</v>
      </c>
      <c r="Q10" s="40">
        <f t="shared" si="2"/>
        <v>0</v>
      </c>
      <c r="R10" s="40">
        <f t="shared" si="3"/>
        <v>0</v>
      </c>
      <c r="S10" s="41"/>
      <c r="T10" s="41"/>
      <c r="U10" s="41"/>
      <c r="V10" s="41"/>
      <c r="W10" s="41"/>
      <c r="X10" s="41"/>
      <c r="Y10" s="33">
        <f t="shared" si="1"/>
        <v>0</v>
      </c>
    </row>
    <row r="11" spans="1:25" x14ac:dyDescent="0.25">
      <c r="C11" s="34" t="s">
        <v>127</v>
      </c>
      <c r="D11" s="54" t="s">
        <v>30</v>
      </c>
      <c r="E11" s="34"/>
      <c r="F11" s="34"/>
      <c r="H11" s="35"/>
      <c r="I11" s="36"/>
      <c r="J11" s="37"/>
      <c r="K11" s="38"/>
      <c r="L11" s="29"/>
      <c r="M11" s="29"/>
      <c r="N11" s="29"/>
      <c r="O11" s="39"/>
      <c r="P11" s="40">
        <f t="shared" si="0"/>
        <v>0</v>
      </c>
      <c r="Q11" s="40">
        <f t="shared" si="2"/>
        <v>0</v>
      </c>
      <c r="R11" s="40">
        <f t="shared" si="3"/>
        <v>0</v>
      </c>
      <c r="S11" s="41"/>
      <c r="T11" s="41"/>
      <c r="U11" s="41"/>
      <c r="V11" s="41"/>
      <c r="W11" s="41"/>
      <c r="X11" s="41"/>
      <c r="Y11" s="33">
        <f t="shared" si="1"/>
        <v>0</v>
      </c>
    </row>
    <row r="12" spans="1:25" x14ac:dyDescent="0.25">
      <c r="C12" s="34" t="s">
        <v>127</v>
      </c>
      <c r="D12" s="54" t="s">
        <v>31</v>
      </c>
      <c r="E12" s="34"/>
      <c r="F12" s="34"/>
      <c r="H12" s="35"/>
      <c r="I12" s="36"/>
      <c r="J12" s="37"/>
      <c r="K12" s="38"/>
      <c r="L12" s="29"/>
      <c r="M12" s="29"/>
      <c r="N12" s="29"/>
      <c r="O12" s="39"/>
      <c r="P12" s="40">
        <f t="shared" si="0"/>
        <v>0</v>
      </c>
      <c r="Q12" s="40">
        <f t="shared" si="2"/>
        <v>0</v>
      </c>
      <c r="R12" s="40">
        <f t="shared" si="3"/>
        <v>0</v>
      </c>
      <c r="S12" s="41"/>
      <c r="T12" s="41"/>
      <c r="U12" s="41"/>
      <c r="V12" s="41"/>
      <c r="W12" s="41"/>
      <c r="X12" s="41"/>
      <c r="Y12" s="33">
        <f t="shared" si="1"/>
        <v>0</v>
      </c>
    </row>
    <row r="13" spans="1:25" x14ac:dyDescent="0.25">
      <c r="C13" s="34" t="s">
        <v>127</v>
      </c>
      <c r="D13" s="54" t="s">
        <v>32</v>
      </c>
      <c r="E13" s="34"/>
      <c r="F13" s="34"/>
      <c r="H13" s="35"/>
      <c r="I13" s="36"/>
      <c r="J13" s="37"/>
      <c r="K13" s="38"/>
      <c r="L13" s="29"/>
      <c r="M13" s="29"/>
      <c r="N13" s="29"/>
      <c r="O13" s="39"/>
      <c r="P13" s="40">
        <f t="shared" si="0"/>
        <v>0</v>
      </c>
      <c r="Q13" s="40">
        <f t="shared" si="2"/>
        <v>0</v>
      </c>
      <c r="R13" s="40">
        <f t="shared" si="3"/>
        <v>0</v>
      </c>
      <c r="S13" s="41"/>
      <c r="T13" s="41"/>
      <c r="U13" s="41"/>
      <c r="V13" s="41"/>
      <c r="W13" s="41"/>
      <c r="X13" s="41"/>
      <c r="Y13" s="33">
        <f t="shared" si="1"/>
        <v>0</v>
      </c>
    </row>
    <row r="14" spans="1:25" x14ac:dyDescent="0.25">
      <c r="C14" s="34" t="s">
        <v>127</v>
      </c>
      <c r="D14" s="54" t="s">
        <v>33</v>
      </c>
      <c r="E14" s="34"/>
      <c r="F14" s="34"/>
      <c r="H14" s="35"/>
      <c r="I14" s="36"/>
      <c r="J14" s="37"/>
      <c r="K14" s="38"/>
      <c r="L14" s="29"/>
      <c r="M14" s="29"/>
      <c r="N14" s="29"/>
      <c r="O14" s="39"/>
      <c r="P14" s="40">
        <f t="shared" si="0"/>
        <v>0</v>
      </c>
      <c r="Q14" s="40">
        <f t="shared" si="2"/>
        <v>0</v>
      </c>
      <c r="R14" s="40">
        <f t="shared" si="3"/>
        <v>0</v>
      </c>
      <c r="S14" s="41"/>
      <c r="T14" s="41"/>
      <c r="U14" s="41"/>
      <c r="V14" s="41"/>
      <c r="W14" s="41"/>
      <c r="X14" s="41"/>
      <c r="Y14" s="33">
        <f t="shared" si="1"/>
        <v>0</v>
      </c>
    </row>
    <row r="15" spans="1:25" x14ac:dyDescent="0.25">
      <c r="C15" s="34" t="s">
        <v>127</v>
      </c>
      <c r="D15" s="54" t="s">
        <v>34</v>
      </c>
      <c r="E15" s="34"/>
      <c r="F15" s="34"/>
      <c r="H15" s="35"/>
      <c r="I15" s="36"/>
      <c r="J15" s="37"/>
      <c r="K15" s="38"/>
      <c r="L15" s="29"/>
      <c r="M15" s="29"/>
      <c r="N15" s="29"/>
      <c r="O15" s="39"/>
      <c r="P15" s="40">
        <f t="shared" si="0"/>
        <v>0</v>
      </c>
      <c r="Q15" s="40">
        <f t="shared" si="2"/>
        <v>0</v>
      </c>
      <c r="R15" s="40">
        <f t="shared" si="3"/>
        <v>0</v>
      </c>
      <c r="S15" s="41"/>
      <c r="T15" s="41"/>
      <c r="U15" s="41"/>
      <c r="V15" s="41"/>
      <c r="W15" s="41"/>
      <c r="X15" s="41"/>
      <c r="Y15" s="33">
        <f t="shared" si="1"/>
        <v>0</v>
      </c>
    </row>
    <row r="16" spans="1:25" x14ac:dyDescent="0.25">
      <c r="C16" s="34" t="s">
        <v>127</v>
      </c>
      <c r="D16" s="54" t="s">
        <v>35</v>
      </c>
      <c r="E16" s="34"/>
      <c r="F16" s="34"/>
      <c r="H16" s="35"/>
      <c r="I16" s="36"/>
      <c r="J16" s="37"/>
      <c r="K16" s="38"/>
      <c r="L16" s="29"/>
      <c r="M16" s="29"/>
      <c r="N16" s="29"/>
      <c r="O16" s="39"/>
      <c r="P16" s="40">
        <f t="shared" si="0"/>
        <v>0</v>
      </c>
      <c r="Q16" s="40">
        <f t="shared" si="2"/>
        <v>0</v>
      </c>
      <c r="R16" s="40">
        <f t="shared" si="3"/>
        <v>0</v>
      </c>
      <c r="S16" s="41"/>
      <c r="T16" s="41"/>
      <c r="U16" s="41"/>
      <c r="V16" s="41"/>
      <c r="W16" s="41"/>
      <c r="X16" s="41"/>
      <c r="Y16" s="33">
        <f t="shared" si="1"/>
        <v>0</v>
      </c>
    </row>
    <row r="17" spans="3:25" x14ac:dyDescent="0.25">
      <c r="C17" s="34" t="s">
        <v>127</v>
      </c>
      <c r="D17" s="54" t="s">
        <v>36</v>
      </c>
      <c r="E17" s="34"/>
      <c r="F17" s="34"/>
      <c r="H17" s="35"/>
      <c r="I17" s="36"/>
      <c r="J17" s="37"/>
      <c r="K17" s="38"/>
      <c r="L17" s="29"/>
      <c r="M17" s="29"/>
      <c r="N17" s="29"/>
      <c r="O17" s="39"/>
      <c r="P17" s="40">
        <f t="shared" si="0"/>
        <v>0</v>
      </c>
      <c r="Q17" s="40">
        <f t="shared" si="2"/>
        <v>0</v>
      </c>
      <c r="R17" s="40">
        <f t="shared" si="3"/>
        <v>0</v>
      </c>
      <c r="S17" s="41"/>
      <c r="T17" s="41"/>
      <c r="U17" s="41"/>
      <c r="V17" s="41"/>
      <c r="W17" s="41"/>
      <c r="X17" s="41"/>
      <c r="Y17" s="33">
        <f t="shared" si="1"/>
        <v>0</v>
      </c>
    </row>
    <row r="18" spans="3:25" x14ac:dyDescent="0.25">
      <c r="C18" s="34" t="s">
        <v>127</v>
      </c>
      <c r="D18" s="54" t="s">
        <v>37</v>
      </c>
      <c r="E18" s="34"/>
      <c r="F18" s="34"/>
      <c r="H18" s="35"/>
      <c r="I18" s="36"/>
      <c r="J18" s="37"/>
      <c r="K18" s="38"/>
      <c r="L18" s="29"/>
      <c r="M18" s="29"/>
      <c r="N18" s="29"/>
      <c r="O18" s="39"/>
      <c r="P18" s="40">
        <f t="shared" si="0"/>
        <v>0</v>
      </c>
      <c r="Q18" s="40">
        <f t="shared" si="2"/>
        <v>0</v>
      </c>
      <c r="R18" s="40">
        <f t="shared" si="3"/>
        <v>0</v>
      </c>
      <c r="S18" s="41"/>
      <c r="T18" s="41"/>
      <c r="U18" s="41"/>
      <c r="V18" s="41"/>
      <c r="W18" s="41"/>
      <c r="X18" s="41"/>
      <c r="Y18" s="33">
        <f t="shared" si="1"/>
        <v>0</v>
      </c>
    </row>
    <row r="19" spans="3:25" x14ac:dyDescent="0.25">
      <c r="C19" s="34" t="s">
        <v>127</v>
      </c>
      <c r="D19" s="54" t="s">
        <v>38</v>
      </c>
      <c r="E19" s="34"/>
      <c r="F19" s="34"/>
      <c r="H19" s="35"/>
      <c r="I19" s="36"/>
      <c r="J19" s="37"/>
      <c r="K19" s="38"/>
      <c r="L19" s="29"/>
      <c r="M19" s="29"/>
      <c r="N19" s="29"/>
      <c r="O19" s="39"/>
      <c r="P19" s="40">
        <f t="shared" si="0"/>
        <v>0</v>
      </c>
      <c r="Q19" s="40">
        <f t="shared" si="2"/>
        <v>0</v>
      </c>
      <c r="R19" s="40">
        <f t="shared" si="3"/>
        <v>0</v>
      </c>
      <c r="S19" s="41"/>
      <c r="T19" s="41"/>
      <c r="U19" s="41"/>
      <c r="V19" s="41"/>
      <c r="W19" s="41"/>
      <c r="X19" s="41"/>
      <c r="Y19" s="33">
        <f t="shared" si="1"/>
        <v>0</v>
      </c>
    </row>
    <row r="20" spans="3:25" x14ac:dyDescent="0.25">
      <c r="C20" s="34" t="s">
        <v>127</v>
      </c>
      <c r="D20" s="54" t="s">
        <v>39</v>
      </c>
      <c r="E20" s="34"/>
      <c r="F20" s="34"/>
      <c r="H20" s="35"/>
      <c r="I20" s="36"/>
      <c r="J20" s="37"/>
      <c r="K20" s="38"/>
      <c r="L20" s="29"/>
      <c r="M20" s="29"/>
      <c r="N20" s="29"/>
      <c r="O20" s="39"/>
      <c r="P20" s="40">
        <f t="shared" si="0"/>
        <v>0</v>
      </c>
      <c r="Q20" s="40">
        <f t="shared" si="2"/>
        <v>0</v>
      </c>
      <c r="R20" s="40">
        <f t="shared" si="3"/>
        <v>0</v>
      </c>
      <c r="S20" s="41"/>
      <c r="T20" s="41"/>
      <c r="U20" s="41"/>
      <c r="V20" s="41"/>
      <c r="W20" s="41"/>
      <c r="X20" s="41"/>
      <c r="Y20" s="33">
        <f t="shared" si="1"/>
        <v>0</v>
      </c>
    </row>
    <row r="21" spans="3:25" x14ac:dyDescent="0.25">
      <c r="C21" s="34" t="s">
        <v>127</v>
      </c>
      <c r="D21" s="54" t="s">
        <v>40</v>
      </c>
      <c r="E21" s="34"/>
      <c r="F21" s="34"/>
      <c r="H21" s="35"/>
      <c r="I21" s="36"/>
      <c r="J21" s="37"/>
      <c r="K21" s="38"/>
      <c r="L21" s="29"/>
      <c r="M21" s="29"/>
      <c r="N21" s="29"/>
      <c r="O21" s="39"/>
      <c r="P21" s="40">
        <f t="shared" si="0"/>
        <v>0</v>
      </c>
      <c r="Q21" s="40">
        <f t="shared" si="2"/>
        <v>0</v>
      </c>
      <c r="R21" s="40">
        <f t="shared" si="3"/>
        <v>0</v>
      </c>
      <c r="S21" s="41"/>
      <c r="T21" s="41"/>
      <c r="U21" s="41"/>
      <c r="V21" s="41"/>
      <c r="W21" s="41"/>
      <c r="X21" s="41"/>
      <c r="Y21" s="33">
        <f t="shared" si="1"/>
        <v>0</v>
      </c>
    </row>
    <row r="22" spans="3:25" x14ac:dyDescent="0.25">
      <c r="C22" s="34" t="s">
        <v>127</v>
      </c>
      <c r="D22" s="54" t="s">
        <v>41</v>
      </c>
      <c r="E22" s="34"/>
      <c r="F22" s="34"/>
      <c r="G22" s="38"/>
      <c r="H22" s="35"/>
      <c r="I22" s="36"/>
      <c r="J22" s="37"/>
      <c r="K22" s="38"/>
      <c r="L22" s="29"/>
      <c r="M22" s="29"/>
      <c r="N22" s="29"/>
      <c r="O22" s="39"/>
      <c r="P22" s="40">
        <f t="shared" si="0"/>
        <v>0</v>
      </c>
      <c r="Q22" s="40">
        <f t="shared" si="2"/>
        <v>0</v>
      </c>
      <c r="R22" s="40">
        <f t="shared" si="3"/>
        <v>0</v>
      </c>
      <c r="S22" s="41"/>
      <c r="T22" s="41"/>
      <c r="U22" s="41"/>
      <c r="V22" s="41"/>
      <c r="W22" s="41"/>
      <c r="X22" s="41"/>
      <c r="Y22" s="33">
        <f t="shared" si="1"/>
        <v>0</v>
      </c>
    </row>
    <row r="23" spans="3:25" x14ac:dyDescent="0.25">
      <c r="C23" s="34" t="s">
        <v>127</v>
      </c>
      <c r="D23" s="54" t="s">
        <v>42</v>
      </c>
      <c r="E23" s="34"/>
      <c r="F23" s="34"/>
      <c r="G23" s="38"/>
      <c r="H23" s="35"/>
      <c r="I23" s="36"/>
      <c r="J23" s="37"/>
      <c r="K23" s="38"/>
      <c r="L23" s="29"/>
      <c r="M23" s="29"/>
      <c r="N23" s="29"/>
      <c r="O23" s="39"/>
      <c r="P23" s="40">
        <f t="shared" si="0"/>
        <v>0</v>
      </c>
      <c r="Q23" s="40">
        <f t="shared" si="2"/>
        <v>0</v>
      </c>
      <c r="R23" s="40">
        <f t="shared" si="3"/>
        <v>0</v>
      </c>
      <c r="S23" s="41"/>
      <c r="T23" s="41"/>
      <c r="U23" s="41"/>
      <c r="V23" s="41"/>
      <c r="W23" s="41"/>
      <c r="X23" s="41"/>
      <c r="Y23" s="33">
        <f t="shared" si="1"/>
        <v>0</v>
      </c>
    </row>
    <row r="24" spans="3:25" x14ac:dyDescent="0.25">
      <c r="C24" s="34" t="s">
        <v>127</v>
      </c>
      <c r="D24" s="54" t="s">
        <v>43</v>
      </c>
      <c r="E24" s="34"/>
      <c r="F24" s="34"/>
      <c r="H24" s="35"/>
      <c r="I24" s="36"/>
      <c r="J24" s="37"/>
      <c r="K24" s="38"/>
      <c r="L24" s="29"/>
      <c r="M24" s="29"/>
      <c r="N24" s="29"/>
      <c r="O24" s="39"/>
      <c r="P24" s="40">
        <f t="shared" si="0"/>
        <v>0</v>
      </c>
      <c r="Q24" s="40">
        <f t="shared" si="2"/>
        <v>0</v>
      </c>
      <c r="R24" s="40">
        <f t="shared" si="3"/>
        <v>0</v>
      </c>
      <c r="S24" s="41"/>
      <c r="T24" s="41"/>
      <c r="U24" s="41"/>
      <c r="V24" s="41"/>
      <c r="W24" s="41"/>
      <c r="X24" s="41"/>
      <c r="Y24" s="33">
        <f t="shared" si="1"/>
        <v>0</v>
      </c>
    </row>
    <row r="25" spans="3:25" x14ac:dyDescent="0.25">
      <c r="C25" s="34" t="s">
        <v>127</v>
      </c>
      <c r="D25" s="54" t="s">
        <v>44</v>
      </c>
      <c r="E25" s="34"/>
      <c r="F25" s="34"/>
      <c r="H25" s="35"/>
      <c r="I25" s="36"/>
      <c r="J25" s="37"/>
      <c r="K25" s="38"/>
      <c r="L25" s="29"/>
      <c r="M25" s="29"/>
      <c r="N25" s="29"/>
      <c r="O25" s="39"/>
      <c r="P25" s="40">
        <f t="shared" si="0"/>
        <v>0</v>
      </c>
      <c r="Q25" s="40">
        <f t="shared" si="2"/>
        <v>0</v>
      </c>
      <c r="R25" s="40">
        <f t="shared" si="3"/>
        <v>0</v>
      </c>
      <c r="S25" s="41"/>
      <c r="T25" s="41"/>
      <c r="U25" s="41"/>
      <c r="V25" s="41"/>
      <c r="W25" s="41"/>
      <c r="X25" s="41"/>
      <c r="Y25" s="33">
        <f t="shared" si="1"/>
        <v>0</v>
      </c>
    </row>
    <row r="26" spans="3:25" x14ac:dyDescent="0.25">
      <c r="C26" s="34" t="s">
        <v>127</v>
      </c>
      <c r="D26" s="54" t="s">
        <v>45</v>
      </c>
      <c r="E26" s="34"/>
      <c r="F26" s="34"/>
      <c r="H26" s="35"/>
      <c r="I26" s="36"/>
      <c r="J26" s="37"/>
      <c r="K26" s="38"/>
      <c r="L26" s="29"/>
      <c r="M26" s="29"/>
      <c r="N26" s="29"/>
      <c r="O26" s="39"/>
      <c r="P26" s="40">
        <f t="shared" si="0"/>
        <v>0</v>
      </c>
      <c r="Q26" s="40">
        <f t="shared" si="2"/>
        <v>0</v>
      </c>
      <c r="R26" s="40">
        <f t="shared" si="3"/>
        <v>0</v>
      </c>
      <c r="S26" s="41"/>
      <c r="T26" s="41"/>
      <c r="U26" s="41"/>
      <c r="V26" s="41"/>
      <c r="W26" s="41"/>
      <c r="X26" s="41"/>
      <c r="Y26" s="33">
        <f t="shared" si="1"/>
        <v>0</v>
      </c>
    </row>
    <row r="27" spans="3:25" x14ac:dyDescent="0.25">
      <c r="C27" s="34" t="s">
        <v>127</v>
      </c>
      <c r="D27" s="54" t="s">
        <v>46</v>
      </c>
      <c r="E27" s="34"/>
      <c r="F27" s="34"/>
      <c r="H27" s="35"/>
      <c r="I27" s="36"/>
      <c r="J27" s="37"/>
      <c r="K27" s="38"/>
      <c r="L27" s="29"/>
      <c r="M27" s="29"/>
      <c r="N27" s="29"/>
      <c r="O27" s="39"/>
      <c r="P27" s="40">
        <f t="shared" si="0"/>
        <v>0</v>
      </c>
      <c r="Q27" s="40">
        <f t="shared" si="2"/>
        <v>0</v>
      </c>
      <c r="R27" s="40">
        <f t="shared" si="3"/>
        <v>0</v>
      </c>
      <c r="S27" s="41"/>
      <c r="T27" s="41"/>
      <c r="U27" s="41"/>
      <c r="V27" s="41"/>
      <c r="W27" s="41"/>
      <c r="X27" s="41"/>
      <c r="Y27" s="33">
        <f t="shared" si="1"/>
        <v>0</v>
      </c>
    </row>
    <row r="28" spans="3:25" x14ac:dyDescent="0.25">
      <c r="C28" s="34" t="s">
        <v>127</v>
      </c>
      <c r="D28" s="54" t="s">
        <v>47</v>
      </c>
      <c r="E28" s="34"/>
      <c r="F28" s="34"/>
      <c r="H28" s="35"/>
      <c r="I28" s="36"/>
      <c r="J28" s="37"/>
      <c r="K28" s="38"/>
      <c r="L28" s="29"/>
      <c r="M28" s="29"/>
      <c r="N28" s="29"/>
      <c r="O28" s="39"/>
      <c r="P28" s="40">
        <f t="shared" si="0"/>
        <v>0</v>
      </c>
      <c r="Q28" s="40">
        <f t="shared" si="2"/>
        <v>0</v>
      </c>
      <c r="R28" s="40">
        <f t="shared" si="3"/>
        <v>0</v>
      </c>
      <c r="S28" s="41"/>
      <c r="T28" s="41"/>
      <c r="U28" s="41"/>
      <c r="V28" s="41"/>
      <c r="W28" s="41"/>
      <c r="X28" s="41"/>
      <c r="Y28" s="33">
        <f t="shared" si="1"/>
        <v>0</v>
      </c>
    </row>
    <row r="29" spans="3:25" x14ac:dyDescent="0.25">
      <c r="C29" s="34" t="s">
        <v>127</v>
      </c>
      <c r="D29" s="54" t="s">
        <v>48</v>
      </c>
      <c r="E29" s="34"/>
      <c r="F29" s="34"/>
      <c r="H29" s="35"/>
      <c r="I29" s="36"/>
      <c r="J29" s="37"/>
      <c r="K29" s="38"/>
      <c r="L29" s="29"/>
      <c r="M29" s="29"/>
      <c r="N29" s="29"/>
      <c r="O29" s="39"/>
      <c r="P29" s="40">
        <f t="shared" si="0"/>
        <v>0</v>
      </c>
      <c r="Q29" s="40">
        <f t="shared" si="2"/>
        <v>0</v>
      </c>
      <c r="R29" s="40">
        <f t="shared" si="3"/>
        <v>0</v>
      </c>
      <c r="S29" s="41"/>
      <c r="T29" s="41"/>
      <c r="U29" s="41"/>
      <c r="V29" s="41"/>
      <c r="W29" s="41"/>
      <c r="X29" s="41"/>
      <c r="Y29" s="33">
        <f t="shared" si="1"/>
        <v>0</v>
      </c>
    </row>
    <row r="30" spans="3:25" x14ac:dyDescent="0.25">
      <c r="C30" s="34" t="s">
        <v>127</v>
      </c>
      <c r="D30" s="54" t="s">
        <v>49</v>
      </c>
      <c r="E30" s="34"/>
      <c r="F30" s="34"/>
      <c r="H30" s="35"/>
      <c r="I30" s="36"/>
      <c r="J30" s="37"/>
      <c r="K30" s="38"/>
      <c r="L30" s="29"/>
      <c r="M30" s="29"/>
      <c r="N30" s="29"/>
      <c r="O30" s="39"/>
      <c r="P30" s="40">
        <f t="shared" si="0"/>
        <v>0</v>
      </c>
      <c r="Q30" s="40">
        <f t="shared" si="2"/>
        <v>0</v>
      </c>
      <c r="R30" s="40">
        <f t="shared" si="3"/>
        <v>0</v>
      </c>
      <c r="S30" s="41"/>
      <c r="T30" s="41"/>
      <c r="U30" s="41"/>
      <c r="V30" s="41"/>
      <c r="W30" s="41"/>
      <c r="X30" s="41"/>
      <c r="Y30" s="33">
        <f t="shared" si="1"/>
        <v>0</v>
      </c>
    </row>
    <row r="31" spans="3:25" x14ac:dyDescent="0.25">
      <c r="C31" s="34" t="s">
        <v>127</v>
      </c>
      <c r="D31" s="54" t="s">
        <v>50</v>
      </c>
      <c r="E31" s="34"/>
      <c r="F31" s="34"/>
      <c r="H31" s="35"/>
      <c r="I31" s="36"/>
      <c r="J31" s="37"/>
      <c r="K31" s="38"/>
      <c r="L31" s="29"/>
      <c r="M31" s="29"/>
      <c r="N31" s="29"/>
      <c r="O31" s="39"/>
      <c r="P31" s="40">
        <f t="shared" si="0"/>
        <v>0</v>
      </c>
      <c r="Q31" s="40">
        <f t="shared" si="2"/>
        <v>0</v>
      </c>
      <c r="R31" s="40">
        <f t="shared" si="3"/>
        <v>0</v>
      </c>
      <c r="S31" s="41"/>
      <c r="T31" s="41"/>
      <c r="U31" s="41"/>
      <c r="V31" s="41"/>
      <c r="W31" s="41"/>
      <c r="X31" s="41"/>
      <c r="Y31" s="33">
        <f t="shared" si="1"/>
        <v>0</v>
      </c>
    </row>
    <row r="32" spans="3:25" x14ac:dyDescent="0.25">
      <c r="C32" s="34" t="s">
        <v>127</v>
      </c>
      <c r="D32" s="54" t="s">
        <v>51</v>
      </c>
      <c r="E32" s="34"/>
      <c r="F32" s="34"/>
      <c r="H32" s="35"/>
      <c r="I32" s="36"/>
      <c r="J32" s="37"/>
      <c r="K32" s="38"/>
      <c r="L32" s="29"/>
      <c r="M32" s="29"/>
      <c r="N32" s="29"/>
      <c r="O32" s="39"/>
      <c r="P32" s="40">
        <f t="shared" si="0"/>
        <v>0</v>
      </c>
      <c r="Q32" s="40">
        <f t="shared" si="2"/>
        <v>0</v>
      </c>
      <c r="R32" s="40">
        <f t="shared" si="3"/>
        <v>0</v>
      </c>
      <c r="S32" s="41"/>
      <c r="T32" s="41"/>
      <c r="U32" s="41"/>
      <c r="V32" s="41"/>
      <c r="W32" s="41"/>
      <c r="X32" s="41"/>
      <c r="Y32" s="33">
        <f t="shared" si="1"/>
        <v>0</v>
      </c>
    </row>
    <row r="33" spans="3:25" x14ac:dyDescent="0.25">
      <c r="C33" s="34" t="s">
        <v>127</v>
      </c>
      <c r="D33" s="54" t="s">
        <v>52</v>
      </c>
      <c r="E33" s="34"/>
      <c r="F33" s="34"/>
      <c r="H33" s="35"/>
      <c r="I33" s="36"/>
      <c r="J33" s="37"/>
      <c r="K33" s="38"/>
      <c r="L33" s="29"/>
      <c r="M33" s="29"/>
      <c r="N33" s="29"/>
      <c r="O33" s="39"/>
      <c r="P33" s="40">
        <f t="shared" si="0"/>
        <v>0</v>
      </c>
      <c r="Q33" s="40">
        <f t="shared" si="2"/>
        <v>0</v>
      </c>
      <c r="R33" s="40">
        <f t="shared" si="3"/>
        <v>0</v>
      </c>
      <c r="S33" s="41"/>
      <c r="T33" s="41"/>
      <c r="U33" s="41"/>
      <c r="V33" s="41"/>
      <c r="W33" s="41"/>
      <c r="X33" s="41"/>
      <c r="Y33" s="33">
        <f t="shared" si="1"/>
        <v>0</v>
      </c>
    </row>
    <row r="34" spans="3:25" x14ac:dyDescent="0.25">
      <c r="C34" s="34" t="s">
        <v>127</v>
      </c>
      <c r="D34" s="54" t="s">
        <v>14</v>
      </c>
      <c r="E34" s="34"/>
      <c r="F34" s="34"/>
      <c r="H34" s="35"/>
      <c r="I34" s="36"/>
      <c r="J34" s="37"/>
      <c r="K34" s="38"/>
      <c r="L34" s="29"/>
      <c r="M34" s="29"/>
      <c r="N34" s="29"/>
      <c r="O34" s="39"/>
      <c r="P34" s="40">
        <f t="shared" si="0"/>
        <v>0</v>
      </c>
      <c r="Q34" s="40">
        <f t="shared" si="2"/>
        <v>0</v>
      </c>
      <c r="R34" s="40">
        <f t="shared" si="3"/>
        <v>0</v>
      </c>
      <c r="S34" s="41"/>
      <c r="T34" s="41"/>
      <c r="U34" s="41"/>
      <c r="V34" s="41"/>
      <c r="W34" s="41"/>
      <c r="X34" s="41"/>
      <c r="Y34" s="33">
        <f t="shared" si="1"/>
        <v>0</v>
      </c>
    </row>
    <row r="35" spans="3:25" x14ac:dyDescent="0.25">
      <c r="C35" s="34" t="s">
        <v>127</v>
      </c>
      <c r="D35" s="54" t="s">
        <v>53</v>
      </c>
      <c r="E35" s="34"/>
      <c r="F35" s="34"/>
      <c r="H35" s="35"/>
      <c r="I35" s="36"/>
      <c r="J35" s="37"/>
      <c r="K35" s="38"/>
      <c r="L35" s="29"/>
      <c r="M35" s="29"/>
      <c r="N35" s="29"/>
      <c r="O35" s="39"/>
      <c r="P35" s="40">
        <f t="shared" si="0"/>
        <v>0</v>
      </c>
      <c r="Q35" s="40">
        <f t="shared" si="2"/>
        <v>0</v>
      </c>
      <c r="R35" s="40">
        <f t="shared" si="3"/>
        <v>0</v>
      </c>
      <c r="S35" s="41"/>
      <c r="T35" s="41"/>
      <c r="U35" s="41"/>
      <c r="V35" s="41"/>
      <c r="W35" s="41"/>
      <c r="X35" s="41"/>
      <c r="Y35" s="33">
        <f t="shared" si="1"/>
        <v>0</v>
      </c>
    </row>
    <row r="36" spans="3:25" x14ac:dyDescent="0.25">
      <c r="C36" s="34" t="s">
        <v>127</v>
      </c>
      <c r="D36" s="54" t="s">
        <v>54</v>
      </c>
      <c r="E36" s="34"/>
      <c r="F36" s="34"/>
      <c r="H36" s="35"/>
      <c r="I36" s="36"/>
      <c r="J36" s="37"/>
      <c r="K36" s="38"/>
      <c r="L36" s="29"/>
      <c r="M36" s="29"/>
      <c r="N36" s="29"/>
      <c r="O36" s="39"/>
      <c r="P36" s="40">
        <f t="shared" si="0"/>
        <v>0</v>
      </c>
      <c r="Q36" s="40">
        <f t="shared" si="2"/>
        <v>0</v>
      </c>
      <c r="R36" s="40">
        <f t="shared" si="3"/>
        <v>0</v>
      </c>
      <c r="S36" s="41"/>
      <c r="T36" s="41"/>
      <c r="U36" s="41"/>
      <c r="V36" s="41"/>
      <c r="W36" s="41"/>
      <c r="X36" s="41"/>
      <c r="Y36" s="33">
        <f t="shared" si="1"/>
        <v>0</v>
      </c>
    </row>
    <row r="37" spans="3:25" x14ac:dyDescent="0.25">
      <c r="C37" s="34" t="s">
        <v>127</v>
      </c>
      <c r="D37" s="54" t="s">
        <v>55</v>
      </c>
      <c r="E37" s="34"/>
      <c r="F37" s="34"/>
      <c r="H37" s="35"/>
      <c r="I37" s="36"/>
      <c r="J37" s="37"/>
      <c r="K37" s="38"/>
      <c r="L37" s="29"/>
      <c r="M37" s="29"/>
      <c r="N37" s="29"/>
      <c r="O37" s="39"/>
      <c r="P37" s="40">
        <f t="shared" si="0"/>
        <v>0</v>
      </c>
      <c r="Q37" s="40">
        <f t="shared" si="2"/>
        <v>0</v>
      </c>
      <c r="R37" s="40">
        <f t="shared" si="3"/>
        <v>0</v>
      </c>
      <c r="S37" s="41"/>
      <c r="T37" s="41"/>
      <c r="U37" s="41"/>
      <c r="V37" s="41"/>
      <c r="W37" s="41"/>
      <c r="X37" s="41"/>
      <c r="Y37" s="33">
        <f t="shared" si="1"/>
        <v>0</v>
      </c>
    </row>
    <row r="38" spans="3:25" x14ac:dyDescent="0.25">
      <c r="C38" s="34" t="s">
        <v>127</v>
      </c>
      <c r="D38" s="54" t="s">
        <v>56</v>
      </c>
      <c r="E38" s="34"/>
      <c r="F38" s="34"/>
      <c r="H38" s="35"/>
      <c r="I38" s="36"/>
      <c r="J38" s="37"/>
      <c r="K38" s="38"/>
      <c r="L38" s="29"/>
      <c r="M38" s="29"/>
      <c r="N38" s="29"/>
      <c r="O38" s="39"/>
      <c r="P38" s="40">
        <f t="shared" si="0"/>
        <v>0</v>
      </c>
      <c r="Q38" s="40">
        <f t="shared" si="2"/>
        <v>0</v>
      </c>
      <c r="R38" s="40">
        <f t="shared" si="3"/>
        <v>0</v>
      </c>
      <c r="S38" s="41"/>
      <c r="T38" s="41"/>
      <c r="U38" s="41"/>
      <c r="V38" s="41"/>
      <c r="W38" s="41"/>
      <c r="X38" s="41"/>
      <c r="Y38" s="33">
        <f t="shared" si="1"/>
        <v>0</v>
      </c>
    </row>
    <row r="39" spans="3:25" x14ac:dyDescent="0.25">
      <c r="D39" s="69"/>
      <c r="E39" s="34"/>
      <c r="F39" s="34"/>
      <c r="H39" s="35"/>
      <c r="I39" s="36"/>
      <c r="J39" s="37"/>
      <c r="K39" s="38"/>
      <c r="L39" s="29"/>
      <c r="M39" s="29"/>
      <c r="N39" s="29"/>
      <c r="O39" s="39"/>
      <c r="P39" s="40">
        <f t="shared" si="0"/>
        <v>0</v>
      </c>
      <c r="Q39" s="40">
        <f t="shared" si="2"/>
        <v>0</v>
      </c>
      <c r="R39" s="40">
        <f t="shared" si="3"/>
        <v>0</v>
      </c>
      <c r="S39" s="41"/>
      <c r="T39" s="41"/>
      <c r="U39" s="41"/>
      <c r="V39" s="41"/>
      <c r="W39" s="41"/>
      <c r="X39" s="41"/>
      <c r="Y39" s="33">
        <f t="shared" si="1"/>
        <v>0</v>
      </c>
    </row>
    <row r="40" spans="3:25" x14ac:dyDescent="0.25">
      <c r="D40" s="69"/>
      <c r="E40" s="34"/>
      <c r="F40" s="34"/>
      <c r="H40" s="35"/>
      <c r="I40" s="36"/>
      <c r="J40" s="37"/>
      <c r="K40" s="38"/>
      <c r="L40" s="29"/>
      <c r="M40" s="29"/>
      <c r="N40" s="29"/>
      <c r="O40" s="39"/>
      <c r="P40" s="40">
        <f t="shared" si="0"/>
        <v>0</v>
      </c>
      <c r="Q40" s="40">
        <f t="shared" si="2"/>
        <v>0</v>
      </c>
      <c r="R40" s="40">
        <f t="shared" si="3"/>
        <v>0</v>
      </c>
      <c r="S40" s="41"/>
      <c r="T40" s="41"/>
      <c r="U40" s="41"/>
      <c r="V40" s="41"/>
      <c r="W40" s="41"/>
      <c r="X40" s="41"/>
      <c r="Y40" s="33">
        <f t="shared" si="1"/>
        <v>0</v>
      </c>
    </row>
    <row r="41" spans="3:25" x14ac:dyDescent="0.25">
      <c r="D41" s="69"/>
      <c r="E41" s="34"/>
      <c r="F41" s="34"/>
      <c r="H41" s="35"/>
      <c r="I41" s="36"/>
      <c r="J41" s="37"/>
      <c r="K41" s="38"/>
      <c r="L41" s="29"/>
      <c r="M41" s="29"/>
      <c r="N41" s="29"/>
      <c r="O41" s="39"/>
      <c r="P41" s="40">
        <f t="shared" si="0"/>
        <v>0</v>
      </c>
      <c r="Q41" s="40">
        <f t="shared" si="2"/>
        <v>0</v>
      </c>
      <c r="R41" s="40">
        <f t="shared" si="3"/>
        <v>0</v>
      </c>
      <c r="S41" s="41"/>
      <c r="T41" s="41"/>
      <c r="U41" s="41"/>
      <c r="V41" s="41"/>
      <c r="W41" s="41"/>
      <c r="X41" s="41"/>
      <c r="Y41" s="33">
        <f t="shared" si="1"/>
        <v>0</v>
      </c>
    </row>
    <row r="42" spans="3:25" x14ac:dyDescent="0.25">
      <c r="D42" s="69"/>
      <c r="E42" s="34"/>
      <c r="F42" s="34"/>
      <c r="H42" s="35"/>
      <c r="I42" s="36"/>
      <c r="J42" s="37"/>
      <c r="K42" s="38"/>
      <c r="L42" s="29"/>
      <c r="M42" s="29"/>
      <c r="N42" s="29"/>
      <c r="O42" s="39"/>
      <c r="P42" s="40">
        <f t="shared" si="0"/>
        <v>0</v>
      </c>
      <c r="Q42" s="40">
        <f t="shared" si="2"/>
        <v>0</v>
      </c>
      <c r="R42" s="40">
        <f t="shared" si="3"/>
        <v>0</v>
      </c>
      <c r="S42" s="41"/>
      <c r="T42" s="41"/>
      <c r="U42" s="41"/>
      <c r="V42" s="41"/>
      <c r="W42" s="41"/>
      <c r="X42" s="41"/>
      <c r="Y42" s="33">
        <f t="shared" si="1"/>
        <v>0</v>
      </c>
    </row>
    <row r="43" spans="3:25" x14ac:dyDescent="0.25">
      <c r="D43" s="69"/>
      <c r="E43" s="34"/>
      <c r="F43" s="34"/>
      <c r="H43" s="35"/>
      <c r="I43" s="36"/>
      <c r="J43" s="37"/>
      <c r="K43" s="38"/>
      <c r="L43" s="29"/>
      <c r="M43" s="29"/>
      <c r="N43" s="29"/>
      <c r="O43" s="39"/>
      <c r="P43" s="40">
        <f t="shared" si="0"/>
        <v>0</v>
      </c>
      <c r="Q43" s="40">
        <f t="shared" si="2"/>
        <v>0</v>
      </c>
      <c r="R43" s="40">
        <f t="shared" si="3"/>
        <v>0</v>
      </c>
      <c r="S43" s="41"/>
      <c r="T43" s="41"/>
      <c r="U43" s="41"/>
      <c r="V43" s="41"/>
      <c r="W43" s="41"/>
      <c r="X43" s="41"/>
      <c r="Y43" s="33">
        <f t="shared" si="1"/>
        <v>0</v>
      </c>
    </row>
    <row r="44" spans="3:25" x14ac:dyDescent="0.25">
      <c r="D44" s="69"/>
      <c r="E44" s="34"/>
      <c r="F44" s="34"/>
      <c r="H44" s="35"/>
      <c r="I44" s="36"/>
      <c r="J44" s="37"/>
      <c r="K44" s="38"/>
      <c r="L44" s="29"/>
      <c r="M44" s="29"/>
      <c r="N44" s="29"/>
      <c r="O44" s="39"/>
      <c r="P44" s="40">
        <f t="shared" si="0"/>
        <v>0</v>
      </c>
      <c r="Q44" s="40">
        <f t="shared" si="2"/>
        <v>0</v>
      </c>
      <c r="R44" s="40">
        <f t="shared" si="3"/>
        <v>0</v>
      </c>
      <c r="S44" s="41"/>
      <c r="T44" s="41"/>
      <c r="U44" s="41"/>
      <c r="V44" s="41"/>
      <c r="W44" s="41"/>
      <c r="X44" s="41"/>
      <c r="Y44" s="33">
        <f t="shared" si="1"/>
        <v>0</v>
      </c>
    </row>
    <row r="45" spans="3:25" x14ac:dyDescent="0.25">
      <c r="D45" s="69"/>
      <c r="E45" s="34"/>
      <c r="F45" s="34"/>
      <c r="H45" s="35"/>
      <c r="I45" s="36"/>
      <c r="J45" s="37"/>
      <c r="K45" s="38"/>
      <c r="L45" s="29"/>
      <c r="M45" s="29"/>
      <c r="N45" s="29"/>
      <c r="O45" s="39"/>
      <c r="P45" s="40">
        <f t="shared" si="0"/>
        <v>0</v>
      </c>
      <c r="Q45" s="40">
        <f t="shared" si="2"/>
        <v>0</v>
      </c>
      <c r="R45" s="40">
        <f t="shared" si="3"/>
        <v>0</v>
      </c>
      <c r="S45" s="41"/>
      <c r="T45" s="41"/>
      <c r="U45" s="41"/>
      <c r="V45" s="41"/>
      <c r="W45" s="41"/>
      <c r="X45" s="41"/>
      <c r="Y45" s="33">
        <f t="shared" si="1"/>
        <v>0</v>
      </c>
    </row>
    <row r="46" spans="3:25" x14ac:dyDescent="0.25">
      <c r="D46" s="69"/>
      <c r="E46" s="34"/>
      <c r="F46" s="34"/>
      <c r="H46" s="35"/>
      <c r="I46" s="36"/>
      <c r="J46" s="37"/>
      <c r="K46" s="38"/>
      <c r="L46" s="29"/>
      <c r="M46" s="29"/>
      <c r="N46" s="29"/>
      <c r="O46" s="39"/>
      <c r="P46" s="40">
        <f t="shared" si="0"/>
        <v>0</v>
      </c>
      <c r="Q46" s="40">
        <f t="shared" si="2"/>
        <v>0</v>
      </c>
      <c r="R46" s="40">
        <f t="shared" si="3"/>
        <v>0</v>
      </c>
      <c r="S46" s="41"/>
      <c r="T46" s="41"/>
      <c r="U46" s="41"/>
      <c r="V46" s="41"/>
      <c r="W46" s="41"/>
      <c r="X46" s="41"/>
      <c r="Y46" s="33">
        <f t="shared" si="1"/>
        <v>0</v>
      </c>
    </row>
    <row r="47" spans="3:25" x14ac:dyDescent="0.25">
      <c r="D47" s="69"/>
      <c r="E47" s="34"/>
      <c r="F47" s="34"/>
      <c r="H47" s="35"/>
      <c r="I47" s="36"/>
      <c r="J47" s="37"/>
      <c r="K47" s="38"/>
      <c r="L47" s="29"/>
      <c r="M47" s="29"/>
      <c r="N47" s="29"/>
      <c r="O47" s="39"/>
      <c r="P47" s="40">
        <f t="shared" si="0"/>
        <v>0</v>
      </c>
      <c r="Q47" s="40">
        <f t="shared" si="2"/>
        <v>0</v>
      </c>
      <c r="R47" s="40">
        <f t="shared" si="3"/>
        <v>0</v>
      </c>
      <c r="S47" s="41"/>
      <c r="T47" s="41"/>
      <c r="U47" s="41"/>
      <c r="V47" s="41"/>
      <c r="W47" s="41"/>
      <c r="X47" s="41"/>
      <c r="Y47" s="33">
        <f t="shared" si="1"/>
        <v>0</v>
      </c>
    </row>
    <row r="48" spans="3:25" x14ac:dyDescent="0.25">
      <c r="D48" s="69"/>
      <c r="E48" s="34"/>
      <c r="F48" s="34"/>
      <c r="H48" s="35"/>
      <c r="I48" s="36"/>
      <c r="J48" s="37"/>
      <c r="K48" s="38"/>
      <c r="L48" s="29"/>
      <c r="M48" s="29"/>
      <c r="N48" s="29"/>
      <c r="O48" s="39"/>
      <c r="P48" s="40">
        <f t="shared" si="0"/>
        <v>0</v>
      </c>
      <c r="Q48" s="40">
        <f t="shared" si="2"/>
        <v>0</v>
      </c>
      <c r="R48" s="40">
        <f t="shared" si="3"/>
        <v>0</v>
      </c>
      <c r="S48" s="41"/>
      <c r="T48" s="41"/>
      <c r="U48" s="41"/>
      <c r="V48" s="41"/>
      <c r="W48" s="41"/>
      <c r="X48" s="41"/>
      <c r="Y48" s="33">
        <f t="shared" si="1"/>
        <v>0</v>
      </c>
    </row>
    <row r="49" spans="4:25" x14ac:dyDescent="0.25">
      <c r="D49" s="69"/>
      <c r="E49" s="34"/>
      <c r="F49" s="34"/>
      <c r="H49" s="35"/>
      <c r="I49" s="36"/>
      <c r="J49" s="37"/>
      <c r="K49" s="38"/>
      <c r="L49" s="29"/>
      <c r="M49" s="29"/>
      <c r="N49" s="29"/>
      <c r="O49" s="39"/>
      <c r="P49" s="40">
        <f t="shared" si="0"/>
        <v>0</v>
      </c>
      <c r="Q49" s="40">
        <f t="shared" si="2"/>
        <v>0</v>
      </c>
      <c r="R49" s="40">
        <f t="shared" si="3"/>
        <v>0</v>
      </c>
      <c r="S49" s="41"/>
      <c r="T49" s="41"/>
      <c r="U49" s="41"/>
      <c r="V49" s="41"/>
      <c r="W49" s="41"/>
      <c r="X49" s="41"/>
      <c r="Y49" s="33">
        <f t="shared" si="1"/>
        <v>0</v>
      </c>
    </row>
    <row r="50" spans="4:25" x14ac:dyDescent="0.25">
      <c r="D50" s="69"/>
      <c r="E50" s="34"/>
      <c r="F50" s="34"/>
      <c r="H50" s="35"/>
      <c r="I50" s="36"/>
      <c r="J50" s="37"/>
      <c r="K50" s="38"/>
      <c r="L50" s="29"/>
      <c r="M50" s="29"/>
      <c r="N50" s="29"/>
      <c r="O50" s="39"/>
      <c r="P50" s="40">
        <f t="shared" si="0"/>
        <v>0</v>
      </c>
      <c r="Q50" s="40">
        <f t="shared" si="2"/>
        <v>0</v>
      </c>
      <c r="R50" s="40">
        <f t="shared" si="3"/>
        <v>0</v>
      </c>
      <c r="S50" s="41"/>
      <c r="T50" s="41"/>
      <c r="U50" s="41"/>
      <c r="V50" s="41"/>
      <c r="W50" s="41"/>
      <c r="X50" s="41"/>
      <c r="Y50" s="33">
        <f t="shared" si="1"/>
        <v>0</v>
      </c>
    </row>
    <row r="51" spans="4:25" x14ac:dyDescent="0.25">
      <c r="D51" s="69"/>
      <c r="E51" s="34"/>
      <c r="F51" s="34"/>
      <c r="H51" s="35"/>
      <c r="I51" s="36"/>
      <c r="J51" s="37"/>
      <c r="K51" s="38"/>
      <c r="L51" s="29"/>
      <c r="M51" s="29"/>
      <c r="N51" s="29"/>
      <c r="O51" s="39"/>
      <c r="P51" s="40">
        <f t="shared" si="0"/>
        <v>0</v>
      </c>
      <c r="Q51" s="40">
        <f t="shared" si="2"/>
        <v>0</v>
      </c>
      <c r="R51" s="40">
        <f t="shared" si="3"/>
        <v>0</v>
      </c>
      <c r="S51" s="41"/>
      <c r="T51" s="41"/>
      <c r="U51" s="41"/>
      <c r="V51" s="41"/>
      <c r="W51" s="41"/>
      <c r="X51" s="41"/>
      <c r="Y51" s="33">
        <f t="shared" si="1"/>
        <v>0</v>
      </c>
    </row>
    <row r="52" spans="4:25" x14ac:dyDescent="0.25">
      <c r="D52" s="69"/>
      <c r="E52" s="34"/>
      <c r="F52" s="34"/>
      <c r="H52" s="35"/>
      <c r="I52" s="36"/>
      <c r="J52" s="37"/>
      <c r="K52" s="38"/>
      <c r="L52" s="29"/>
      <c r="M52" s="29"/>
      <c r="N52" s="29"/>
      <c r="O52" s="39"/>
      <c r="P52" s="40">
        <f t="shared" si="0"/>
        <v>0</v>
      </c>
      <c r="Q52" s="40">
        <f t="shared" si="2"/>
        <v>0</v>
      </c>
      <c r="R52" s="40">
        <f t="shared" si="3"/>
        <v>0</v>
      </c>
      <c r="S52" s="41"/>
      <c r="T52" s="41"/>
      <c r="U52" s="41"/>
      <c r="V52" s="41"/>
      <c r="W52" s="41"/>
      <c r="X52" s="41"/>
      <c r="Y52" s="33">
        <f t="shared" si="1"/>
        <v>0</v>
      </c>
    </row>
    <row r="53" spans="4:25" x14ac:dyDescent="0.25">
      <c r="D53" s="69"/>
      <c r="E53" s="34"/>
      <c r="F53" s="34"/>
      <c r="H53" s="35"/>
      <c r="I53" s="36"/>
      <c r="J53" s="37"/>
      <c r="K53" s="38"/>
      <c r="L53" s="29"/>
      <c r="M53" s="29"/>
      <c r="N53" s="29"/>
      <c r="O53" s="39"/>
      <c r="P53" s="40">
        <f t="shared" si="0"/>
        <v>0</v>
      </c>
      <c r="Q53" s="40">
        <f t="shared" si="2"/>
        <v>0</v>
      </c>
      <c r="R53" s="40">
        <f t="shared" si="3"/>
        <v>0</v>
      </c>
      <c r="S53" s="41"/>
      <c r="T53" s="41"/>
      <c r="U53" s="41"/>
      <c r="V53" s="41"/>
      <c r="W53" s="41"/>
      <c r="X53" s="41"/>
      <c r="Y53" s="33">
        <f t="shared" si="1"/>
        <v>0</v>
      </c>
    </row>
    <row r="54" spans="4:25" x14ac:dyDescent="0.25">
      <c r="D54" s="69"/>
      <c r="E54" s="34"/>
      <c r="F54" s="34"/>
      <c r="H54" s="35"/>
      <c r="I54" s="36"/>
      <c r="J54" s="37"/>
      <c r="K54" s="38"/>
      <c r="L54" s="29"/>
      <c r="M54" s="29"/>
      <c r="N54" s="29"/>
      <c r="O54" s="39"/>
      <c r="P54" s="40">
        <f t="shared" si="0"/>
        <v>0</v>
      </c>
      <c r="Q54" s="40">
        <f t="shared" si="2"/>
        <v>0</v>
      </c>
      <c r="R54" s="40">
        <f t="shared" si="3"/>
        <v>0</v>
      </c>
      <c r="S54" s="41"/>
      <c r="T54" s="41"/>
      <c r="U54" s="41"/>
      <c r="V54" s="41"/>
      <c r="W54" s="41"/>
      <c r="X54" s="41"/>
      <c r="Y54" s="33">
        <f t="shared" si="1"/>
        <v>0</v>
      </c>
    </row>
    <row r="55" spans="4:25" x14ac:dyDescent="0.25">
      <c r="D55" s="69"/>
      <c r="E55" s="34"/>
      <c r="F55" s="34"/>
      <c r="H55" s="35"/>
      <c r="I55" s="36"/>
      <c r="J55" s="37"/>
      <c r="K55" s="38"/>
      <c r="L55" s="29"/>
      <c r="M55" s="29"/>
      <c r="N55" s="29"/>
      <c r="O55" s="39"/>
      <c r="P55" s="40">
        <f t="shared" si="0"/>
        <v>0</v>
      </c>
      <c r="Q55" s="40">
        <f t="shared" si="2"/>
        <v>0</v>
      </c>
      <c r="R55" s="40">
        <f t="shared" si="3"/>
        <v>0</v>
      </c>
      <c r="S55" s="41"/>
      <c r="T55" s="41"/>
      <c r="U55" s="41"/>
      <c r="V55" s="41"/>
      <c r="W55" s="41"/>
      <c r="X55" s="41"/>
      <c r="Y55" s="33">
        <f t="shared" si="1"/>
        <v>0</v>
      </c>
    </row>
    <row r="56" spans="4:25" x14ac:dyDescent="0.25">
      <c r="D56" s="69"/>
      <c r="E56" s="34"/>
      <c r="F56" s="34"/>
      <c r="H56" s="35"/>
      <c r="I56" s="36"/>
      <c r="J56" s="37"/>
      <c r="K56" s="38"/>
      <c r="L56" s="29"/>
      <c r="M56" s="29"/>
      <c r="N56" s="29"/>
      <c r="O56" s="39"/>
      <c r="P56" s="40">
        <f t="shared" si="0"/>
        <v>0</v>
      </c>
      <c r="Q56" s="40">
        <f t="shared" si="2"/>
        <v>0</v>
      </c>
      <c r="R56" s="40">
        <f t="shared" si="3"/>
        <v>0</v>
      </c>
      <c r="S56" s="41"/>
      <c r="T56" s="41"/>
      <c r="U56" s="41"/>
      <c r="V56" s="41"/>
      <c r="W56" s="41"/>
      <c r="X56" s="41"/>
      <c r="Y56" s="33">
        <f t="shared" si="1"/>
        <v>0</v>
      </c>
    </row>
    <row r="57" spans="4:25" x14ac:dyDescent="0.25">
      <c r="D57" s="69"/>
      <c r="E57" s="34"/>
      <c r="F57" s="34"/>
      <c r="H57" s="35"/>
      <c r="I57" s="36"/>
      <c r="J57" s="37"/>
      <c r="K57" s="38"/>
      <c r="L57" s="29"/>
      <c r="M57" s="29"/>
      <c r="N57" s="29"/>
      <c r="O57" s="39"/>
      <c r="P57" s="40">
        <f t="shared" si="0"/>
        <v>0</v>
      </c>
      <c r="Q57" s="40">
        <f t="shared" si="2"/>
        <v>0</v>
      </c>
      <c r="R57" s="40">
        <f t="shared" si="3"/>
        <v>0</v>
      </c>
      <c r="S57" s="41"/>
      <c r="T57" s="41"/>
      <c r="U57" s="41"/>
      <c r="V57" s="41"/>
      <c r="W57" s="41"/>
      <c r="X57" s="41"/>
      <c r="Y57" s="33">
        <f t="shared" si="1"/>
        <v>0</v>
      </c>
    </row>
    <row r="58" spans="4:25" x14ac:dyDescent="0.25">
      <c r="D58" s="69"/>
      <c r="E58" s="34"/>
      <c r="F58" s="34"/>
      <c r="H58" s="35"/>
      <c r="I58" s="36"/>
      <c r="J58" s="37"/>
      <c r="K58" s="38"/>
      <c r="L58" s="29"/>
      <c r="M58" s="29"/>
      <c r="N58" s="29"/>
      <c r="O58" s="39"/>
      <c r="P58" s="40">
        <f t="shared" si="0"/>
        <v>0</v>
      </c>
      <c r="Q58" s="40">
        <f t="shared" si="2"/>
        <v>0</v>
      </c>
      <c r="R58" s="40">
        <f t="shared" si="3"/>
        <v>0</v>
      </c>
      <c r="S58" s="41"/>
      <c r="T58" s="41"/>
      <c r="U58" s="41"/>
      <c r="V58" s="41"/>
      <c r="W58" s="41"/>
      <c r="X58" s="41"/>
      <c r="Y58" s="33">
        <f t="shared" si="1"/>
        <v>0</v>
      </c>
    </row>
    <row r="59" spans="4:25" x14ac:dyDescent="0.25">
      <c r="D59" s="69"/>
      <c r="E59" s="34"/>
      <c r="F59" s="34"/>
      <c r="H59" s="35"/>
      <c r="I59" s="36"/>
      <c r="J59" s="37"/>
      <c r="K59" s="38"/>
      <c r="L59" s="29"/>
      <c r="M59" s="29"/>
      <c r="N59" s="29"/>
      <c r="O59" s="39"/>
      <c r="P59" s="40">
        <f t="shared" si="0"/>
        <v>0</v>
      </c>
      <c r="Q59" s="40">
        <f t="shared" si="2"/>
        <v>0</v>
      </c>
      <c r="R59" s="40">
        <f t="shared" si="3"/>
        <v>0</v>
      </c>
      <c r="S59" s="41"/>
      <c r="T59" s="41"/>
      <c r="U59" s="41"/>
      <c r="V59" s="41"/>
      <c r="W59" s="41"/>
      <c r="X59" s="41"/>
      <c r="Y59" s="33">
        <f t="shared" si="1"/>
        <v>0</v>
      </c>
    </row>
    <row r="60" spans="4:25" x14ac:dyDescent="0.25">
      <c r="D60" s="69"/>
      <c r="E60" s="34"/>
      <c r="F60" s="34"/>
      <c r="H60" s="35"/>
      <c r="I60" s="36"/>
      <c r="J60" s="37"/>
      <c r="K60" s="38"/>
      <c r="L60" s="29"/>
      <c r="M60" s="29"/>
      <c r="N60" s="29"/>
      <c r="O60" s="39"/>
      <c r="P60" s="40">
        <f t="shared" si="0"/>
        <v>0</v>
      </c>
      <c r="Q60" s="40">
        <f t="shared" si="2"/>
        <v>0</v>
      </c>
      <c r="R60" s="40">
        <f t="shared" si="3"/>
        <v>0</v>
      </c>
      <c r="S60" s="41"/>
      <c r="T60" s="41"/>
      <c r="U60" s="41"/>
      <c r="V60" s="41"/>
      <c r="W60" s="41"/>
      <c r="X60" s="41"/>
      <c r="Y60" s="33">
        <f t="shared" si="1"/>
        <v>0</v>
      </c>
    </row>
    <row r="61" spans="4:25" x14ac:dyDescent="0.25">
      <c r="D61" s="69"/>
      <c r="E61" s="34"/>
      <c r="F61" s="34"/>
      <c r="H61" s="35"/>
      <c r="I61" s="36"/>
      <c r="J61" s="37"/>
      <c r="K61" s="38"/>
      <c r="L61" s="29"/>
      <c r="M61" s="29"/>
      <c r="N61" s="29"/>
      <c r="O61" s="39"/>
      <c r="P61" s="40">
        <f t="shared" si="0"/>
        <v>0</v>
      </c>
      <c r="Q61" s="40">
        <f t="shared" si="2"/>
        <v>0</v>
      </c>
      <c r="R61" s="40">
        <f t="shared" si="3"/>
        <v>0</v>
      </c>
      <c r="S61" s="41"/>
      <c r="T61" s="41"/>
      <c r="U61" s="41"/>
      <c r="V61" s="41"/>
      <c r="W61" s="41"/>
      <c r="X61" s="41"/>
      <c r="Y61" s="33">
        <f t="shared" si="1"/>
        <v>0</v>
      </c>
    </row>
    <row r="62" spans="4:25" x14ac:dyDescent="0.25">
      <c r="D62" s="69"/>
      <c r="E62" s="34"/>
      <c r="F62" s="34"/>
      <c r="H62" s="35"/>
      <c r="I62" s="36"/>
      <c r="J62" s="37"/>
      <c r="K62" s="38"/>
      <c r="L62" s="29"/>
      <c r="M62" s="29"/>
      <c r="N62" s="29"/>
      <c r="O62" s="39"/>
      <c r="P62" s="40">
        <f t="shared" si="0"/>
        <v>0</v>
      </c>
      <c r="Q62" s="40">
        <f t="shared" si="2"/>
        <v>0</v>
      </c>
      <c r="R62" s="40">
        <f t="shared" si="3"/>
        <v>0</v>
      </c>
      <c r="S62" s="41"/>
      <c r="T62" s="41"/>
      <c r="U62" s="41"/>
      <c r="V62" s="41"/>
      <c r="W62" s="41"/>
      <c r="X62" s="41"/>
      <c r="Y62" s="33">
        <f t="shared" si="1"/>
        <v>0</v>
      </c>
    </row>
    <row r="63" spans="4:25" x14ac:dyDescent="0.25">
      <c r="D63" s="69"/>
      <c r="E63" s="34"/>
      <c r="F63" s="34"/>
      <c r="H63" s="35"/>
      <c r="I63" s="36"/>
      <c r="J63" s="37"/>
      <c r="K63" s="38"/>
      <c r="L63" s="29"/>
      <c r="M63" s="29"/>
      <c r="N63" s="29"/>
      <c r="O63" s="39"/>
      <c r="P63" s="40">
        <f t="shared" si="0"/>
        <v>0</v>
      </c>
      <c r="Q63" s="40">
        <f t="shared" si="2"/>
        <v>0</v>
      </c>
      <c r="R63" s="40">
        <f t="shared" si="3"/>
        <v>0</v>
      </c>
      <c r="S63" s="41"/>
      <c r="T63" s="41"/>
      <c r="U63" s="41"/>
      <c r="V63" s="41"/>
      <c r="W63" s="41"/>
      <c r="X63" s="41"/>
      <c r="Y63" s="33">
        <f t="shared" si="1"/>
        <v>0</v>
      </c>
    </row>
    <row r="64" spans="4:25" x14ac:dyDescent="0.25">
      <c r="D64" s="69"/>
      <c r="E64" s="34"/>
      <c r="F64" s="34"/>
      <c r="H64" s="35"/>
      <c r="I64" s="36"/>
      <c r="J64" s="37"/>
      <c r="K64" s="38"/>
      <c r="L64" s="29"/>
      <c r="M64" s="29"/>
      <c r="N64" s="29"/>
      <c r="O64" s="39"/>
      <c r="P64" s="40">
        <f t="shared" si="0"/>
        <v>0</v>
      </c>
      <c r="Q64" s="40">
        <f t="shared" si="2"/>
        <v>0</v>
      </c>
      <c r="R64" s="40">
        <f t="shared" si="3"/>
        <v>0</v>
      </c>
      <c r="S64" s="41"/>
      <c r="T64" s="41"/>
      <c r="U64" s="41"/>
      <c r="V64" s="41"/>
      <c r="W64" s="41"/>
      <c r="X64" s="41"/>
      <c r="Y64" s="33">
        <f t="shared" si="1"/>
        <v>0</v>
      </c>
    </row>
    <row r="65" spans="4:25" x14ac:dyDescent="0.25">
      <c r="D65" s="69"/>
      <c r="E65" s="34"/>
      <c r="F65" s="34"/>
      <c r="H65" s="35"/>
      <c r="I65" s="36"/>
      <c r="J65" s="37"/>
      <c r="K65" s="38"/>
      <c r="L65" s="29"/>
      <c r="M65" s="29"/>
      <c r="N65" s="29"/>
      <c r="O65" s="39"/>
      <c r="P65" s="40">
        <f t="shared" si="0"/>
        <v>0</v>
      </c>
      <c r="Q65" s="40">
        <f t="shared" si="2"/>
        <v>0</v>
      </c>
      <c r="R65" s="40">
        <f t="shared" si="3"/>
        <v>0</v>
      </c>
      <c r="S65" s="41"/>
      <c r="T65" s="41"/>
      <c r="U65" s="41"/>
      <c r="V65" s="41"/>
      <c r="W65" s="41"/>
      <c r="X65" s="41"/>
      <c r="Y65" s="33">
        <f t="shared" si="1"/>
        <v>0</v>
      </c>
    </row>
    <row r="66" spans="4:25" x14ac:dyDescent="0.25">
      <c r="D66" s="69"/>
      <c r="E66" s="34"/>
      <c r="F66" s="34"/>
      <c r="H66" s="35"/>
      <c r="I66" s="36"/>
      <c r="J66" s="37"/>
      <c r="K66" s="38"/>
      <c r="L66" s="29"/>
      <c r="M66" s="29"/>
      <c r="N66" s="29"/>
      <c r="O66" s="39"/>
      <c r="P66" s="40">
        <f t="shared" si="0"/>
        <v>0</v>
      </c>
      <c r="Q66" s="40">
        <f t="shared" si="2"/>
        <v>0</v>
      </c>
      <c r="R66" s="40">
        <f t="shared" si="3"/>
        <v>0</v>
      </c>
      <c r="S66" s="41"/>
      <c r="T66" s="41"/>
      <c r="U66" s="41"/>
      <c r="V66" s="41"/>
      <c r="W66" s="41"/>
      <c r="X66" s="41"/>
      <c r="Y66" s="33">
        <f t="shared" si="1"/>
        <v>0</v>
      </c>
    </row>
    <row r="67" spans="4:25" x14ac:dyDescent="0.25">
      <c r="D67" s="69"/>
      <c r="E67" s="34"/>
      <c r="F67" s="34"/>
      <c r="H67" s="35"/>
      <c r="I67" s="36"/>
      <c r="J67" s="37"/>
      <c r="K67" s="38"/>
      <c r="L67" s="29"/>
      <c r="M67" s="29"/>
      <c r="N67" s="29"/>
      <c r="O67" s="39"/>
      <c r="P67" s="40">
        <f t="shared" ref="P67:P130" si="4">$L67*$O67</f>
        <v>0</v>
      </c>
      <c r="Q67" s="40">
        <f t="shared" si="2"/>
        <v>0</v>
      </c>
      <c r="R67" s="40">
        <f t="shared" si="3"/>
        <v>0</v>
      </c>
      <c r="S67" s="41"/>
      <c r="T67" s="41"/>
      <c r="U67" s="41"/>
      <c r="V67" s="41"/>
      <c r="W67" s="41"/>
      <c r="X67" s="41"/>
      <c r="Y67" s="33">
        <f t="shared" ref="Y67:Y130" si="5">SUM(R67:X67)</f>
        <v>0</v>
      </c>
    </row>
    <row r="68" spans="4:25" x14ac:dyDescent="0.25">
      <c r="D68" s="69"/>
      <c r="E68" s="34"/>
      <c r="F68" s="34"/>
      <c r="H68" s="35"/>
      <c r="I68" s="36"/>
      <c r="J68" s="37"/>
      <c r="K68" s="38"/>
      <c r="L68" s="29"/>
      <c r="M68" s="29"/>
      <c r="N68" s="29"/>
      <c r="O68" s="39"/>
      <c r="P68" s="40">
        <f t="shared" si="4"/>
        <v>0</v>
      </c>
      <c r="Q68" s="40">
        <f t="shared" ref="Q68:Q131" si="6">IF(E68="NE",(M68*O68*1.5),(M68*O68))</f>
        <v>0</v>
      </c>
      <c r="R68" s="40">
        <f t="shared" ref="R68:R131" si="7">P68+Q68</f>
        <v>0</v>
      </c>
      <c r="S68" s="41"/>
      <c r="T68" s="41"/>
      <c r="U68" s="41"/>
      <c r="V68" s="41"/>
      <c r="W68" s="41"/>
      <c r="X68" s="41"/>
      <c r="Y68" s="33">
        <f t="shared" si="5"/>
        <v>0</v>
      </c>
    </row>
    <row r="69" spans="4:25" x14ac:dyDescent="0.25">
      <c r="D69" s="69"/>
      <c r="E69" s="34"/>
      <c r="F69" s="34"/>
      <c r="H69" s="35"/>
      <c r="I69" s="36"/>
      <c r="J69" s="37"/>
      <c r="K69" s="38"/>
      <c r="L69" s="29"/>
      <c r="M69" s="29"/>
      <c r="N69" s="29"/>
      <c r="O69" s="39"/>
      <c r="P69" s="40">
        <f t="shared" si="4"/>
        <v>0</v>
      </c>
      <c r="Q69" s="40">
        <f t="shared" si="6"/>
        <v>0</v>
      </c>
      <c r="R69" s="40">
        <f t="shared" si="7"/>
        <v>0</v>
      </c>
      <c r="S69" s="41"/>
      <c r="T69" s="41"/>
      <c r="U69" s="41"/>
      <c r="V69" s="41"/>
      <c r="W69" s="41"/>
      <c r="X69" s="41"/>
      <c r="Y69" s="33">
        <f t="shared" si="5"/>
        <v>0</v>
      </c>
    </row>
    <row r="70" spans="4:25" x14ac:dyDescent="0.25">
      <c r="D70" s="69"/>
      <c r="E70" s="34"/>
      <c r="F70" s="34"/>
      <c r="H70" s="35"/>
      <c r="I70" s="36"/>
      <c r="J70" s="37"/>
      <c r="K70" s="38"/>
      <c r="L70" s="29"/>
      <c r="M70" s="29"/>
      <c r="N70" s="29"/>
      <c r="O70" s="39"/>
      <c r="P70" s="40">
        <f t="shared" si="4"/>
        <v>0</v>
      </c>
      <c r="Q70" s="40">
        <f t="shared" si="6"/>
        <v>0</v>
      </c>
      <c r="R70" s="40">
        <f t="shared" si="7"/>
        <v>0</v>
      </c>
      <c r="S70" s="41"/>
      <c r="T70" s="41"/>
      <c r="U70" s="41"/>
      <c r="V70" s="41"/>
      <c r="W70" s="41"/>
      <c r="X70" s="41"/>
      <c r="Y70" s="33">
        <f t="shared" si="5"/>
        <v>0</v>
      </c>
    </row>
    <row r="71" spans="4:25" x14ac:dyDescent="0.25">
      <c r="D71" s="69"/>
      <c r="E71" s="34"/>
      <c r="F71" s="34"/>
      <c r="H71" s="35"/>
      <c r="I71" s="36"/>
      <c r="J71" s="37"/>
      <c r="K71" s="38"/>
      <c r="L71" s="29"/>
      <c r="M71" s="29"/>
      <c r="N71" s="29"/>
      <c r="O71" s="39"/>
      <c r="P71" s="40">
        <f t="shared" si="4"/>
        <v>0</v>
      </c>
      <c r="Q71" s="40">
        <f t="shared" si="6"/>
        <v>0</v>
      </c>
      <c r="R71" s="40">
        <f t="shared" si="7"/>
        <v>0</v>
      </c>
      <c r="S71" s="41"/>
      <c r="T71" s="41"/>
      <c r="U71" s="41"/>
      <c r="V71" s="41"/>
      <c r="W71" s="41"/>
      <c r="X71" s="41"/>
      <c r="Y71" s="33">
        <f t="shared" si="5"/>
        <v>0</v>
      </c>
    </row>
    <row r="72" spans="4:25" x14ac:dyDescent="0.25">
      <c r="D72" s="69"/>
      <c r="E72" s="34"/>
      <c r="F72" s="34"/>
      <c r="H72" s="35"/>
      <c r="I72" s="36"/>
      <c r="J72" s="37"/>
      <c r="K72" s="38"/>
      <c r="L72" s="29"/>
      <c r="M72" s="29"/>
      <c r="N72" s="29"/>
      <c r="O72" s="39"/>
      <c r="P72" s="40">
        <f t="shared" si="4"/>
        <v>0</v>
      </c>
      <c r="Q72" s="40">
        <f t="shared" si="6"/>
        <v>0</v>
      </c>
      <c r="R72" s="40">
        <f t="shared" si="7"/>
        <v>0</v>
      </c>
      <c r="S72" s="41"/>
      <c r="T72" s="41"/>
      <c r="U72" s="41"/>
      <c r="V72" s="41"/>
      <c r="W72" s="41"/>
      <c r="X72" s="41"/>
      <c r="Y72" s="33">
        <f t="shared" si="5"/>
        <v>0</v>
      </c>
    </row>
    <row r="73" spans="4:25" x14ac:dyDescent="0.25">
      <c r="D73" s="69"/>
      <c r="E73" s="34"/>
      <c r="F73" s="34"/>
      <c r="H73" s="35"/>
      <c r="I73" s="36"/>
      <c r="J73" s="37"/>
      <c r="K73" s="38"/>
      <c r="L73" s="29"/>
      <c r="M73" s="29"/>
      <c r="N73" s="29"/>
      <c r="O73" s="39"/>
      <c r="P73" s="40">
        <f t="shared" si="4"/>
        <v>0</v>
      </c>
      <c r="Q73" s="40">
        <f t="shared" si="6"/>
        <v>0</v>
      </c>
      <c r="R73" s="40">
        <f t="shared" si="7"/>
        <v>0</v>
      </c>
      <c r="S73" s="41"/>
      <c r="T73" s="41"/>
      <c r="U73" s="41"/>
      <c r="V73" s="41"/>
      <c r="W73" s="41"/>
      <c r="X73" s="41"/>
      <c r="Y73" s="33">
        <f t="shared" si="5"/>
        <v>0</v>
      </c>
    </row>
    <row r="74" spans="4:25" x14ac:dyDescent="0.25">
      <c r="D74" s="69"/>
      <c r="E74" s="34"/>
      <c r="F74" s="34"/>
      <c r="H74" s="35"/>
      <c r="I74" s="36"/>
      <c r="J74" s="37"/>
      <c r="K74" s="38"/>
      <c r="L74" s="29"/>
      <c r="M74" s="29"/>
      <c r="N74" s="29"/>
      <c r="O74" s="39"/>
      <c r="P74" s="40">
        <f t="shared" si="4"/>
        <v>0</v>
      </c>
      <c r="Q74" s="40">
        <f t="shared" si="6"/>
        <v>0</v>
      </c>
      <c r="R74" s="40">
        <f t="shared" si="7"/>
        <v>0</v>
      </c>
      <c r="S74" s="41"/>
      <c r="T74" s="41"/>
      <c r="U74" s="41"/>
      <c r="V74" s="41"/>
      <c r="W74" s="41"/>
      <c r="X74" s="41"/>
      <c r="Y74" s="33">
        <f t="shared" si="5"/>
        <v>0</v>
      </c>
    </row>
    <row r="75" spans="4:25" x14ac:dyDescent="0.25">
      <c r="D75" s="69"/>
      <c r="E75" s="34"/>
      <c r="F75" s="34"/>
      <c r="H75" s="35"/>
      <c r="I75" s="36"/>
      <c r="J75" s="37"/>
      <c r="K75" s="38"/>
      <c r="L75" s="29"/>
      <c r="M75" s="29"/>
      <c r="N75" s="29"/>
      <c r="O75" s="39"/>
      <c r="P75" s="40">
        <f t="shared" si="4"/>
        <v>0</v>
      </c>
      <c r="Q75" s="40">
        <f t="shared" si="6"/>
        <v>0</v>
      </c>
      <c r="R75" s="40">
        <f t="shared" si="7"/>
        <v>0</v>
      </c>
      <c r="S75" s="41"/>
      <c r="T75" s="41"/>
      <c r="U75" s="41"/>
      <c r="V75" s="41"/>
      <c r="W75" s="41"/>
      <c r="X75" s="41"/>
      <c r="Y75" s="33">
        <f t="shared" si="5"/>
        <v>0</v>
      </c>
    </row>
    <row r="76" spans="4:25" x14ac:dyDescent="0.25">
      <c r="D76" s="69"/>
      <c r="E76" s="34"/>
      <c r="F76" s="34"/>
      <c r="H76" s="35"/>
      <c r="I76" s="36"/>
      <c r="J76" s="37"/>
      <c r="K76" s="38"/>
      <c r="L76" s="29"/>
      <c r="M76" s="29"/>
      <c r="N76" s="29"/>
      <c r="O76" s="39"/>
      <c r="P76" s="40">
        <f t="shared" si="4"/>
        <v>0</v>
      </c>
      <c r="Q76" s="40">
        <f t="shared" si="6"/>
        <v>0</v>
      </c>
      <c r="R76" s="40">
        <f t="shared" si="7"/>
        <v>0</v>
      </c>
      <c r="S76" s="41"/>
      <c r="T76" s="41"/>
      <c r="U76" s="41"/>
      <c r="V76" s="41"/>
      <c r="W76" s="41"/>
      <c r="X76" s="41"/>
      <c r="Y76" s="33">
        <f t="shared" si="5"/>
        <v>0</v>
      </c>
    </row>
    <row r="77" spans="4:25" x14ac:dyDescent="0.25">
      <c r="D77" s="69"/>
      <c r="E77" s="34"/>
      <c r="F77" s="34"/>
      <c r="H77" s="35"/>
      <c r="I77" s="36"/>
      <c r="J77" s="37"/>
      <c r="K77" s="38"/>
      <c r="L77" s="29"/>
      <c r="M77" s="29"/>
      <c r="N77" s="29"/>
      <c r="O77" s="39"/>
      <c r="P77" s="40">
        <f t="shared" si="4"/>
        <v>0</v>
      </c>
      <c r="Q77" s="40">
        <f t="shared" si="6"/>
        <v>0</v>
      </c>
      <c r="R77" s="40">
        <f t="shared" si="7"/>
        <v>0</v>
      </c>
      <c r="S77" s="41"/>
      <c r="T77" s="41"/>
      <c r="U77" s="41"/>
      <c r="V77" s="41"/>
      <c r="W77" s="41"/>
      <c r="X77" s="41"/>
      <c r="Y77" s="33">
        <f t="shared" si="5"/>
        <v>0</v>
      </c>
    </row>
    <row r="78" spans="4:25" x14ac:dyDescent="0.25">
      <c r="D78" s="69"/>
      <c r="E78" s="34"/>
      <c r="F78" s="34"/>
      <c r="H78" s="35"/>
      <c r="I78" s="36"/>
      <c r="J78" s="37"/>
      <c r="K78" s="38"/>
      <c r="L78" s="29"/>
      <c r="M78" s="29"/>
      <c r="N78" s="29"/>
      <c r="O78" s="39"/>
      <c r="P78" s="40">
        <f t="shared" si="4"/>
        <v>0</v>
      </c>
      <c r="Q78" s="40">
        <f t="shared" si="6"/>
        <v>0</v>
      </c>
      <c r="R78" s="40">
        <f t="shared" si="7"/>
        <v>0</v>
      </c>
      <c r="S78" s="41"/>
      <c r="T78" s="41"/>
      <c r="U78" s="41"/>
      <c r="V78" s="41"/>
      <c r="W78" s="41"/>
      <c r="X78" s="41"/>
      <c r="Y78" s="33">
        <f t="shared" si="5"/>
        <v>0</v>
      </c>
    </row>
    <row r="79" spans="4:25" x14ac:dyDescent="0.25">
      <c r="D79" s="69"/>
      <c r="E79" s="34"/>
      <c r="F79" s="34"/>
      <c r="H79" s="35"/>
      <c r="I79" s="36"/>
      <c r="J79" s="37"/>
      <c r="K79" s="38"/>
      <c r="L79" s="29"/>
      <c r="M79" s="29"/>
      <c r="N79" s="29"/>
      <c r="O79" s="39"/>
      <c r="P79" s="40">
        <f t="shared" si="4"/>
        <v>0</v>
      </c>
      <c r="Q79" s="40">
        <f t="shared" si="6"/>
        <v>0</v>
      </c>
      <c r="R79" s="40">
        <f t="shared" si="7"/>
        <v>0</v>
      </c>
      <c r="S79" s="41"/>
      <c r="T79" s="41"/>
      <c r="U79" s="41"/>
      <c r="V79" s="41"/>
      <c r="W79" s="41"/>
      <c r="X79" s="41"/>
      <c r="Y79" s="33">
        <f t="shared" si="5"/>
        <v>0</v>
      </c>
    </row>
    <row r="80" spans="4:25" x14ac:dyDescent="0.25">
      <c r="D80" s="69"/>
      <c r="E80" s="34"/>
      <c r="F80" s="34"/>
      <c r="H80" s="35"/>
      <c r="I80" s="36"/>
      <c r="J80" s="37"/>
      <c r="K80" s="38"/>
      <c r="L80" s="29"/>
      <c r="M80" s="29"/>
      <c r="N80" s="29"/>
      <c r="O80" s="39"/>
      <c r="P80" s="40">
        <f t="shared" si="4"/>
        <v>0</v>
      </c>
      <c r="Q80" s="40">
        <f t="shared" si="6"/>
        <v>0</v>
      </c>
      <c r="R80" s="40">
        <f t="shared" si="7"/>
        <v>0</v>
      </c>
      <c r="S80" s="41"/>
      <c r="T80" s="41"/>
      <c r="U80" s="41"/>
      <c r="V80" s="41"/>
      <c r="W80" s="41"/>
      <c r="X80" s="41"/>
      <c r="Y80" s="33">
        <f t="shared" si="5"/>
        <v>0</v>
      </c>
    </row>
    <row r="81" spans="4:25" x14ac:dyDescent="0.25">
      <c r="D81" s="69"/>
      <c r="E81" s="34"/>
      <c r="F81" s="34"/>
      <c r="H81" s="35"/>
      <c r="I81" s="36"/>
      <c r="J81" s="37"/>
      <c r="K81" s="38"/>
      <c r="L81" s="29"/>
      <c r="M81" s="29"/>
      <c r="N81" s="29"/>
      <c r="O81" s="39"/>
      <c r="P81" s="40">
        <f t="shared" si="4"/>
        <v>0</v>
      </c>
      <c r="Q81" s="40">
        <f t="shared" si="6"/>
        <v>0</v>
      </c>
      <c r="R81" s="40">
        <f t="shared" si="7"/>
        <v>0</v>
      </c>
      <c r="S81" s="41"/>
      <c r="T81" s="41"/>
      <c r="U81" s="41"/>
      <c r="V81" s="41"/>
      <c r="W81" s="41"/>
      <c r="X81" s="41"/>
      <c r="Y81" s="33">
        <f t="shared" si="5"/>
        <v>0</v>
      </c>
    </row>
    <row r="82" spans="4:25" x14ac:dyDescent="0.25">
      <c r="D82" s="69"/>
      <c r="E82" s="34"/>
      <c r="F82" s="34"/>
      <c r="G82" s="38"/>
      <c r="H82" s="35"/>
      <c r="I82" s="36"/>
      <c r="J82" s="37"/>
      <c r="K82" s="38"/>
      <c r="L82" s="29"/>
      <c r="M82" s="29"/>
      <c r="N82" s="29"/>
      <c r="O82" s="39"/>
      <c r="P82" s="40">
        <f t="shared" si="4"/>
        <v>0</v>
      </c>
      <c r="Q82" s="40">
        <f t="shared" si="6"/>
        <v>0</v>
      </c>
      <c r="R82" s="40">
        <f t="shared" si="7"/>
        <v>0</v>
      </c>
      <c r="S82" s="41"/>
      <c r="T82" s="41"/>
      <c r="U82" s="41"/>
      <c r="V82" s="41"/>
      <c r="W82" s="41"/>
      <c r="X82" s="41"/>
      <c r="Y82" s="33">
        <f t="shared" si="5"/>
        <v>0</v>
      </c>
    </row>
    <row r="83" spans="4:25" x14ac:dyDescent="0.25">
      <c r="D83" s="69"/>
      <c r="E83" s="34"/>
      <c r="F83" s="34"/>
      <c r="G83" s="38"/>
      <c r="H83" s="35"/>
      <c r="I83" s="36"/>
      <c r="J83" s="37"/>
      <c r="K83" s="38"/>
      <c r="L83" s="29"/>
      <c r="M83" s="29"/>
      <c r="N83" s="29"/>
      <c r="O83" s="39"/>
      <c r="P83" s="40">
        <f t="shared" si="4"/>
        <v>0</v>
      </c>
      <c r="Q83" s="40">
        <f t="shared" si="6"/>
        <v>0</v>
      </c>
      <c r="R83" s="40">
        <f t="shared" si="7"/>
        <v>0</v>
      </c>
      <c r="S83" s="41"/>
      <c r="T83" s="41"/>
      <c r="U83" s="41"/>
      <c r="V83" s="41"/>
      <c r="W83" s="41"/>
      <c r="X83" s="41"/>
      <c r="Y83" s="33">
        <f t="shared" si="5"/>
        <v>0</v>
      </c>
    </row>
    <row r="84" spans="4:25" x14ac:dyDescent="0.25">
      <c r="D84" s="69"/>
      <c r="E84" s="34"/>
      <c r="F84" s="34"/>
      <c r="H84" s="35"/>
      <c r="I84" s="36"/>
      <c r="J84" s="37"/>
      <c r="K84" s="38"/>
      <c r="L84" s="29"/>
      <c r="M84" s="29"/>
      <c r="N84" s="29"/>
      <c r="O84" s="39"/>
      <c r="P84" s="40">
        <f t="shared" si="4"/>
        <v>0</v>
      </c>
      <c r="Q84" s="40">
        <f t="shared" si="6"/>
        <v>0</v>
      </c>
      <c r="R84" s="40">
        <f t="shared" si="7"/>
        <v>0</v>
      </c>
      <c r="S84" s="41"/>
      <c r="T84" s="41"/>
      <c r="U84" s="41"/>
      <c r="V84" s="41"/>
      <c r="W84" s="41"/>
      <c r="X84" s="41"/>
      <c r="Y84" s="33">
        <f t="shared" si="5"/>
        <v>0</v>
      </c>
    </row>
    <row r="85" spans="4:25" x14ac:dyDescent="0.25">
      <c r="D85" s="69"/>
      <c r="E85" s="34"/>
      <c r="F85" s="34"/>
      <c r="H85" s="35"/>
      <c r="I85" s="36"/>
      <c r="J85" s="37"/>
      <c r="K85" s="38"/>
      <c r="L85" s="29"/>
      <c r="M85" s="29"/>
      <c r="N85" s="29"/>
      <c r="O85" s="39"/>
      <c r="P85" s="40">
        <f t="shared" si="4"/>
        <v>0</v>
      </c>
      <c r="Q85" s="40">
        <f t="shared" si="6"/>
        <v>0</v>
      </c>
      <c r="R85" s="40">
        <f t="shared" si="7"/>
        <v>0</v>
      </c>
      <c r="S85" s="41"/>
      <c r="T85" s="41"/>
      <c r="U85" s="41"/>
      <c r="V85" s="41"/>
      <c r="W85" s="41"/>
      <c r="X85" s="41"/>
      <c r="Y85" s="33">
        <f t="shared" si="5"/>
        <v>0</v>
      </c>
    </row>
    <row r="86" spans="4:25" x14ac:dyDescent="0.25">
      <c r="D86" s="69"/>
      <c r="E86" s="34"/>
      <c r="F86" s="34"/>
      <c r="H86" s="35"/>
      <c r="I86" s="36"/>
      <c r="J86" s="37"/>
      <c r="K86" s="38"/>
      <c r="L86" s="29"/>
      <c r="M86" s="29"/>
      <c r="N86" s="29"/>
      <c r="O86" s="39"/>
      <c r="P86" s="40">
        <f t="shared" si="4"/>
        <v>0</v>
      </c>
      <c r="Q86" s="40">
        <f t="shared" si="6"/>
        <v>0</v>
      </c>
      <c r="R86" s="40">
        <f t="shared" si="7"/>
        <v>0</v>
      </c>
      <c r="S86" s="41"/>
      <c r="T86" s="41"/>
      <c r="U86" s="41"/>
      <c r="V86" s="41"/>
      <c r="W86" s="41"/>
      <c r="X86" s="41"/>
      <c r="Y86" s="33">
        <f t="shared" si="5"/>
        <v>0</v>
      </c>
    </row>
    <row r="87" spans="4:25" x14ac:dyDescent="0.25">
      <c r="D87" s="69"/>
      <c r="E87" s="34"/>
      <c r="F87" s="34"/>
      <c r="H87" s="35"/>
      <c r="I87" s="36"/>
      <c r="J87" s="37"/>
      <c r="K87" s="38"/>
      <c r="L87" s="29"/>
      <c r="M87" s="29"/>
      <c r="N87" s="29"/>
      <c r="O87" s="39"/>
      <c r="P87" s="40">
        <f t="shared" si="4"/>
        <v>0</v>
      </c>
      <c r="Q87" s="40">
        <f t="shared" si="6"/>
        <v>0</v>
      </c>
      <c r="R87" s="40">
        <f t="shared" si="7"/>
        <v>0</v>
      </c>
      <c r="S87" s="41"/>
      <c r="T87" s="41"/>
      <c r="U87" s="41"/>
      <c r="V87" s="41"/>
      <c r="W87" s="41"/>
      <c r="X87" s="41"/>
      <c r="Y87" s="33">
        <f t="shared" si="5"/>
        <v>0</v>
      </c>
    </row>
    <row r="88" spans="4:25" x14ac:dyDescent="0.25">
      <c r="D88" s="69"/>
      <c r="E88" s="34"/>
      <c r="F88" s="34"/>
      <c r="H88" s="35"/>
      <c r="I88" s="36"/>
      <c r="J88" s="37"/>
      <c r="K88" s="38"/>
      <c r="L88" s="29"/>
      <c r="M88" s="29"/>
      <c r="N88" s="29"/>
      <c r="O88" s="39"/>
      <c r="P88" s="40">
        <f t="shared" si="4"/>
        <v>0</v>
      </c>
      <c r="Q88" s="40">
        <f t="shared" si="6"/>
        <v>0</v>
      </c>
      <c r="R88" s="40">
        <f t="shared" si="7"/>
        <v>0</v>
      </c>
      <c r="S88" s="41"/>
      <c r="T88" s="41"/>
      <c r="U88" s="41"/>
      <c r="V88" s="41"/>
      <c r="W88" s="41"/>
      <c r="X88" s="41"/>
      <c r="Y88" s="33">
        <f t="shared" si="5"/>
        <v>0</v>
      </c>
    </row>
    <row r="89" spans="4:25" x14ac:dyDescent="0.25">
      <c r="D89" s="69"/>
      <c r="E89" s="34"/>
      <c r="F89" s="34"/>
      <c r="H89" s="35"/>
      <c r="I89" s="36"/>
      <c r="J89" s="37"/>
      <c r="K89" s="38"/>
      <c r="L89" s="29"/>
      <c r="M89" s="29"/>
      <c r="N89" s="29"/>
      <c r="O89" s="39"/>
      <c r="P89" s="40">
        <f t="shared" si="4"/>
        <v>0</v>
      </c>
      <c r="Q89" s="40">
        <f t="shared" si="6"/>
        <v>0</v>
      </c>
      <c r="R89" s="40">
        <f t="shared" si="7"/>
        <v>0</v>
      </c>
      <c r="S89" s="41"/>
      <c r="T89" s="41"/>
      <c r="U89" s="41"/>
      <c r="V89" s="41"/>
      <c r="W89" s="41"/>
      <c r="X89" s="41"/>
      <c r="Y89" s="33">
        <f t="shared" si="5"/>
        <v>0</v>
      </c>
    </row>
    <row r="90" spans="4:25" x14ac:dyDescent="0.25">
      <c r="D90" s="69"/>
      <c r="E90" s="34"/>
      <c r="F90" s="34"/>
      <c r="H90" s="35"/>
      <c r="I90" s="36"/>
      <c r="J90" s="37"/>
      <c r="K90" s="38"/>
      <c r="L90" s="29"/>
      <c r="M90" s="29"/>
      <c r="N90" s="29"/>
      <c r="O90" s="39"/>
      <c r="P90" s="40">
        <f t="shared" si="4"/>
        <v>0</v>
      </c>
      <c r="Q90" s="40">
        <f t="shared" si="6"/>
        <v>0</v>
      </c>
      <c r="R90" s="40">
        <f t="shared" si="7"/>
        <v>0</v>
      </c>
      <c r="S90" s="41"/>
      <c r="T90" s="41"/>
      <c r="U90" s="41"/>
      <c r="V90" s="41"/>
      <c r="W90" s="41"/>
      <c r="X90" s="41"/>
      <c r="Y90" s="33">
        <f t="shared" si="5"/>
        <v>0</v>
      </c>
    </row>
    <row r="91" spans="4:25" x14ac:dyDescent="0.25">
      <c r="D91" s="69"/>
      <c r="E91" s="34"/>
      <c r="F91" s="34"/>
      <c r="H91" s="35"/>
      <c r="I91" s="36"/>
      <c r="J91" s="37"/>
      <c r="K91" s="38"/>
      <c r="L91" s="29"/>
      <c r="M91" s="29"/>
      <c r="N91" s="29"/>
      <c r="O91" s="39"/>
      <c r="P91" s="40">
        <f t="shared" si="4"/>
        <v>0</v>
      </c>
      <c r="Q91" s="40">
        <f t="shared" si="6"/>
        <v>0</v>
      </c>
      <c r="R91" s="40">
        <f t="shared" si="7"/>
        <v>0</v>
      </c>
      <c r="S91" s="41"/>
      <c r="T91" s="41"/>
      <c r="U91" s="41"/>
      <c r="V91" s="41"/>
      <c r="W91" s="41"/>
      <c r="X91" s="41"/>
      <c r="Y91" s="33">
        <f t="shared" si="5"/>
        <v>0</v>
      </c>
    </row>
    <row r="92" spans="4:25" x14ac:dyDescent="0.25">
      <c r="D92" s="69"/>
      <c r="E92" s="34"/>
      <c r="F92" s="34"/>
      <c r="H92" s="35"/>
      <c r="I92" s="36"/>
      <c r="J92" s="37"/>
      <c r="K92" s="38"/>
      <c r="L92" s="29"/>
      <c r="M92" s="29"/>
      <c r="N92" s="29"/>
      <c r="O92" s="39"/>
      <c r="P92" s="40">
        <f t="shared" si="4"/>
        <v>0</v>
      </c>
      <c r="Q92" s="40">
        <f t="shared" si="6"/>
        <v>0</v>
      </c>
      <c r="R92" s="40">
        <f t="shared" si="7"/>
        <v>0</v>
      </c>
      <c r="S92" s="41"/>
      <c r="T92" s="41"/>
      <c r="U92" s="41"/>
      <c r="V92" s="41"/>
      <c r="W92" s="41"/>
      <c r="X92" s="41"/>
      <c r="Y92" s="33">
        <f t="shared" si="5"/>
        <v>0</v>
      </c>
    </row>
    <row r="93" spans="4:25" x14ac:dyDescent="0.25">
      <c r="D93" s="69"/>
      <c r="E93" s="34"/>
      <c r="F93" s="34"/>
      <c r="H93" s="35"/>
      <c r="I93" s="36"/>
      <c r="J93" s="37"/>
      <c r="K93" s="38"/>
      <c r="L93" s="29"/>
      <c r="M93" s="29"/>
      <c r="N93" s="29"/>
      <c r="O93" s="39"/>
      <c r="P93" s="40">
        <f t="shared" si="4"/>
        <v>0</v>
      </c>
      <c r="Q93" s="40">
        <f t="shared" si="6"/>
        <v>0</v>
      </c>
      <c r="R93" s="40">
        <f t="shared" si="7"/>
        <v>0</v>
      </c>
      <c r="S93" s="41"/>
      <c r="T93" s="41"/>
      <c r="U93" s="41"/>
      <c r="V93" s="41"/>
      <c r="W93" s="41"/>
      <c r="X93" s="41"/>
      <c r="Y93" s="33">
        <f t="shared" si="5"/>
        <v>0</v>
      </c>
    </row>
    <row r="94" spans="4:25" x14ac:dyDescent="0.25">
      <c r="D94" s="69"/>
      <c r="E94" s="34"/>
      <c r="F94" s="34"/>
      <c r="H94" s="35"/>
      <c r="I94" s="36"/>
      <c r="J94" s="37"/>
      <c r="K94" s="38"/>
      <c r="L94" s="29"/>
      <c r="M94" s="29"/>
      <c r="N94" s="29"/>
      <c r="O94" s="39"/>
      <c r="P94" s="40">
        <f t="shared" si="4"/>
        <v>0</v>
      </c>
      <c r="Q94" s="40">
        <f t="shared" si="6"/>
        <v>0</v>
      </c>
      <c r="R94" s="40">
        <f t="shared" si="7"/>
        <v>0</v>
      </c>
      <c r="S94" s="41"/>
      <c r="T94" s="41"/>
      <c r="U94" s="41"/>
      <c r="V94" s="41"/>
      <c r="W94" s="41"/>
      <c r="X94" s="41"/>
      <c r="Y94" s="33">
        <f t="shared" si="5"/>
        <v>0</v>
      </c>
    </row>
    <row r="95" spans="4:25" x14ac:dyDescent="0.25">
      <c r="D95" s="69"/>
      <c r="E95" s="34"/>
      <c r="F95" s="34"/>
      <c r="H95" s="35"/>
      <c r="I95" s="36"/>
      <c r="J95" s="37"/>
      <c r="K95" s="38"/>
      <c r="L95" s="29"/>
      <c r="M95" s="29"/>
      <c r="N95" s="29"/>
      <c r="O95" s="39"/>
      <c r="P95" s="40">
        <f t="shared" si="4"/>
        <v>0</v>
      </c>
      <c r="Q95" s="40">
        <f t="shared" si="6"/>
        <v>0</v>
      </c>
      <c r="R95" s="40">
        <f t="shared" si="7"/>
        <v>0</v>
      </c>
      <c r="S95" s="41"/>
      <c r="T95" s="41"/>
      <c r="U95" s="41"/>
      <c r="V95" s="41"/>
      <c r="W95" s="41"/>
      <c r="X95" s="41"/>
      <c r="Y95" s="33">
        <f t="shared" si="5"/>
        <v>0</v>
      </c>
    </row>
    <row r="96" spans="4:25" x14ac:dyDescent="0.25">
      <c r="D96" s="69"/>
      <c r="E96" s="34"/>
      <c r="F96" s="34"/>
      <c r="H96" s="35"/>
      <c r="I96" s="36"/>
      <c r="J96" s="37"/>
      <c r="K96" s="38"/>
      <c r="L96" s="29"/>
      <c r="M96" s="29"/>
      <c r="N96" s="29"/>
      <c r="O96" s="39"/>
      <c r="P96" s="40">
        <f t="shared" si="4"/>
        <v>0</v>
      </c>
      <c r="Q96" s="40">
        <f t="shared" si="6"/>
        <v>0</v>
      </c>
      <c r="R96" s="40">
        <f t="shared" si="7"/>
        <v>0</v>
      </c>
      <c r="S96" s="41"/>
      <c r="T96" s="41"/>
      <c r="U96" s="41"/>
      <c r="V96" s="41"/>
      <c r="W96" s="41"/>
      <c r="X96" s="41"/>
      <c r="Y96" s="33">
        <f t="shared" si="5"/>
        <v>0</v>
      </c>
    </row>
    <row r="97" spans="4:25" x14ac:dyDescent="0.25">
      <c r="D97" s="69"/>
      <c r="E97" s="34"/>
      <c r="F97" s="34"/>
      <c r="H97" s="35"/>
      <c r="I97" s="36"/>
      <c r="J97" s="37"/>
      <c r="K97" s="38"/>
      <c r="L97" s="29"/>
      <c r="M97" s="29"/>
      <c r="N97" s="29"/>
      <c r="O97" s="39"/>
      <c r="P97" s="40">
        <f t="shared" si="4"/>
        <v>0</v>
      </c>
      <c r="Q97" s="40">
        <f t="shared" si="6"/>
        <v>0</v>
      </c>
      <c r="R97" s="40">
        <f t="shared" si="7"/>
        <v>0</v>
      </c>
      <c r="S97" s="41"/>
      <c r="T97" s="41"/>
      <c r="U97" s="41"/>
      <c r="V97" s="41"/>
      <c r="W97" s="41"/>
      <c r="X97" s="41"/>
      <c r="Y97" s="33">
        <f t="shared" si="5"/>
        <v>0</v>
      </c>
    </row>
    <row r="98" spans="4:25" x14ac:dyDescent="0.25">
      <c r="D98" s="69"/>
      <c r="E98" s="34"/>
      <c r="F98" s="34"/>
      <c r="H98" s="35"/>
      <c r="I98" s="36"/>
      <c r="J98" s="37"/>
      <c r="K98" s="38"/>
      <c r="L98" s="29"/>
      <c r="M98" s="29"/>
      <c r="N98" s="29"/>
      <c r="O98" s="39"/>
      <c r="P98" s="40">
        <f t="shared" si="4"/>
        <v>0</v>
      </c>
      <c r="Q98" s="40">
        <f t="shared" si="6"/>
        <v>0</v>
      </c>
      <c r="R98" s="40">
        <f t="shared" si="7"/>
        <v>0</v>
      </c>
      <c r="S98" s="41"/>
      <c r="T98" s="41"/>
      <c r="U98" s="41"/>
      <c r="V98" s="41"/>
      <c r="W98" s="41"/>
      <c r="X98" s="41"/>
      <c r="Y98" s="33">
        <f t="shared" si="5"/>
        <v>0</v>
      </c>
    </row>
    <row r="99" spans="4:25" x14ac:dyDescent="0.25">
      <c r="D99" s="69"/>
      <c r="E99" s="34"/>
      <c r="F99" s="34"/>
      <c r="H99" s="35"/>
      <c r="I99" s="36"/>
      <c r="J99" s="37"/>
      <c r="K99" s="38"/>
      <c r="L99" s="29"/>
      <c r="M99" s="29"/>
      <c r="N99" s="29"/>
      <c r="O99" s="39"/>
      <c r="P99" s="40">
        <f t="shared" si="4"/>
        <v>0</v>
      </c>
      <c r="Q99" s="40">
        <f t="shared" si="6"/>
        <v>0</v>
      </c>
      <c r="R99" s="40">
        <f t="shared" si="7"/>
        <v>0</v>
      </c>
      <c r="S99" s="41"/>
      <c r="T99" s="41"/>
      <c r="U99" s="41"/>
      <c r="V99" s="41"/>
      <c r="W99" s="41"/>
      <c r="X99" s="41"/>
      <c r="Y99" s="33">
        <f t="shared" si="5"/>
        <v>0</v>
      </c>
    </row>
    <row r="100" spans="4:25" x14ac:dyDescent="0.25">
      <c r="D100" s="69"/>
      <c r="E100" s="34"/>
      <c r="F100" s="34"/>
      <c r="H100" s="35"/>
      <c r="I100" s="36"/>
      <c r="J100" s="37"/>
      <c r="K100" s="38"/>
      <c r="L100" s="29"/>
      <c r="M100" s="29"/>
      <c r="N100" s="29"/>
      <c r="O100" s="39"/>
      <c r="P100" s="40">
        <f t="shared" si="4"/>
        <v>0</v>
      </c>
      <c r="Q100" s="40">
        <f t="shared" si="6"/>
        <v>0</v>
      </c>
      <c r="R100" s="40">
        <f t="shared" si="7"/>
        <v>0</v>
      </c>
      <c r="S100" s="41"/>
      <c r="T100" s="41"/>
      <c r="U100" s="41"/>
      <c r="V100" s="41"/>
      <c r="W100" s="41"/>
      <c r="X100" s="41"/>
      <c r="Y100" s="33">
        <f t="shared" si="5"/>
        <v>0</v>
      </c>
    </row>
    <row r="101" spans="4:25" x14ac:dyDescent="0.25">
      <c r="D101" s="69"/>
      <c r="E101" s="34"/>
      <c r="F101" s="34"/>
      <c r="H101" s="35"/>
      <c r="I101" s="36"/>
      <c r="J101" s="37"/>
      <c r="K101" s="38"/>
      <c r="L101" s="29"/>
      <c r="M101" s="29"/>
      <c r="N101" s="29"/>
      <c r="O101" s="39"/>
      <c r="P101" s="40">
        <f t="shared" si="4"/>
        <v>0</v>
      </c>
      <c r="Q101" s="40">
        <f t="shared" si="6"/>
        <v>0</v>
      </c>
      <c r="R101" s="40">
        <f t="shared" si="7"/>
        <v>0</v>
      </c>
      <c r="S101" s="41"/>
      <c r="T101" s="41"/>
      <c r="U101" s="41"/>
      <c r="V101" s="41"/>
      <c r="W101" s="41"/>
      <c r="X101" s="41"/>
      <c r="Y101" s="33">
        <f t="shared" si="5"/>
        <v>0</v>
      </c>
    </row>
    <row r="102" spans="4:25" x14ac:dyDescent="0.25">
      <c r="D102" s="69"/>
      <c r="E102" s="34"/>
      <c r="F102" s="34"/>
      <c r="H102" s="35"/>
      <c r="I102" s="36"/>
      <c r="J102" s="37"/>
      <c r="K102" s="38"/>
      <c r="L102" s="29"/>
      <c r="M102" s="29"/>
      <c r="N102" s="29"/>
      <c r="O102" s="39"/>
      <c r="P102" s="40">
        <f t="shared" si="4"/>
        <v>0</v>
      </c>
      <c r="Q102" s="40">
        <f t="shared" si="6"/>
        <v>0</v>
      </c>
      <c r="R102" s="40">
        <f t="shared" si="7"/>
        <v>0</v>
      </c>
      <c r="S102" s="41"/>
      <c r="T102" s="41"/>
      <c r="U102" s="41"/>
      <c r="V102" s="41"/>
      <c r="W102" s="41"/>
      <c r="X102" s="41"/>
      <c r="Y102" s="33">
        <f t="shared" si="5"/>
        <v>0</v>
      </c>
    </row>
    <row r="103" spans="4:25" x14ac:dyDescent="0.25">
      <c r="D103" s="69"/>
      <c r="E103" s="34"/>
      <c r="F103" s="34"/>
      <c r="H103" s="35"/>
      <c r="I103" s="36"/>
      <c r="J103" s="37"/>
      <c r="K103" s="38"/>
      <c r="L103" s="29"/>
      <c r="M103" s="29"/>
      <c r="N103" s="29"/>
      <c r="O103" s="39"/>
      <c r="P103" s="40">
        <f t="shared" si="4"/>
        <v>0</v>
      </c>
      <c r="Q103" s="40">
        <f t="shared" si="6"/>
        <v>0</v>
      </c>
      <c r="R103" s="40">
        <f t="shared" si="7"/>
        <v>0</v>
      </c>
      <c r="S103" s="41"/>
      <c r="T103" s="41"/>
      <c r="U103" s="41"/>
      <c r="V103" s="41"/>
      <c r="W103" s="41"/>
      <c r="X103" s="41"/>
      <c r="Y103" s="33">
        <f t="shared" si="5"/>
        <v>0</v>
      </c>
    </row>
    <row r="104" spans="4:25" x14ac:dyDescent="0.25">
      <c r="D104" s="69"/>
      <c r="E104" s="34"/>
      <c r="F104" s="34"/>
      <c r="H104" s="35"/>
      <c r="I104" s="36"/>
      <c r="J104" s="37"/>
      <c r="K104" s="38"/>
      <c r="L104" s="29"/>
      <c r="M104" s="29"/>
      <c r="N104" s="29"/>
      <c r="O104" s="39"/>
      <c r="P104" s="40">
        <f t="shared" si="4"/>
        <v>0</v>
      </c>
      <c r="Q104" s="40">
        <f t="shared" si="6"/>
        <v>0</v>
      </c>
      <c r="R104" s="40">
        <f t="shared" si="7"/>
        <v>0</v>
      </c>
      <c r="S104" s="41"/>
      <c r="T104" s="41"/>
      <c r="U104" s="41"/>
      <c r="V104" s="41"/>
      <c r="W104" s="41"/>
      <c r="X104" s="41"/>
      <c r="Y104" s="33">
        <f t="shared" si="5"/>
        <v>0</v>
      </c>
    </row>
    <row r="105" spans="4:25" x14ac:dyDescent="0.25">
      <c r="D105" s="69"/>
      <c r="E105" s="34"/>
      <c r="F105" s="34"/>
      <c r="H105" s="35"/>
      <c r="I105" s="36"/>
      <c r="J105" s="37"/>
      <c r="K105" s="38"/>
      <c r="L105" s="29"/>
      <c r="M105" s="29"/>
      <c r="N105" s="29"/>
      <c r="O105" s="39"/>
      <c r="P105" s="40">
        <f t="shared" si="4"/>
        <v>0</v>
      </c>
      <c r="Q105" s="40">
        <f t="shared" si="6"/>
        <v>0</v>
      </c>
      <c r="R105" s="40">
        <f t="shared" si="7"/>
        <v>0</v>
      </c>
      <c r="S105" s="41"/>
      <c r="T105" s="41"/>
      <c r="U105" s="41"/>
      <c r="V105" s="41"/>
      <c r="W105" s="41"/>
      <c r="X105" s="41"/>
      <c r="Y105" s="33">
        <f t="shared" si="5"/>
        <v>0</v>
      </c>
    </row>
    <row r="106" spans="4:25" x14ac:dyDescent="0.25">
      <c r="D106" s="69"/>
      <c r="E106" s="34"/>
      <c r="F106" s="34"/>
      <c r="H106" s="35"/>
      <c r="I106" s="36"/>
      <c r="J106" s="37"/>
      <c r="K106" s="38"/>
      <c r="L106" s="29"/>
      <c r="M106" s="29"/>
      <c r="N106" s="29"/>
      <c r="O106" s="39"/>
      <c r="P106" s="40">
        <f t="shared" si="4"/>
        <v>0</v>
      </c>
      <c r="Q106" s="40">
        <f t="shared" si="6"/>
        <v>0</v>
      </c>
      <c r="R106" s="40">
        <f t="shared" si="7"/>
        <v>0</v>
      </c>
      <c r="S106" s="41"/>
      <c r="T106" s="41"/>
      <c r="U106" s="41"/>
      <c r="V106" s="41"/>
      <c r="W106" s="41"/>
      <c r="X106" s="41"/>
      <c r="Y106" s="33">
        <f t="shared" si="5"/>
        <v>0</v>
      </c>
    </row>
    <row r="107" spans="4:25" x14ac:dyDescent="0.25">
      <c r="D107" s="69"/>
      <c r="E107" s="34"/>
      <c r="F107" s="34"/>
      <c r="H107" s="35"/>
      <c r="I107" s="36"/>
      <c r="J107" s="37"/>
      <c r="K107" s="38"/>
      <c r="L107" s="29"/>
      <c r="M107" s="29"/>
      <c r="N107" s="29"/>
      <c r="O107" s="39"/>
      <c r="P107" s="40">
        <f t="shared" si="4"/>
        <v>0</v>
      </c>
      <c r="Q107" s="40">
        <f t="shared" si="6"/>
        <v>0</v>
      </c>
      <c r="R107" s="40">
        <f t="shared" si="7"/>
        <v>0</v>
      </c>
      <c r="S107" s="41"/>
      <c r="T107" s="41"/>
      <c r="U107" s="41"/>
      <c r="V107" s="41"/>
      <c r="W107" s="41"/>
      <c r="X107" s="41"/>
      <c r="Y107" s="33">
        <f t="shared" si="5"/>
        <v>0</v>
      </c>
    </row>
    <row r="108" spans="4:25" x14ac:dyDescent="0.25">
      <c r="D108" s="69"/>
      <c r="E108" s="34"/>
      <c r="F108" s="34"/>
      <c r="H108" s="35"/>
      <c r="I108" s="36"/>
      <c r="J108" s="37"/>
      <c r="K108" s="38"/>
      <c r="L108" s="29"/>
      <c r="M108" s="29"/>
      <c r="N108" s="29"/>
      <c r="O108" s="39"/>
      <c r="P108" s="40">
        <f t="shared" si="4"/>
        <v>0</v>
      </c>
      <c r="Q108" s="40">
        <f t="shared" si="6"/>
        <v>0</v>
      </c>
      <c r="R108" s="40">
        <f t="shared" si="7"/>
        <v>0</v>
      </c>
      <c r="S108" s="41"/>
      <c r="T108" s="41"/>
      <c r="U108" s="41"/>
      <c r="V108" s="41"/>
      <c r="W108" s="41"/>
      <c r="X108" s="41"/>
      <c r="Y108" s="33">
        <f t="shared" si="5"/>
        <v>0</v>
      </c>
    </row>
    <row r="109" spans="4:25" x14ac:dyDescent="0.25">
      <c r="D109" s="69"/>
      <c r="E109" s="34"/>
      <c r="F109" s="34"/>
      <c r="H109" s="35"/>
      <c r="I109" s="36"/>
      <c r="J109" s="37"/>
      <c r="K109" s="38"/>
      <c r="L109" s="29"/>
      <c r="M109" s="29"/>
      <c r="N109" s="29"/>
      <c r="O109" s="39"/>
      <c r="P109" s="40">
        <f t="shared" si="4"/>
        <v>0</v>
      </c>
      <c r="Q109" s="40">
        <f t="shared" si="6"/>
        <v>0</v>
      </c>
      <c r="R109" s="40">
        <f t="shared" si="7"/>
        <v>0</v>
      </c>
      <c r="S109" s="41"/>
      <c r="T109" s="41"/>
      <c r="U109" s="41"/>
      <c r="V109" s="41"/>
      <c r="W109" s="41"/>
      <c r="X109" s="41"/>
      <c r="Y109" s="33">
        <f t="shared" si="5"/>
        <v>0</v>
      </c>
    </row>
    <row r="110" spans="4:25" x14ac:dyDescent="0.25">
      <c r="D110" s="69"/>
      <c r="E110" s="34"/>
      <c r="F110" s="34"/>
      <c r="H110" s="35"/>
      <c r="I110" s="36"/>
      <c r="J110" s="37"/>
      <c r="K110" s="38"/>
      <c r="L110" s="29"/>
      <c r="M110" s="29"/>
      <c r="N110" s="29"/>
      <c r="O110" s="39"/>
      <c r="P110" s="40">
        <f t="shared" si="4"/>
        <v>0</v>
      </c>
      <c r="Q110" s="40">
        <f t="shared" si="6"/>
        <v>0</v>
      </c>
      <c r="R110" s="40">
        <f t="shared" si="7"/>
        <v>0</v>
      </c>
      <c r="S110" s="41"/>
      <c r="T110" s="41"/>
      <c r="U110" s="41"/>
      <c r="V110" s="41"/>
      <c r="W110" s="41"/>
      <c r="X110" s="41"/>
      <c r="Y110" s="33">
        <f t="shared" si="5"/>
        <v>0</v>
      </c>
    </row>
    <row r="111" spans="4:25" x14ac:dyDescent="0.25">
      <c r="D111" s="69"/>
      <c r="E111" s="34"/>
      <c r="F111" s="34"/>
      <c r="H111" s="35"/>
      <c r="I111" s="36"/>
      <c r="J111" s="37"/>
      <c r="K111" s="38"/>
      <c r="L111" s="29"/>
      <c r="M111" s="29"/>
      <c r="N111" s="29"/>
      <c r="O111" s="39"/>
      <c r="P111" s="40">
        <f t="shared" si="4"/>
        <v>0</v>
      </c>
      <c r="Q111" s="40">
        <f t="shared" si="6"/>
        <v>0</v>
      </c>
      <c r="R111" s="40">
        <f t="shared" si="7"/>
        <v>0</v>
      </c>
      <c r="S111" s="41"/>
      <c r="T111" s="41"/>
      <c r="U111" s="41"/>
      <c r="V111" s="41"/>
      <c r="W111" s="41"/>
      <c r="X111" s="41"/>
      <c r="Y111" s="33">
        <f t="shared" si="5"/>
        <v>0</v>
      </c>
    </row>
    <row r="112" spans="4:25" x14ac:dyDescent="0.25">
      <c r="D112" s="69"/>
      <c r="E112" s="34"/>
      <c r="F112" s="34"/>
      <c r="H112" s="35"/>
      <c r="I112" s="36"/>
      <c r="J112" s="37"/>
      <c r="K112" s="38"/>
      <c r="L112" s="29"/>
      <c r="M112" s="29"/>
      <c r="N112" s="29"/>
      <c r="O112" s="39"/>
      <c r="P112" s="40">
        <f t="shared" si="4"/>
        <v>0</v>
      </c>
      <c r="Q112" s="40">
        <f t="shared" si="6"/>
        <v>0</v>
      </c>
      <c r="R112" s="40">
        <f t="shared" si="7"/>
        <v>0</v>
      </c>
      <c r="S112" s="41"/>
      <c r="T112" s="41"/>
      <c r="U112" s="41"/>
      <c r="V112" s="41"/>
      <c r="W112" s="41"/>
      <c r="X112" s="41"/>
      <c r="Y112" s="33">
        <f t="shared" si="5"/>
        <v>0</v>
      </c>
    </row>
    <row r="113" spans="4:25" x14ac:dyDescent="0.25">
      <c r="D113" s="69"/>
      <c r="E113" s="34"/>
      <c r="F113" s="34"/>
      <c r="H113" s="35"/>
      <c r="I113" s="36"/>
      <c r="J113" s="37"/>
      <c r="K113" s="38"/>
      <c r="L113" s="29"/>
      <c r="M113" s="29"/>
      <c r="N113" s="29"/>
      <c r="O113" s="39"/>
      <c r="P113" s="40">
        <f t="shared" si="4"/>
        <v>0</v>
      </c>
      <c r="Q113" s="40">
        <f t="shared" si="6"/>
        <v>0</v>
      </c>
      <c r="R113" s="40">
        <f t="shared" si="7"/>
        <v>0</v>
      </c>
      <c r="S113" s="41"/>
      <c r="T113" s="41"/>
      <c r="U113" s="41"/>
      <c r="V113" s="41"/>
      <c r="W113" s="41"/>
      <c r="X113" s="41"/>
      <c r="Y113" s="33">
        <f t="shared" si="5"/>
        <v>0</v>
      </c>
    </row>
    <row r="114" spans="4:25" x14ac:dyDescent="0.25">
      <c r="D114" s="69"/>
      <c r="E114" s="34"/>
      <c r="F114" s="34"/>
      <c r="H114" s="35"/>
      <c r="I114" s="36"/>
      <c r="J114" s="37"/>
      <c r="K114" s="38"/>
      <c r="L114" s="29"/>
      <c r="M114" s="29"/>
      <c r="N114" s="29"/>
      <c r="O114" s="39"/>
      <c r="P114" s="40">
        <f t="shared" si="4"/>
        <v>0</v>
      </c>
      <c r="Q114" s="40">
        <f t="shared" si="6"/>
        <v>0</v>
      </c>
      <c r="R114" s="40">
        <f t="shared" si="7"/>
        <v>0</v>
      </c>
      <c r="S114" s="41"/>
      <c r="T114" s="41"/>
      <c r="U114" s="41"/>
      <c r="V114" s="41"/>
      <c r="W114" s="41"/>
      <c r="X114" s="41"/>
      <c r="Y114" s="33">
        <f t="shared" si="5"/>
        <v>0</v>
      </c>
    </row>
    <row r="115" spans="4:25" x14ac:dyDescent="0.25">
      <c r="D115" s="69"/>
      <c r="E115" s="34"/>
      <c r="F115" s="34"/>
      <c r="H115" s="35"/>
      <c r="I115" s="36"/>
      <c r="J115" s="37"/>
      <c r="K115" s="38"/>
      <c r="L115" s="29"/>
      <c r="M115" s="29"/>
      <c r="N115" s="29"/>
      <c r="O115" s="39"/>
      <c r="P115" s="40">
        <f t="shared" si="4"/>
        <v>0</v>
      </c>
      <c r="Q115" s="40">
        <f t="shared" si="6"/>
        <v>0</v>
      </c>
      <c r="R115" s="40">
        <f t="shared" si="7"/>
        <v>0</v>
      </c>
      <c r="S115" s="41"/>
      <c r="T115" s="41"/>
      <c r="U115" s="41"/>
      <c r="V115" s="41"/>
      <c r="W115" s="41"/>
      <c r="X115" s="41"/>
      <c r="Y115" s="33">
        <f t="shared" si="5"/>
        <v>0</v>
      </c>
    </row>
    <row r="116" spans="4:25" x14ac:dyDescent="0.25">
      <c r="D116" s="69"/>
      <c r="E116" s="34"/>
      <c r="F116" s="34"/>
      <c r="H116" s="35"/>
      <c r="I116" s="36"/>
      <c r="J116" s="37"/>
      <c r="K116" s="38"/>
      <c r="L116" s="29"/>
      <c r="M116" s="29"/>
      <c r="N116" s="29"/>
      <c r="O116" s="39"/>
      <c r="P116" s="40">
        <f t="shared" si="4"/>
        <v>0</v>
      </c>
      <c r="Q116" s="40">
        <f t="shared" si="6"/>
        <v>0</v>
      </c>
      <c r="R116" s="40">
        <f t="shared" si="7"/>
        <v>0</v>
      </c>
      <c r="S116" s="41"/>
      <c r="T116" s="41"/>
      <c r="U116" s="41"/>
      <c r="V116" s="41"/>
      <c r="W116" s="41"/>
      <c r="X116" s="41"/>
      <c r="Y116" s="33">
        <f t="shared" si="5"/>
        <v>0</v>
      </c>
    </row>
    <row r="117" spans="4:25" x14ac:dyDescent="0.25">
      <c r="D117" s="69"/>
      <c r="E117" s="34"/>
      <c r="F117" s="34"/>
      <c r="H117" s="35"/>
      <c r="I117" s="36"/>
      <c r="J117" s="37"/>
      <c r="K117" s="38"/>
      <c r="L117" s="29"/>
      <c r="M117" s="29"/>
      <c r="N117" s="29"/>
      <c r="O117" s="39"/>
      <c r="P117" s="40">
        <f t="shared" si="4"/>
        <v>0</v>
      </c>
      <c r="Q117" s="40">
        <f t="shared" si="6"/>
        <v>0</v>
      </c>
      <c r="R117" s="40">
        <f t="shared" si="7"/>
        <v>0</v>
      </c>
      <c r="S117" s="41"/>
      <c r="T117" s="41"/>
      <c r="U117" s="41"/>
      <c r="V117" s="41"/>
      <c r="W117" s="41"/>
      <c r="X117" s="41"/>
      <c r="Y117" s="33">
        <f t="shared" si="5"/>
        <v>0</v>
      </c>
    </row>
    <row r="118" spans="4:25" x14ac:dyDescent="0.25">
      <c r="D118" s="69"/>
      <c r="E118" s="34"/>
      <c r="F118" s="34"/>
      <c r="H118" s="35"/>
      <c r="I118" s="36"/>
      <c r="J118" s="37"/>
      <c r="K118" s="38"/>
      <c r="L118" s="29"/>
      <c r="M118" s="29"/>
      <c r="N118" s="29"/>
      <c r="O118" s="39"/>
      <c r="P118" s="40">
        <f t="shared" si="4"/>
        <v>0</v>
      </c>
      <c r="Q118" s="40">
        <f t="shared" si="6"/>
        <v>0</v>
      </c>
      <c r="R118" s="40">
        <f t="shared" si="7"/>
        <v>0</v>
      </c>
      <c r="S118" s="41"/>
      <c r="T118" s="41"/>
      <c r="U118" s="41"/>
      <c r="V118" s="41"/>
      <c r="W118" s="41"/>
      <c r="X118" s="41"/>
      <c r="Y118" s="33">
        <f t="shared" si="5"/>
        <v>0</v>
      </c>
    </row>
    <row r="119" spans="4:25" x14ac:dyDescent="0.25">
      <c r="D119" s="69"/>
      <c r="E119" s="34"/>
      <c r="F119" s="34"/>
      <c r="H119" s="35"/>
      <c r="I119" s="36"/>
      <c r="J119" s="37"/>
      <c r="K119" s="38"/>
      <c r="L119" s="29"/>
      <c r="M119" s="29"/>
      <c r="N119" s="29"/>
      <c r="O119" s="39"/>
      <c r="P119" s="40">
        <f t="shared" si="4"/>
        <v>0</v>
      </c>
      <c r="Q119" s="40">
        <f t="shared" si="6"/>
        <v>0</v>
      </c>
      <c r="R119" s="40">
        <f t="shared" si="7"/>
        <v>0</v>
      </c>
      <c r="S119" s="41"/>
      <c r="T119" s="41"/>
      <c r="U119" s="41"/>
      <c r="V119" s="41"/>
      <c r="W119" s="41"/>
      <c r="X119" s="41"/>
      <c r="Y119" s="33">
        <f t="shared" si="5"/>
        <v>0</v>
      </c>
    </row>
    <row r="120" spans="4:25" x14ac:dyDescent="0.25">
      <c r="D120" s="69"/>
      <c r="E120" s="34"/>
      <c r="F120" s="34"/>
      <c r="H120" s="35"/>
      <c r="I120" s="36"/>
      <c r="J120" s="37"/>
      <c r="K120" s="38"/>
      <c r="L120" s="29"/>
      <c r="M120" s="29"/>
      <c r="N120" s="29"/>
      <c r="O120" s="39"/>
      <c r="P120" s="40">
        <f t="shared" si="4"/>
        <v>0</v>
      </c>
      <c r="Q120" s="40">
        <f t="shared" si="6"/>
        <v>0</v>
      </c>
      <c r="R120" s="40">
        <f t="shared" si="7"/>
        <v>0</v>
      </c>
      <c r="S120" s="41"/>
      <c r="T120" s="41"/>
      <c r="U120" s="41"/>
      <c r="V120" s="41"/>
      <c r="W120" s="41"/>
      <c r="X120" s="41"/>
      <c r="Y120" s="33">
        <f t="shared" si="5"/>
        <v>0</v>
      </c>
    </row>
    <row r="121" spans="4:25" x14ac:dyDescent="0.25">
      <c r="D121" s="69"/>
      <c r="E121" s="34"/>
      <c r="F121" s="34"/>
      <c r="H121" s="35"/>
      <c r="I121" s="36"/>
      <c r="J121" s="37"/>
      <c r="K121" s="38"/>
      <c r="L121" s="29"/>
      <c r="M121" s="29"/>
      <c r="N121" s="29"/>
      <c r="O121" s="39"/>
      <c r="P121" s="40">
        <f t="shared" si="4"/>
        <v>0</v>
      </c>
      <c r="Q121" s="40">
        <f t="shared" si="6"/>
        <v>0</v>
      </c>
      <c r="R121" s="40">
        <f t="shared" si="7"/>
        <v>0</v>
      </c>
      <c r="S121" s="41"/>
      <c r="T121" s="41"/>
      <c r="U121" s="41"/>
      <c r="V121" s="41"/>
      <c r="W121" s="41"/>
      <c r="X121" s="41"/>
      <c r="Y121" s="33">
        <f t="shared" si="5"/>
        <v>0</v>
      </c>
    </row>
    <row r="122" spans="4:25" x14ac:dyDescent="0.25">
      <c r="D122" s="69"/>
      <c r="E122" s="34"/>
      <c r="F122" s="34"/>
      <c r="H122" s="35"/>
      <c r="I122" s="36"/>
      <c r="J122" s="37"/>
      <c r="K122" s="38"/>
      <c r="L122" s="29"/>
      <c r="M122" s="29"/>
      <c r="N122" s="29"/>
      <c r="O122" s="39"/>
      <c r="P122" s="40">
        <f t="shared" si="4"/>
        <v>0</v>
      </c>
      <c r="Q122" s="40">
        <f t="shared" si="6"/>
        <v>0</v>
      </c>
      <c r="R122" s="40">
        <f t="shared" si="7"/>
        <v>0</v>
      </c>
      <c r="S122" s="41"/>
      <c r="T122" s="41"/>
      <c r="U122" s="41"/>
      <c r="V122" s="41"/>
      <c r="W122" s="41"/>
      <c r="X122" s="41"/>
      <c r="Y122" s="33">
        <f t="shared" si="5"/>
        <v>0</v>
      </c>
    </row>
    <row r="123" spans="4:25" x14ac:dyDescent="0.25">
      <c r="D123" s="69"/>
      <c r="E123" s="34"/>
      <c r="F123" s="34"/>
      <c r="H123" s="35"/>
      <c r="I123" s="36"/>
      <c r="J123" s="37"/>
      <c r="K123" s="38"/>
      <c r="L123" s="29"/>
      <c r="M123" s="29"/>
      <c r="N123" s="29"/>
      <c r="O123" s="39"/>
      <c r="P123" s="40">
        <f t="shared" si="4"/>
        <v>0</v>
      </c>
      <c r="Q123" s="40">
        <f t="shared" si="6"/>
        <v>0</v>
      </c>
      <c r="R123" s="40">
        <f t="shared" si="7"/>
        <v>0</v>
      </c>
      <c r="S123" s="41"/>
      <c r="T123" s="41"/>
      <c r="U123" s="41"/>
      <c r="V123" s="41"/>
      <c r="W123" s="41"/>
      <c r="X123" s="41"/>
      <c r="Y123" s="33">
        <f t="shared" si="5"/>
        <v>0</v>
      </c>
    </row>
    <row r="124" spans="4:25" x14ac:dyDescent="0.25">
      <c r="D124" s="69"/>
      <c r="E124" s="34"/>
      <c r="F124" s="34"/>
      <c r="H124" s="35"/>
      <c r="I124" s="36"/>
      <c r="J124" s="37"/>
      <c r="K124" s="38"/>
      <c r="L124" s="29"/>
      <c r="M124" s="29"/>
      <c r="N124" s="29"/>
      <c r="O124" s="39"/>
      <c r="P124" s="40">
        <f t="shared" si="4"/>
        <v>0</v>
      </c>
      <c r="Q124" s="40">
        <f t="shared" si="6"/>
        <v>0</v>
      </c>
      <c r="R124" s="40">
        <f t="shared" si="7"/>
        <v>0</v>
      </c>
      <c r="S124" s="41"/>
      <c r="T124" s="41"/>
      <c r="U124" s="41"/>
      <c r="V124" s="41"/>
      <c r="W124" s="41"/>
      <c r="X124" s="41"/>
      <c r="Y124" s="33">
        <f t="shared" si="5"/>
        <v>0</v>
      </c>
    </row>
    <row r="125" spans="4:25" x14ac:dyDescent="0.25">
      <c r="D125" s="69"/>
      <c r="E125" s="34"/>
      <c r="F125" s="34"/>
      <c r="H125" s="35"/>
      <c r="I125" s="36"/>
      <c r="J125" s="37"/>
      <c r="K125" s="38"/>
      <c r="L125" s="29"/>
      <c r="M125" s="29"/>
      <c r="N125" s="29"/>
      <c r="O125" s="39"/>
      <c r="P125" s="40">
        <f t="shared" si="4"/>
        <v>0</v>
      </c>
      <c r="Q125" s="40">
        <f t="shared" si="6"/>
        <v>0</v>
      </c>
      <c r="R125" s="40">
        <f t="shared" si="7"/>
        <v>0</v>
      </c>
      <c r="S125" s="41"/>
      <c r="T125" s="41"/>
      <c r="U125" s="41"/>
      <c r="V125" s="41"/>
      <c r="W125" s="41"/>
      <c r="X125" s="41"/>
      <c r="Y125" s="33">
        <f t="shared" si="5"/>
        <v>0</v>
      </c>
    </row>
    <row r="126" spans="4:25" x14ac:dyDescent="0.25">
      <c r="D126" s="69"/>
      <c r="E126" s="34"/>
      <c r="F126" s="34"/>
      <c r="H126" s="35"/>
      <c r="I126" s="36"/>
      <c r="J126" s="37"/>
      <c r="K126" s="38"/>
      <c r="L126" s="29"/>
      <c r="M126" s="29"/>
      <c r="N126" s="29"/>
      <c r="O126" s="39"/>
      <c r="P126" s="40">
        <f t="shared" si="4"/>
        <v>0</v>
      </c>
      <c r="Q126" s="40">
        <f t="shared" si="6"/>
        <v>0</v>
      </c>
      <c r="R126" s="40">
        <f t="shared" si="7"/>
        <v>0</v>
      </c>
      <c r="S126" s="41"/>
      <c r="T126" s="41"/>
      <c r="U126" s="41"/>
      <c r="V126" s="41"/>
      <c r="W126" s="41"/>
      <c r="X126" s="41"/>
      <c r="Y126" s="33">
        <f t="shared" si="5"/>
        <v>0</v>
      </c>
    </row>
    <row r="127" spans="4:25" x14ac:dyDescent="0.25">
      <c r="D127" s="69"/>
      <c r="E127" s="34"/>
      <c r="F127" s="34"/>
      <c r="H127" s="35"/>
      <c r="I127" s="36"/>
      <c r="J127" s="37"/>
      <c r="K127" s="38"/>
      <c r="L127" s="29"/>
      <c r="M127" s="29"/>
      <c r="N127" s="29"/>
      <c r="O127" s="39"/>
      <c r="P127" s="40">
        <f t="shared" si="4"/>
        <v>0</v>
      </c>
      <c r="Q127" s="40">
        <f t="shared" si="6"/>
        <v>0</v>
      </c>
      <c r="R127" s="40">
        <f t="shared" si="7"/>
        <v>0</v>
      </c>
      <c r="S127" s="41"/>
      <c r="T127" s="41"/>
      <c r="U127" s="41"/>
      <c r="V127" s="41"/>
      <c r="W127" s="41"/>
      <c r="X127" s="41"/>
      <c r="Y127" s="33">
        <f t="shared" si="5"/>
        <v>0</v>
      </c>
    </row>
    <row r="128" spans="4:25" x14ac:dyDescent="0.25">
      <c r="D128" s="69"/>
      <c r="E128" s="34"/>
      <c r="F128" s="34"/>
      <c r="H128" s="35"/>
      <c r="I128" s="36"/>
      <c r="J128" s="37"/>
      <c r="K128" s="38"/>
      <c r="L128" s="29"/>
      <c r="M128" s="29"/>
      <c r="N128" s="29"/>
      <c r="O128" s="39"/>
      <c r="P128" s="40">
        <f t="shared" si="4"/>
        <v>0</v>
      </c>
      <c r="Q128" s="40">
        <f t="shared" si="6"/>
        <v>0</v>
      </c>
      <c r="R128" s="40">
        <f t="shared" si="7"/>
        <v>0</v>
      </c>
      <c r="S128" s="41"/>
      <c r="T128" s="41"/>
      <c r="U128" s="41"/>
      <c r="V128" s="41"/>
      <c r="W128" s="41"/>
      <c r="X128" s="41"/>
      <c r="Y128" s="33">
        <f t="shared" si="5"/>
        <v>0</v>
      </c>
    </row>
    <row r="129" spans="4:25" x14ac:dyDescent="0.25">
      <c r="D129" s="69"/>
      <c r="E129" s="34"/>
      <c r="F129" s="34"/>
      <c r="H129" s="35"/>
      <c r="I129" s="36"/>
      <c r="J129" s="37"/>
      <c r="K129" s="38"/>
      <c r="L129" s="29"/>
      <c r="M129" s="29"/>
      <c r="N129" s="29"/>
      <c r="O129" s="39"/>
      <c r="P129" s="40">
        <f t="shared" si="4"/>
        <v>0</v>
      </c>
      <c r="Q129" s="40">
        <f t="shared" si="6"/>
        <v>0</v>
      </c>
      <c r="R129" s="40">
        <f t="shared" si="7"/>
        <v>0</v>
      </c>
      <c r="S129" s="41"/>
      <c r="T129" s="41"/>
      <c r="U129" s="41"/>
      <c r="V129" s="41"/>
      <c r="W129" s="41"/>
      <c r="X129" s="41"/>
      <c r="Y129" s="33">
        <f t="shared" si="5"/>
        <v>0</v>
      </c>
    </row>
    <row r="130" spans="4:25" x14ac:dyDescent="0.25">
      <c r="D130" s="69"/>
      <c r="E130" s="34"/>
      <c r="F130" s="34"/>
      <c r="H130" s="35"/>
      <c r="I130" s="36"/>
      <c r="J130" s="37"/>
      <c r="K130" s="38"/>
      <c r="L130" s="29"/>
      <c r="M130" s="29"/>
      <c r="N130" s="29"/>
      <c r="O130" s="39"/>
      <c r="P130" s="40">
        <f t="shared" si="4"/>
        <v>0</v>
      </c>
      <c r="Q130" s="40">
        <f t="shared" si="6"/>
        <v>0</v>
      </c>
      <c r="R130" s="40">
        <f t="shared" si="7"/>
        <v>0</v>
      </c>
      <c r="S130" s="41"/>
      <c r="T130" s="41"/>
      <c r="U130" s="41"/>
      <c r="V130" s="41"/>
      <c r="W130" s="41"/>
      <c r="X130" s="41"/>
      <c r="Y130" s="33">
        <f t="shared" si="5"/>
        <v>0</v>
      </c>
    </row>
    <row r="131" spans="4:25" x14ac:dyDescent="0.25">
      <c r="D131" s="69"/>
      <c r="E131" s="34"/>
      <c r="F131" s="34"/>
      <c r="H131" s="35"/>
      <c r="I131" s="36"/>
      <c r="J131" s="37"/>
      <c r="K131" s="38"/>
      <c r="L131" s="29"/>
      <c r="M131" s="29"/>
      <c r="N131" s="29"/>
      <c r="O131" s="39"/>
      <c r="P131" s="40">
        <f t="shared" ref="P131:P194" si="8">$L131*$O131</f>
        <v>0</v>
      </c>
      <c r="Q131" s="40">
        <f t="shared" si="6"/>
        <v>0</v>
      </c>
      <c r="R131" s="40">
        <f t="shared" si="7"/>
        <v>0</v>
      </c>
      <c r="S131" s="41"/>
      <c r="T131" s="41"/>
      <c r="U131" s="41"/>
      <c r="V131" s="41"/>
      <c r="W131" s="41"/>
      <c r="X131" s="41"/>
      <c r="Y131" s="33">
        <f t="shared" ref="Y131:Y194" si="9">SUM(R131:X131)</f>
        <v>0</v>
      </c>
    </row>
    <row r="132" spans="4:25" x14ac:dyDescent="0.25">
      <c r="D132" s="69"/>
      <c r="E132" s="34"/>
      <c r="F132" s="34"/>
      <c r="H132" s="35"/>
      <c r="I132" s="36"/>
      <c r="J132" s="37"/>
      <c r="K132" s="38"/>
      <c r="L132" s="29"/>
      <c r="M132" s="29"/>
      <c r="N132" s="29"/>
      <c r="O132" s="39"/>
      <c r="P132" s="40">
        <f t="shared" si="8"/>
        <v>0</v>
      </c>
      <c r="Q132" s="40">
        <f t="shared" ref="Q132:Q195" si="10">IF(E132="NE",(M132*O132*1.5),(M132*O132))</f>
        <v>0</v>
      </c>
      <c r="R132" s="40">
        <f t="shared" ref="R132:R195" si="11">P132+Q132</f>
        <v>0</v>
      </c>
      <c r="S132" s="41"/>
      <c r="T132" s="41"/>
      <c r="U132" s="41"/>
      <c r="V132" s="41"/>
      <c r="W132" s="41"/>
      <c r="X132" s="41"/>
      <c r="Y132" s="33">
        <f t="shared" si="9"/>
        <v>0</v>
      </c>
    </row>
    <row r="133" spans="4:25" x14ac:dyDescent="0.25">
      <c r="D133" s="69"/>
      <c r="E133" s="34"/>
      <c r="F133" s="34"/>
      <c r="H133" s="35"/>
      <c r="I133" s="36"/>
      <c r="J133" s="37"/>
      <c r="K133" s="38"/>
      <c r="L133" s="29"/>
      <c r="M133" s="29"/>
      <c r="N133" s="29"/>
      <c r="O133" s="39"/>
      <c r="P133" s="40">
        <f t="shared" si="8"/>
        <v>0</v>
      </c>
      <c r="Q133" s="40">
        <f t="shared" si="10"/>
        <v>0</v>
      </c>
      <c r="R133" s="40">
        <f t="shared" si="11"/>
        <v>0</v>
      </c>
      <c r="S133" s="41"/>
      <c r="T133" s="41"/>
      <c r="U133" s="41"/>
      <c r="V133" s="41"/>
      <c r="W133" s="41"/>
      <c r="X133" s="41"/>
      <c r="Y133" s="33">
        <f t="shared" si="9"/>
        <v>0</v>
      </c>
    </row>
    <row r="134" spans="4:25" x14ac:dyDescent="0.25">
      <c r="D134" s="69"/>
      <c r="E134" s="34"/>
      <c r="F134" s="34"/>
      <c r="H134" s="35"/>
      <c r="I134" s="36"/>
      <c r="J134" s="37"/>
      <c r="K134" s="38"/>
      <c r="L134" s="29"/>
      <c r="M134" s="29"/>
      <c r="N134" s="29"/>
      <c r="O134" s="39"/>
      <c r="P134" s="40">
        <f t="shared" si="8"/>
        <v>0</v>
      </c>
      <c r="Q134" s="40">
        <f t="shared" si="10"/>
        <v>0</v>
      </c>
      <c r="R134" s="40">
        <f t="shared" si="11"/>
        <v>0</v>
      </c>
      <c r="S134" s="41"/>
      <c r="T134" s="41"/>
      <c r="U134" s="41"/>
      <c r="V134" s="41"/>
      <c r="W134" s="41"/>
      <c r="X134" s="41"/>
      <c r="Y134" s="33">
        <f t="shared" si="9"/>
        <v>0</v>
      </c>
    </row>
    <row r="135" spans="4:25" x14ac:dyDescent="0.25">
      <c r="D135" s="69"/>
      <c r="E135" s="34"/>
      <c r="F135" s="34"/>
      <c r="H135" s="35"/>
      <c r="I135" s="36"/>
      <c r="J135" s="37"/>
      <c r="K135" s="38"/>
      <c r="L135" s="29"/>
      <c r="M135" s="29"/>
      <c r="N135" s="29"/>
      <c r="O135" s="39"/>
      <c r="P135" s="40">
        <f t="shared" si="8"/>
        <v>0</v>
      </c>
      <c r="Q135" s="40">
        <f t="shared" si="10"/>
        <v>0</v>
      </c>
      <c r="R135" s="40">
        <f t="shared" si="11"/>
        <v>0</v>
      </c>
      <c r="S135" s="41"/>
      <c r="T135" s="41"/>
      <c r="U135" s="41"/>
      <c r="V135" s="41"/>
      <c r="W135" s="41"/>
      <c r="X135" s="41"/>
      <c r="Y135" s="33">
        <f t="shared" si="9"/>
        <v>0</v>
      </c>
    </row>
    <row r="136" spans="4:25" x14ac:dyDescent="0.25">
      <c r="D136" s="69"/>
      <c r="E136" s="34"/>
      <c r="F136" s="34"/>
      <c r="H136" s="35"/>
      <c r="I136" s="36"/>
      <c r="J136" s="37"/>
      <c r="K136" s="38"/>
      <c r="L136" s="29"/>
      <c r="M136" s="29"/>
      <c r="N136" s="29"/>
      <c r="O136" s="39"/>
      <c r="P136" s="40">
        <f t="shared" si="8"/>
        <v>0</v>
      </c>
      <c r="Q136" s="40">
        <f t="shared" si="10"/>
        <v>0</v>
      </c>
      <c r="R136" s="40">
        <f t="shared" si="11"/>
        <v>0</v>
      </c>
      <c r="S136" s="41"/>
      <c r="T136" s="41"/>
      <c r="U136" s="41"/>
      <c r="V136" s="41"/>
      <c r="W136" s="41"/>
      <c r="X136" s="41"/>
      <c r="Y136" s="33">
        <f t="shared" si="9"/>
        <v>0</v>
      </c>
    </row>
    <row r="137" spans="4:25" x14ac:dyDescent="0.25">
      <c r="D137" s="69"/>
      <c r="E137" s="34"/>
      <c r="F137" s="34"/>
      <c r="H137" s="35"/>
      <c r="I137" s="36"/>
      <c r="J137" s="37"/>
      <c r="K137" s="38"/>
      <c r="L137" s="29"/>
      <c r="M137" s="29"/>
      <c r="N137" s="29"/>
      <c r="O137" s="39"/>
      <c r="P137" s="40">
        <f t="shared" si="8"/>
        <v>0</v>
      </c>
      <c r="Q137" s="40">
        <f t="shared" si="10"/>
        <v>0</v>
      </c>
      <c r="R137" s="40">
        <f t="shared" si="11"/>
        <v>0</v>
      </c>
      <c r="S137" s="41"/>
      <c r="T137" s="41"/>
      <c r="U137" s="41"/>
      <c r="V137" s="41"/>
      <c r="W137" s="41"/>
      <c r="X137" s="41"/>
      <c r="Y137" s="33">
        <f t="shared" si="9"/>
        <v>0</v>
      </c>
    </row>
    <row r="138" spans="4:25" x14ac:dyDescent="0.25">
      <c r="D138" s="69"/>
      <c r="E138" s="34"/>
      <c r="F138" s="34"/>
      <c r="H138" s="35"/>
      <c r="I138" s="36"/>
      <c r="J138" s="37"/>
      <c r="K138" s="38"/>
      <c r="L138" s="29"/>
      <c r="M138" s="29"/>
      <c r="N138" s="29"/>
      <c r="O138" s="39"/>
      <c r="P138" s="40">
        <f t="shared" si="8"/>
        <v>0</v>
      </c>
      <c r="Q138" s="40">
        <f t="shared" si="10"/>
        <v>0</v>
      </c>
      <c r="R138" s="40">
        <f t="shared" si="11"/>
        <v>0</v>
      </c>
      <c r="S138" s="41"/>
      <c r="T138" s="41"/>
      <c r="U138" s="41"/>
      <c r="V138" s="41"/>
      <c r="W138" s="41"/>
      <c r="X138" s="41"/>
      <c r="Y138" s="33">
        <f t="shared" si="9"/>
        <v>0</v>
      </c>
    </row>
    <row r="139" spans="4:25" x14ac:dyDescent="0.25">
      <c r="D139" s="69"/>
      <c r="E139" s="34"/>
      <c r="F139" s="34"/>
      <c r="H139" s="35"/>
      <c r="I139" s="36"/>
      <c r="J139" s="37"/>
      <c r="K139" s="38"/>
      <c r="L139" s="29"/>
      <c r="M139" s="29"/>
      <c r="N139" s="29"/>
      <c r="O139" s="39"/>
      <c r="P139" s="40">
        <f t="shared" si="8"/>
        <v>0</v>
      </c>
      <c r="Q139" s="40">
        <f t="shared" si="10"/>
        <v>0</v>
      </c>
      <c r="R139" s="40">
        <f t="shared" si="11"/>
        <v>0</v>
      </c>
      <c r="S139" s="41"/>
      <c r="T139" s="41"/>
      <c r="U139" s="41"/>
      <c r="V139" s="41"/>
      <c r="W139" s="41"/>
      <c r="X139" s="41"/>
      <c r="Y139" s="33">
        <f t="shared" si="9"/>
        <v>0</v>
      </c>
    </row>
    <row r="140" spans="4:25" x14ac:dyDescent="0.25">
      <c r="D140" s="69"/>
      <c r="E140" s="34"/>
      <c r="F140" s="34"/>
      <c r="H140" s="35"/>
      <c r="I140" s="36"/>
      <c r="J140" s="37"/>
      <c r="K140" s="38"/>
      <c r="L140" s="29"/>
      <c r="M140" s="29"/>
      <c r="N140" s="29"/>
      <c r="O140" s="39"/>
      <c r="P140" s="40">
        <f t="shared" si="8"/>
        <v>0</v>
      </c>
      <c r="Q140" s="40">
        <f t="shared" si="10"/>
        <v>0</v>
      </c>
      <c r="R140" s="40">
        <f t="shared" si="11"/>
        <v>0</v>
      </c>
      <c r="S140" s="41"/>
      <c r="T140" s="41"/>
      <c r="U140" s="41"/>
      <c r="V140" s="41"/>
      <c r="W140" s="41"/>
      <c r="X140" s="41"/>
      <c r="Y140" s="33">
        <f t="shared" si="9"/>
        <v>0</v>
      </c>
    </row>
    <row r="141" spans="4:25" x14ac:dyDescent="0.25">
      <c r="D141" s="69"/>
      <c r="E141" s="34"/>
      <c r="F141" s="34"/>
      <c r="H141" s="35"/>
      <c r="I141" s="36"/>
      <c r="J141" s="37"/>
      <c r="K141" s="38"/>
      <c r="L141" s="29"/>
      <c r="M141" s="29"/>
      <c r="N141" s="29"/>
      <c r="O141" s="39"/>
      <c r="P141" s="40">
        <f t="shared" si="8"/>
        <v>0</v>
      </c>
      <c r="Q141" s="40">
        <f t="shared" si="10"/>
        <v>0</v>
      </c>
      <c r="R141" s="40">
        <f t="shared" si="11"/>
        <v>0</v>
      </c>
      <c r="S141" s="41"/>
      <c r="T141" s="41"/>
      <c r="U141" s="41"/>
      <c r="V141" s="41"/>
      <c r="W141" s="41"/>
      <c r="X141" s="41"/>
      <c r="Y141" s="33">
        <f t="shared" si="9"/>
        <v>0</v>
      </c>
    </row>
    <row r="142" spans="4:25" x14ac:dyDescent="0.25">
      <c r="D142" s="69"/>
      <c r="E142" s="34"/>
      <c r="F142" s="34"/>
      <c r="G142" s="38"/>
      <c r="H142" s="35"/>
      <c r="I142" s="36"/>
      <c r="J142" s="37"/>
      <c r="K142" s="38"/>
      <c r="L142" s="29"/>
      <c r="M142" s="29"/>
      <c r="N142" s="29"/>
      <c r="O142" s="39"/>
      <c r="P142" s="40">
        <f t="shared" si="8"/>
        <v>0</v>
      </c>
      <c r="Q142" s="40">
        <f t="shared" si="10"/>
        <v>0</v>
      </c>
      <c r="R142" s="40">
        <f t="shared" si="11"/>
        <v>0</v>
      </c>
      <c r="S142" s="41"/>
      <c r="T142" s="41"/>
      <c r="U142" s="41"/>
      <c r="V142" s="41"/>
      <c r="W142" s="41"/>
      <c r="X142" s="41"/>
      <c r="Y142" s="33">
        <f t="shared" si="9"/>
        <v>0</v>
      </c>
    </row>
    <row r="143" spans="4:25" x14ac:dyDescent="0.25">
      <c r="D143" s="69"/>
      <c r="E143" s="34"/>
      <c r="F143" s="34"/>
      <c r="G143" s="38"/>
      <c r="H143" s="35"/>
      <c r="I143" s="36"/>
      <c r="J143" s="37"/>
      <c r="K143" s="38"/>
      <c r="L143" s="29"/>
      <c r="M143" s="29"/>
      <c r="N143" s="29"/>
      <c r="O143" s="39"/>
      <c r="P143" s="40">
        <f t="shared" si="8"/>
        <v>0</v>
      </c>
      <c r="Q143" s="40">
        <f t="shared" si="10"/>
        <v>0</v>
      </c>
      <c r="R143" s="40">
        <f t="shared" si="11"/>
        <v>0</v>
      </c>
      <c r="S143" s="41"/>
      <c r="T143" s="41"/>
      <c r="U143" s="41"/>
      <c r="V143" s="41"/>
      <c r="W143" s="41"/>
      <c r="X143" s="41"/>
      <c r="Y143" s="33">
        <f t="shared" si="9"/>
        <v>0</v>
      </c>
    </row>
    <row r="144" spans="4:25" x14ac:dyDescent="0.25">
      <c r="D144" s="69"/>
      <c r="E144" s="34"/>
      <c r="F144" s="34"/>
      <c r="H144" s="35"/>
      <c r="I144" s="36"/>
      <c r="J144" s="37"/>
      <c r="K144" s="38"/>
      <c r="L144" s="29"/>
      <c r="M144" s="29"/>
      <c r="N144" s="29"/>
      <c r="O144" s="39"/>
      <c r="P144" s="40">
        <f t="shared" si="8"/>
        <v>0</v>
      </c>
      <c r="Q144" s="40">
        <f t="shared" si="10"/>
        <v>0</v>
      </c>
      <c r="R144" s="40">
        <f t="shared" si="11"/>
        <v>0</v>
      </c>
      <c r="S144" s="41"/>
      <c r="T144" s="41"/>
      <c r="U144" s="41"/>
      <c r="V144" s="41"/>
      <c r="W144" s="41"/>
      <c r="X144" s="41"/>
      <c r="Y144" s="33">
        <f t="shared" si="9"/>
        <v>0</v>
      </c>
    </row>
    <row r="145" spans="4:25" x14ac:dyDescent="0.25">
      <c r="D145" s="69"/>
      <c r="E145" s="34"/>
      <c r="F145" s="34"/>
      <c r="H145" s="35"/>
      <c r="I145" s="36"/>
      <c r="J145" s="37"/>
      <c r="K145" s="38"/>
      <c r="L145" s="29"/>
      <c r="M145" s="29"/>
      <c r="N145" s="29"/>
      <c r="O145" s="39"/>
      <c r="P145" s="40">
        <f t="shared" si="8"/>
        <v>0</v>
      </c>
      <c r="Q145" s="40">
        <f t="shared" si="10"/>
        <v>0</v>
      </c>
      <c r="R145" s="40">
        <f t="shared" si="11"/>
        <v>0</v>
      </c>
      <c r="S145" s="41"/>
      <c r="T145" s="41"/>
      <c r="U145" s="41"/>
      <c r="V145" s="41"/>
      <c r="W145" s="41"/>
      <c r="X145" s="41"/>
      <c r="Y145" s="33">
        <f t="shared" si="9"/>
        <v>0</v>
      </c>
    </row>
    <row r="146" spans="4:25" x14ac:dyDescent="0.25">
      <c r="D146" s="69"/>
      <c r="E146" s="34"/>
      <c r="F146" s="34"/>
      <c r="H146" s="35"/>
      <c r="I146" s="36"/>
      <c r="J146" s="37"/>
      <c r="K146" s="38"/>
      <c r="L146" s="29"/>
      <c r="M146" s="29"/>
      <c r="N146" s="29"/>
      <c r="O146" s="39"/>
      <c r="P146" s="40">
        <f t="shared" si="8"/>
        <v>0</v>
      </c>
      <c r="Q146" s="40">
        <f t="shared" si="10"/>
        <v>0</v>
      </c>
      <c r="R146" s="40">
        <f t="shared" si="11"/>
        <v>0</v>
      </c>
      <c r="S146" s="41"/>
      <c r="T146" s="41"/>
      <c r="U146" s="41"/>
      <c r="V146" s="41"/>
      <c r="W146" s="41"/>
      <c r="X146" s="41"/>
      <c r="Y146" s="33">
        <f t="shared" si="9"/>
        <v>0</v>
      </c>
    </row>
    <row r="147" spans="4:25" x14ac:dyDescent="0.25">
      <c r="D147" s="69"/>
      <c r="E147" s="34"/>
      <c r="F147" s="34"/>
      <c r="H147" s="35"/>
      <c r="I147" s="36"/>
      <c r="J147" s="37"/>
      <c r="K147" s="38"/>
      <c r="L147" s="29"/>
      <c r="M147" s="29"/>
      <c r="N147" s="29"/>
      <c r="O147" s="39"/>
      <c r="P147" s="40">
        <f t="shared" si="8"/>
        <v>0</v>
      </c>
      <c r="Q147" s="40">
        <f t="shared" si="10"/>
        <v>0</v>
      </c>
      <c r="R147" s="40">
        <f t="shared" si="11"/>
        <v>0</v>
      </c>
      <c r="S147" s="41"/>
      <c r="T147" s="41"/>
      <c r="U147" s="41"/>
      <c r="V147" s="41"/>
      <c r="W147" s="41"/>
      <c r="X147" s="41"/>
      <c r="Y147" s="33">
        <f t="shared" si="9"/>
        <v>0</v>
      </c>
    </row>
    <row r="148" spans="4:25" x14ac:dyDescent="0.25">
      <c r="D148" s="69"/>
      <c r="E148" s="34"/>
      <c r="F148" s="34"/>
      <c r="H148" s="35"/>
      <c r="I148" s="36"/>
      <c r="J148" s="37"/>
      <c r="K148" s="38"/>
      <c r="L148" s="29"/>
      <c r="M148" s="29"/>
      <c r="N148" s="29"/>
      <c r="O148" s="39"/>
      <c r="P148" s="40">
        <f t="shared" si="8"/>
        <v>0</v>
      </c>
      <c r="Q148" s="40">
        <f t="shared" si="10"/>
        <v>0</v>
      </c>
      <c r="R148" s="40">
        <f t="shared" si="11"/>
        <v>0</v>
      </c>
      <c r="S148" s="41"/>
      <c r="T148" s="41"/>
      <c r="U148" s="41"/>
      <c r="V148" s="41"/>
      <c r="W148" s="41"/>
      <c r="X148" s="41"/>
      <c r="Y148" s="33">
        <f t="shared" si="9"/>
        <v>0</v>
      </c>
    </row>
    <row r="149" spans="4:25" x14ac:dyDescent="0.25">
      <c r="D149" s="69"/>
      <c r="E149" s="34"/>
      <c r="F149" s="34"/>
      <c r="H149" s="35"/>
      <c r="I149" s="36"/>
      <c r="J149" s="37"/>
      <c r="K149" s="38"/>
      <c r="L149" s="29"/>
      <c r="M149" s="29"/>
      <c r="N149" s="29"/>
      <c r="O149" s="39"/>
      <c r="P149" s="40">
        <f t="shared" si="8"/>
        <v>0</v>
      </c>
      <c r="Q149" s="40">
        <f t="shared" si="10"/>
        <v>0</v>
      </c>
      <c r="R149" s="40">
        <f t="shared" si="11"/>
        <v>0</v>
      </c>
      <c r="S149" s="41"/>
      <c r="T149" s="41"/>
      <c r="U149" s="41"/>
      <c r="V149" s="41"/>
      <c r="W149" s="41"/>
      <c r="X149" s="41"/>
      <c r="Y149" s="33">
        <f t="shared" si="9"/>
        <v>0</v>
      </c>
    </row>
    <row r="150" spans="4:25" x14ac:dyDescent="0.25">
      <c r="D150" s="69"/>
      <c r="E150" s="34"/>
      <c r="F150" s="34"/>
      <c r="H150" s="35"/>
      <c r="I150" s="36"/>
      <c r="J150" s="37"/>
      <c r="K150" s="38"/>
      <c r="L150" s="29"/>
      <c r="M150" s="29"/>
      <c r="N150" s="29"/>
      <c r="O150" s="39"/>
      <c r="P150" s="40">
        <f t="shared" si="8"/>
        <v>0</v>
      </c>
      <c r="Q150" s="40">
        <f t="shared" si="10"/>
        <v>0</v>
      </c>
      <c r="R150" s="40">
        <f t="shared" si="11"/>
        <v>0</v>
      </c>
      <c r="S150" s="41"/>
      <c r="T150" s="41"/>
      <c r="U150" s="41"/>
      <c r="V150" s="41"/>
      <c r="W150" s="41"/>
      <c r="X150" s="41"/>
      <c r="Y150" s="33">
        <f t="shared" si="9"/>
        <v>0</v>
      </c>
    </row>
    <row r="151" spans="4:25" x14ac:dyDescent="0.25">
      <c r="D151" s="69"/>
      <c r="E151" s="34"/>
      <c r="F151" s="34"/>
      <c r="H151" s="35"/>
      <c r="I151" s="36"/>
      <c r="J151" s="37"/>
      <c r="K151" s="38"/>
      <c r="L151" s="29"/>
      <c r="M151" s="29"/>
      <c r="N151" s="29"/>
      <c r="O151" s="39"/>
      <c r="P151" s="40">
        <f t="shared" si="8"/>
        <v>0</v>
      </c>
      <c r="Q151" s="40">
        <f t="shared" si="10"/>
        <v>0</v>
      </c>
      <c r="R151" s="40">
        <f t="shared" si="11"/>
        <v>0</v>
      </c>
      <c r="S151" s="41"/>
      <c r="T151" s="41"/>
      <c r="U151" s="41"/>
      <c r="V151" s="41"/>
      <c r="W151" s="41"/>
      <c r="X151" s="41"/>
      <c r="Y151" s="33">
        <f t="shared" si="9"/>
        <v>0</v>
      </c>
    </row>
    <row r="152" spans="4:25" x14ac:dyDescent="0.25">
      <c r="D152" s="69"/>
      <c r="E152" s="34"/>
      <c r="F152" s="34"/>
      <c r="H152" s="35"/>
      <c r="I152" s="36"/>
      <c r="J152" s="37"/>
      <c r="K152" s="38"/>
      <c r="L152" s="29"/>
      <c r="M152" s="29"/>
      <c r="N152" s="29"/>
      <c r="O152" s="39"/>
      <c r="P152" s="40">
        <f t="shared" si="8"/>
        <v>0</v>
      </c>
      <c r="Q152" s="40">
        <f t="shared" si="10"/>
        <v>0</v>
      </c>
      <c r="R152" s="40">
        <f t="shared" si="11"/>
        <v>0</v>
      </c>
      <c r="S152" s="41"/>
      <c r="T152" s="41"/>
      <c r="U152" s="41"/>
      <c r="V152" s="41"/>
      <c r="W152" s="41"/>
      <c r="X152" s="41"/>
      <c r="Y152" s="33">
        <f t="shared" si="9"/>
        <v>0</v>
      </c>
    </row>
    <row r="153" spans="4:25" x14ac:dyDescent="0.25">
      <c r="D153" s="69"/>
      <c r="E153" s="34"/>
      <c r="F153" s="34"/>
      <c r="H153" s="35"/>
      <c r="I153" s="36"/>
      <c r="J153" s="37"/>
      <c r="K153" s="38"/>
      <c r="L153" s="29"/>
      <c r="M153" s="29"/>
      <c r="N153" s="29"/>
      <c r="O153" s="39"/>
      <c r="P153" s="40">
        <f t="shared" si="8"/>
        <v>0</v>
      </c>
      <c r="Q153" s="40">
        <f t="shared" si="10"/>
        <v>0</v>
      </c>
      <c r="R153" s="40">
        <f t="shared" si="11"/>
        <v>0</v>
      </c>
      <c r="S153" s="41"/>
      <c r="T153" s="41"/>
      <c r="U153" s="41"/>
      <c r="V153" s="41"/>
      <c r="W153" s="41"/>
      <c r="X153" s="41"/>
      <c r="Y153" s="33">
        <f t="shared" si="9"/>
        <v>0</v>
      </c>
    </row>
    <row r="154" spans="4:25" x14ac:dyDescent="0.25">
      <c r="D154" s="69"/>
      <c r="E154" s="34"/>
      <c r="F154" s="34"/>
      <c r="H154" s="35"/>
      <c r="I154" s="36"/>
      <c r="J154" s="37"/>
      <c r="K154" s="38"/>
      <c r="L154" s="29"/>
      <c r="M154" s="29"/>
      <c r="N154" s="29"/>
      <c r="O154" s="39"/>
      <c r="P154" s="40">
        <f t="shared" si="8"/>
        <v>0</v>
      </c>
      <c r="Q154" s="40">
        <f t="shared" si="10"/>
        <v>0</v>
      </c>
      <c r="R154" s="40">
        <f t="shared" si="11"/>
        <v>0</v>
      </c>
      <c r="S154" s="41"/>
      <c r="T154" s="41"/>
      <c r="U154" s="41"/>
      <c r="V154" s="41"/>
      <c r="W154" s="41"/>
      <c r="X154" s="41"/>
      <c r="Y154" s="33">
        <f t="shared" si="9"/>
        <v>0</v>
      </c>
    </row>
    <row r="155" spans="4:25" x14ac:dyDescent="0.25">
      <c r="D155" s="69"/>
      <c r="E155" s="34"/>
      <c r="F155" s="34"/>
      <c r="H155" s="35"/>
      <c r="I155" s="36"/>
      <c r="J155" s="37"/>
      <c r="K155" s="38"/>
      <c r="L155" s="29"/>
      <c r="M155" s="29"/>
      <c r="N155" s="29"/>
      <c r="O155" s="39"/>
      <c r="P155" s="40">
        <f t="shared" si="8"/>
        <v>0</v>
      </c>
      <c r="Q155" s="40">
        <f t="shared" si="10"/>
        <v>0</v>
      </c>
      <c r="R155" s="40">
        <f t="shared" si="11"/>
        <v>0</v>
      </c>
      <c r="S155" s="41"/>
      <c r="T155" s="41"/>
      <c r="U155" s="41"/>
      <c r="V155" s="41"/>
      <c r="W155" s="41"/>
      <c r="X155" s="41"/>
      <c r="Y155" s="33">
        <f t="shared" si="9"/>
        <v>0</v>
      </c>
    </row>
    <row r="156" spans="4:25" x14ac:dyDescent="0.25">
      <c r="D156" s="69"/>
      <c r="E156" s="34"/>
      <c r="F156" s="34"/>
      <c r="H156" s="35"/>
      <c r="I156" s="36"/>
      <c r="J156" s="37"/>
      <c r="K156" s="38"/>
      <c r="L156" s="29"/>
      <c r="M156" s="29"/>
      <c r="N156" s="29"/>
      <c r="O156" s="39"/>
      <c r="P156" s="40">
        <f t="shared" si="8"/>
        <v>0</v>
      </c>
      <c r="Q156" s="40">
        <f t="shared" si="10"/>
        <v>0</v>
      </c>
      <c r="R156" s="40">
        <f t="shared" si="11"/>
        <v>0</v>
      </c>
      <c r="S156" s="41"/>
      <c r="T156" s="41"/>
      <c r="U156" s="41"/>
      <c r="V156" s="41"/>
      <c r="W156" s="41"/>
      <c r="X156" s="41"/>
      <c r="Y156" s="33">
        <f t="shared" si="9"/>
        <v>0</v>
      </c>
    </row>
    <row r="157" spans="4:25" x14ac:dyDescent="0.25">
      <c r="D157" s="69"/>
      <c r="E157" s="34"/>
      <c r="F157" s="34"/>
      <c r="H157" s="35"/>
      <c r="I157" s="36"/>
      <c r="J157" s="37"/>
      <c r="K157" s="38"/>
      <c r="L157" s="29"/>
      <c r="M157" s="29"/>
      <c r="N157" s="29"/>
      <c r="O157" s="39"/>
      <c r="P157" s="40">
        <f t="shared" si="8"/>
        <v>0</v>
      </c>
      <c r="Q157" s="40">
        <f t="shared" si="10"/>
        <v>0</v>
      </c>
      <c r="R157" s="40">
        <f t="shared" si="11"/>
        <v>0</v>
      </c>
      <c r="S157" s="41"/>
      <c r="T157" s="41"/>
      <c r="U157" s="41"/>
      <c r="V157" s="41"/>
      <c r="W157" s="41"/>
      <c r="X157" s="41"/>
      <c r="Y157" s="33">
        <f t="shared" si="9"/>
        <v>0</v>
      </c>
    </row>
    <row r="158" spans="4:25" x14ac:dyDescent="0.25">
      <c r="D158" s="69"/>
      <c r="E158" s="34"/>
      <c r="F158" s="34"/>
      <c r="H158" s="35"/>
      <c r="I158" s="36"/>
      <c r="J158" s="37"/>
      <c r="K158" s="38"/>
      <c r="L158" s="29"/>
      <c r="M158" s="29"/>
      <c r="N158" s="29"/>
      <c r="O158" s="39"/>
      <c r="P158" s="40">
        <f t="shared" si="8"/>
        <v>0</v>
      </c>
      <c r="Q158" s="40">
        <f t="shared" si="10"/>
        <v>0</v>
      </c>
      <c r="R158" s="40">
        <f t="shared" si="11"/>
        <v>0</v>
      </c>
      <c r="S158" s="41"/>
      <c r="T158" s="41"/>
      <c r="U158" s="41"/>
      <c r="V158" s="41"/>
      <c r="W158" s="41"/>
      <c r="X158" s="41"/>
      <c r="Y158" s="33">
        <f t="shared" si="9"/>
        <v>0</v>
      </c>
    </row>
    <row r="159" spans="4:25" x14ac:dyDescent="0.25">
      <c r="D159" s="69"/>
      <c r="E159" s="34"/>
      <c r="F159" s="34"/>
      <c r="H159" s="35"/>
      <c r="I159" s="36"/>
      <c r="J159" s="37"/>
      <c r="K159" s="38"/>
      <c r="L159" s="29"/>
      <c r="M159" s="29"/>
      <c r="N159" s="29"/>
      <c r="O159" s="39"/>
      <c r="P159" s="40">
        <f t="shared" si="8"/>
        <v>0</v>
      </c>
      <c r="Q159" s="40">
        <f t="shared" si="10"/>
        <v>0</v>
      </c>
      <c r="R159" s="40">
        <f t="shared" si="11"/>
        <v>0</v>
      </c>
      <c r="S159" s="41"/>
      <c r="T159" s="41"/>
      <c r="U159" s="41"/>
      <c r="V159" s="41"/>
      <c r="W159" s="41"/>
      <c r="X159" s="41"/>
      <c r="Y159" s="33">
        <f t="shared" si="9"/>
        <v>0</v>
      </c>
    </row>
    <row r="160" spans="4:25" x14ac:dyDescent="0.25">
      <c r="D160" s="69"/>
      <c r="E160" s="34"/>
      <c r="F160" s="34"/>
      <c r="H160" s="35"/>
      <c r="I160" s="36"/>
      <c r="J160" s="37"/>
      <c r="K160" s="38"/>
      <c r="L160" s="29"/>
      <c r="M160" s="29"/>
      <c r="N160" s="29"/>
      <c r="O160" s="39"/>
      <c r="P160" s="40">
        <f t="shared" si="8"/>
        <v>0</v>
      </c>
      <c r="Q160" s="40">
        <f t="shared" si="10"/>
        <v>0</v>
      </c>
      <c r="R160" s="40">
        <f t="shared" si="11"/>
        <v>0</v>
      </c>
      <c r="S160" s="41"/>
      <c r="T160" s="41"/>
      <c r="U160" s="41"/>
      <c r="V160" s="41"/>
      <c r="W160" s="41"/>
      <c r="X160" s="41"/>
      <c r="Y160" s="33">
        <f t="shared" si="9"/>
        <v>0</v>
      </c>
    </row>
    <row r="161" spans="4:25" x14ac:dyDescent="0.25">
      <c r="D161" s="69"/>
      <c r="E161" s="34"/>
      <c r="F161" s="34"/>
      <c r="H161" s="35"/>
      <c r="I161" s="36"/>
      <c r="J161" s="37"/>
      <c r="K161" s="38"/>
      <c r="L161" s="29"/>
      <c r="M161" s="29"/>
      <c r="N161" s="29"/>
      <c r="O161" s="39"/>
      <c r="P161" s="40">
        <f t="shared" si="8"/>
        <v>0</v>
      </c>
      <c r="Q161" s="40">
        <f t="shared" si="10"/>
        <v>0</v>
      </c>
      <c r="R161" s="40">
        <f t="shared" si="11"/>
        <v>0</v>
      </c>
      <c r="S161" s="41"/>
      <c r="T161" s="41"/>
      <c r="U161" s="41"/>
      <c r="V161" s="41"/>
      <c r="W161" s="41"/>
      <c r="X161" s="41"/>
      <c r="Y161" s="33">
        <f t="shared" si="9"/>
        <v>0</v>
      </c>
    </row>
    <row r="162" spans="4:25" x14ac:dyDescent="0.25">
      <c r="D162" s="69"/>
      <c r="E162" s="34"/>
      <c r="F162" s="34"/>
      <c r="H162" s="35"/>
      <c r="I162" s="36"/>
      <c r="J162" s="37"/>
      <c r="K162" s="38"/>
      <c r="L162" s="29"/>
      <c r="M162" s="29"/>
      <c r="N162" s="29"/>
      <c r="O162" s="39"/>
      <c r="P162" s="40">
        <f t="shared" si="8"/>
        <v>0</v>
      </c>
      <c r="Q162" s="40">
        <f t="shared" si="10"/>
        <v>0</v>
      </c>
      <c r="R162" s="40">
        <f t="shared" si="11"/>
        <v>0</v>
      </c>
      <c r="S162" s="41"/>
      <c r="T162" s="41"/>
      <c r="U162" s="41"/>
      <c r="V162" s="41"/>
      <c r="W162" s="41"/>
      <c r="X162" s="41"/>
      <c r="Y162" s="33">
        <f t="shared" si="9"/>
        <v>0</v>
      </c>
    </row>
    <row r="163" spans="4:25" x14ac:dyDescent="0.25">
      <c r="D163" s="69"/>
      <c r="E163" s="34"/>
      <c r="F163" s="34"/>
      <c r="H163" s="35"/>
      <c r="I163" s="36"/>
      <c r="J163" s="37"/>
      <c r="K163" s="38"/>
      <c r="L163" s="29"/>
      <c r="M163" s="29"/>
      <c r="N163" s="29"/>
      <c r="O163" s="39"/>
      <c r="P163" s="40">
        <f t="shared" si="8"/>
        <v>0</v>
      </c>
      <c r="Q163" s="40">
        <f t="shared" si="10"/>
        <v>0</v>
      </c>
      <c r="R163" s="40">
        <f t="shared" si="11"/>
        <v>0</v>
      </c>
      <c r="S163" s="41"/>
      <c r="T163" s="41"/>
      <c r="U163" s="41"/>
      <c r="V163" s="41"/>
      <c r="W163" s="41"/>
      <c r="X163" s="41"/>
      <c r="Y163" s="33">
        <f t="shared" si="9"/>
        <v>0</v>
      </c>
    </row>
    <row r="164" spans="4:25" x14ac:dyDescent="0.25">
      <c r="D164" s="69"/>
      <c r="E164" s="34"/>
      <c r="F164" s="34"/>
      <c r="H164" s="35"/>
      <c r="I164" s="36"/>
      <c r="J164" s="37"/>
      <c r="K164" s="38"/>
      <c r="L164" s="29"/>
      <c r="M164" s="29"/>
      <c r="N164" s="29"/>
      <c r="O164" s="39"/>
      <c r="P164" s="40">
        <f t="shared" si="8"/>
        <v>0</v>
      </c>
      <c r="Q164" s="40">
        <f t="shared" si="10"/>
        <v>0</v>
      </c>
      <c r="R164" s="40">
        <f t="shared" si="11"/>
        <v>0</v>
      </c>
      <c r="S164" s="41"/>
      <c r="T164" s="41"/>
      <c r="U164" s="41"/>
      <c r="V164" s="41"/>
      <c r="W164" s="41"/>
      <c r="X164" s="41"/>
      <c r="Y164" s="33">
        <f t="shared" si="9"/>
        <v>0</v>
      </c>
    </row>
    <row r="165" spans="4:25" x14ac:dyDescent="0.25">
      <c r="D165" s="69"/>
      <c r="E165" s="34"/>
      <c r="F165" s="34"/>
      <c r="H165" s="35"/>
      <c r="I165" s="36"/>
      <c r="J165" s="37"/>
      <c r="K165" s="38"/>
      <c r="L165" s="29"/>
      <c r="M165" s="29"/>
      <c r="N165" s="29"/>
      <c r="O165" s="39"/>
      <c r="P165" s="40">
        <f t="shared" si="8"/>
        <v>0</v>
      </c>
      <c r="Q165" s="40">
        <f t="shared" si="10"/>
        <v>0</v>
      </c>
      <c r="R165" s="40">
        <f t="shared" si="11"/>
        <v>0</v>
      </c>
      <c r="S165" s="41"/>
      <c r="T165" s="41"/>
      <c r="U165" s="41"/>
      <c r="V165" s="41"/>
      <c r="W165" s="41"/>
      <c r="X165" s="41"/>
      <c r="Y165" s="33">
        <f t="shared" si="9"/>
        <v>0</v>
      </c>
    </row>
    <row r="166" spans="4:25" x14ac:dyDescent="0.25">
      <c r="D166" s="69"/>
      <c r="E166" s="34"/>
      <c r="F166" s="34"/>
      <c r="H166" s="35"/>
      <c r="I166" s="36"/>
      <c r="J166" s="37"/>
      <c r="K166" s="38"/>
      <c r="L166" s="29"/>
      <c r="M166" s="29"/>
      <c r="N166" s="29"/>
      <c r="O166" s="39"/>
      <c r="P166" s="40">
        <f t="shared" si="8"/>
        <v>0</v>
      </c>
      <c r="Q166" s="40">
        <f t="shared" si="10"/>
        <v>0</v>
      </c>
      <c r="R166" s="40">
        <f t="shared" si="11"/>
        <v>0</v>
      </c>
      <c r="S166" s="41"/>
      <c r="T166" s="41"/>
      <c r="U166" s="41"/>
      <c r="V166" s="41"/>
      <c r="W166" s="41"/>
      <c r="X166" s="41"/>
      <c r="Y166" s="33">
        <f t="shared" si="9"/>
        <v>0</v>
      </c>
    </row>
    <row r="167" spans="4:25" x14ac:dyDescent="0.25">
      <c r="D167" s="69"/>
      <c r="E167" s="34"/>
      <c r="F167" s="34"/>
      <c r="H167" s="35"/>
      <c r="I167" s="36"/>
      <c r="J167" s="37"/>
      <c r="K167" s="38"/>
      <c r="L167" s="29"/>
      <c r="M167" s="29"/>
      <c r="N167" s="29"/>
      <c r="O167" s="39"/>
      <c r="P167" s="40">
        <f t="shared" si="8"/>
        <v>0</v>
      </c>
      <c r="Q167" s="40">
        <f t="shared" si="10"/>
        <v>0</v>
      </c>
      <c r="R167" s="40">
        <f t="shared" si="11"/>
        <v>0</v>
      </c>
      <c r="S167" s="41"/>
      <c r="T167" s="41"/>
      <c r="U167" s="41"/>
      <c r="V167" s="41"/>
      <c r="W167" s="41"/>
      <c r="X167" s="41"/>
      <c r="Y167" s="33">
        <f t="shared" si="9"/>
        <v>0</v>
      </c>
    </row>
    <row r="168" spans="4:25" x14ac:dyDescent="0.25">
      <c r="D168" s="69"/>
      <c r="E168" s="34"/>
      <c r="F168" s="34"/>
      <c r="H168" s="35"/>
      <c r="I168" s="36"/>
      <c r="J168" s="37"/>
      <c r="K168" s="38"/>
      <c r="L168" s="29"/>
      <c r="M168" s="29"/>
      <c r="N168" s="29"/>
      <c r="O168" s="39"/>
      <c r="P168" s="40">
        <f t="shared" si="8"/>
        <v>0</v>
      </c>
      <c r="Q168" s="40">
        <f t="shared" si="10"/>
        <v>0</v>
      </c>
      <c r="R168" s="40">
        <f t="shared" si="11"/>
        <v>0</v>
      </c>
      <c r="S168" s="41"/>
      <c r="T168" s="41"/>
      <c r="U168" s="41"/>
      <c r="V168" s="41"/>
      <c r="W168" s="41"/>
      <c r="X168" s="41"/>
      <c r="Y168" s="33">
        <f t="shared" si="9"/>
        <v>0</v>
      </c>
    </row>
    <row r="169" spans="4:25" x14ac:dyDescent="0.25">
      <c r="D169" s="69"/>
      <c r="E169" s="34"/>
      <c r="F169" s="34"/>
      <c r="H169" s="35"/>
      <c r="I169" s="36"/>
      <c r="J169" s="37"/>
      <c r="K169" s="38"/>
      <c r="L169" s="29"/>
      <c r="M169" s="29"/>
      <c r="N169" s="29"/>
      <c r="O169" s="39"/>
      <c r="P169" s="40">
        <f t="shared" si="8"/>
        <v>0</v>
      </c>
      <c r="Q169" s="40">
        <f t="shared" si="10"/>
        <v>0</v>
      </c>
      <c r="R169" s="40">
        <f t="shared" si="11"/>
        <v>0</v>
      </c>
      <c r="S169" s="41"/>
      <c r="T169" s="41"/>
      <c r="U169" s="41"/>
      <c r="V169" s="41"/>
      <c r="W169" s="41"/>
      <c r="X169" s="41"/>
      <c r="Y169" s="33">
        <f t="shared" si="9"/>
        <v>0</v>
      </c>
    </row>
    <row r="170" spans="4:25" x14ac:dyDescent="0.25">
      <c r="D170" s="69"/>
      <c r="E170" s="34"/>
      <c r="F170" s="34"/>
      <c r="H170" s="35"/>
      <c r="I170" s="36"/>
      <c r="J170" s="37"/>
      <c r="K170" s="38"/>
      <c r="L170" s="29"/>
      <c r="M170" s="29"/>
      <c r="N170" s="29"/>
      <c r="O170" s="39"/>
      <c r="P170" s="40">
        <f t="shared" si="8"/>
        <v>0</v>
      </c>
      <c r="Q170" s="40">
        <f t="shared" si="10"/>
        <v>0</v>
      </c>
      <c r="R170" s="40">
        <f t="shared" si="11"/>
        <v>0</v>
      </c>
      <c r="S170" s="41"/>
      <c r="T170" s="41"/>
      <c r="U170" s="41"/>
      <c r="V170" s="41"/>
      <c r="W170" s="41"/>
      <c r="X170" s="41"/>
      <c r="Y170" s="33">
        <f t="shared" si="9"/>
        <v>0</v>
      </c>
    </row>
    <row r="171" spans="4:25" x14ac:dyDescent="0.25">
      <c r="D171" s="69"/>
      <c r="E171" s="34"/>
      <c r="F171" s="34"/>
      <c r="H171" s="35"/>
      <c r="I171" s="36"/>
      <c r="J171" s="37"/>
      <c r="K171" s="38"/>
      <c r="L171" s="29"/>
      <c r="M171" s="29"/>
      <c r="N171" s="29"/>
      <c r="O171" s="39"/>
      <c r="P171" s="40">
        <f t="shared" si="8"/>
        <v>0</v>
      </c>
      <c r="Q171" s="40">
        <f t="shared" si="10"/>
        <v>0</v>
      </c>
      <c r="R171" s="40">
        <f t="shared" si="11"/>
        <v>0</v>
      </c>
      <c r="S171" s="41"/>
      <c r="T171" s="41"/>
      <c r="U171" s="41"/>
      <c r="V171" s="41"/>
      <c r="W171" s="41"/>
      <c r="X171" s="41"/>
      <c r="Y171" s="33">
        <f t="shared" si="9"/>
        <v>0</v>
      </c>
    </row>
    <row r="172" spans="4:25" x14ac:dyDescent="0.25">
      <c r="D172" s="69"/>
      <c r="E172" s="34"/>
      <c r="F172" s="34"/>
      <c r="H172" s="35"/>
      <c r="I172" s="36"/>
      <c r="J172" s="37"/>
      <c r="K172" s="38"/>
      <c r="L172" s="29"/>
      <c r="M172" s="29"/>
      <c r="N172" s="29"/>
      <c r="O172" s="39"/>
      <c r="P172" s="40">
        <f t="shared" si="8"/>
        <v>0</v>
      </c>
      <c r="Q172" s="40">
        <f t="shared" si="10"/>
        <v>0</v>
      </c>
      <c r="R172" s="40">
        <f t="shared" si="11"/>
        <v>0</v>
      </c>
      <c r="S172" s="41"/>
      <c r="T172" s="41"/>
      <c r="U172" s="41"/>
      <c r="V172" s="41"/>
      <c r="W172" s="41"/>
      <c r="X172" s="41"/>
      <c r="Y172" s="33">
        <f t="shared" si="9"/>
        <v>0</v>
      </c>
    </row>
    <row r="173" spans="4:25" x14ac:dyDescent="0.25">
      <c r="D173" s="69"/>
      <c r="E173" s="34"/>
      <c r="F173" s="34"/>
      <c r="H173" s="35"/>
      <c r="I173" s="36"/>
      <c r="J173" s="37"/>
      <c r="K173" s="38"/>
      <c r="L173" s="29"/>
      <c r="M173" s="29"/>
      <c r="N173" s="29"/>
      <c r="O173" s="39"/>
      <c r="P173" s="40">
        <f t="shared" si="8"/>
        <v>0</v>
      </c>
      <c r="Q173" s="40">
        <f t="shared" si="10"/>
        <v>0</v>
      </c>
      <c r="R173" s="40">
        <f t="shared" si="11"/>
        <v>0</v>
      </c>
      <c r="S173" s="41"/>
      <c r="T173" s="41"/>
      <c r="U173" s="41"/>
      <c r="V173" s="41"/>
      <c r="W173" s="41"/>
      <c r="X173" s="41"/>
      <c r="Y173" s="33">
        <f t="shared" si="9"/>
        <v>0</v>
      </c>
    </row>
    <row r="174" spans="4:25" x14ac:dyDescent="0.25">
      <c r="D174" s="69"/>
      <c r="E174" s="34"/>
      <c r="F174" s="34"/>
      <c r="H174" s="35"/>
      <c r="I174" s="36"/>
      <c r="J174" s="37"/>
      <c r="K174" s="38"/>
      <c r="L174" s="29"/>
      <c r="M174" s="29"/>
      <c r="N174" s="29"/>
      <c r="O174" s="39"/>
      <c r="P174" s="40">
        <f t="shared" si="8"/>
        <v>0</v>
      </c>
      <c r="Q174" s="40">
        <f t="shared" si="10"/>
        <v>0</v>
      </c>
      <c r="R174" s="40">
        <f t="shared" si="11"/>
        <v>0</v>
      </c>
      <c r="S174" s="41"/>
      <c r="T174" s="41"/>
      <c r="U174" s="41"/>
      <c r="V174" s="41"/>
      <c r="W174" s="41"/>
      <c r="X174" s="41"/>
      <c r="Y174" s="33">
        <f t="shared" si="9"/>
        <v>0</v>
      </c>
    </row>
    <row r="175" spans="4:25" x14ac:dyDescent="0.25">
      <c r="D175" s="69"/>
      <c r="E175" s="34"/>
      <c r="F175" s="34"/>
      <c r="H175" s="35"/>
      <c r="I175" s="36"/>
      <c r="J175" s="37"/>
      <c r="K175" s="38"/>
      <c r="L175" s="29"/>
      <c r="M175" s="29"/>
      <c r="N175" s="29"/>
      <c r="O175" s="39"/>
      <c r="P175" s="40">
        <f t="shared" si="8"/>
        <v>0</v>
      </c>
      <c r="Q175" s="40">
        <f t="shared" si="10"/>
        <v>0</v>
      </c>
      <c r="R175" s="40">
        <f t="shared" si="11"/>
        <v>0</v>
      </c>
      <c r="S175" s="41"/>
      <c r="T175" s="41"/>
      <c r="U175" s="41"/>
      <c r="V175" s="41"/>
      <c r="W175" s="41"/>
      <c r="X175" s="41"/>
      <c r="Y175" s="33">
        <f t="shared" si="9"/>
        <v>0</v>
      </c>
    </row>
    <row r="176" spans="4:25" x14ac:dyDescent="0.25">
      <c r="D176" s="69"/>
      <c r="E176" s="34"/>
      <c r="F176" s="34"/>
      <c r="H176" s="35"/>
      <c r="I176" s="36"/>
      <c r="J176" s="37"/>
      <c r="K176" s="38"/>
      <c r="L176" s="29"/>
      <c r="M176" s="29"/>
      <c r="N176" s="29"/>
      <c r="O176" s="39"/>
      <c r="P176" s="40">
        <f t="shared" si="8"/>
        <v>0</v>
      </c>
      <c r="Q176" s="40">
        <f t="shared" si="10"/>
        <v>0</v>
      </c>
      <c r="R176" s="40">
        <f t="shared" si="11"/>
        <v>0</v>
      </c>
      <c r="S176" s="41"/>
      <c r="T176" s="41"/>
      <c r="U176" s="41"/>
      <c r="V176" s="41"/>
      <c r="W176" s="41"/>
      <c r="X176" s="41"/>
      <c r="Y176" s="33">
        <f t="shared" si="9"/>
        <v>0</v>
      </c>
    </row>
    <row r="177" spans="4:25" x14ac:dyDescent="0.25">
      <c r="D177" s="69"/>
      <c r="E177" s="34"/>
      <c r="F177" s="34"/>
      <c r="H177" s="35"/>
      <c r="I177" s="36"/>
      <c r="J177" s="37"/>
      <c r="K177" s="38"/>
      <c r="L177" s="29"/>
      <c r="M177" s="29"/>
      <c r="N177" s="29"/>
      <c r="O177" s="39"/>
      <c r="P177" s="40">
        <f t="shared" si="8"/>
        <v>0</v>
      </c>
      <c r="Q177" s="40">
        <f t="shared" si="10"/>
        <v>0</v>
      </c>
      <c r="R177" s="40">
        <f t="shared" si="11"/>
        <v>0</v>
      </c>
      <c r="S177" s="41"/>
      <c r="T177" s="41"/>
      <c r="U177" s="41"/>
      <c r="V177" s="41"/>
      <c r="W177" s="41"/>
      <c r="X177" s="41"/>
      <c r="Y177" s="33">
        <f t="shared" si="9"/>
        <v>0</v>
      </c>
    </row>
    <row r="178" spans="4:25" x14ac:dyDescent="0.25">
      <c r="D178" s="69"/>
      <c r="E178" s="34"/>
      <c r="F178" s="34"/>
      <c r="H178" s="35"/>
      <c r="I178" s="36"/>
      <c r="J178" s="37"/>
      <c r="K178" s="38"/>
      <c r="L178" s="29"/>
      <c r="M178" s="29"/>
      <c r="N178" s="29"/>
      <c r="O178" s="39"/>
      <c r="P178" s="40">
        <f t="shared" si="8"/>
        <v>0</v>
      </c>
      <c r="Q178" s="40">
        <f t="shared" si="10"/>
        <v>0</v>
      </c>
      <c r="R178" s="40">
        <f t="shared" si="11"/>
        <v>0</v>
      </c>
      <c r="S178" s="41"/>
      <c r="T178" s="41"/>
      <c r="U178" s="41"/>
      <c r="V178" s="41"/>
      <c r="W178" s="41"/>
      <c r="X178" s="41"/>
      <c r="Y178" s="33">
        <f t="shared" si="9"/>
        <v>0</v>
      </c>
    </row>
    <row r="179" spans="4:25" x14ac:dyDescent="0.25">
      <c r="D179" s="69"/>
      <c r="E179" s="34"/>
      <c r="F179" s="34"/>
      <c r="H179" s="35"/>
      <c r="I179" s="36"/>
      <c r="J179" s="37"/>
      <c r="K179" s="38"/>
      <c r="L179" s="29"/>
      <c r="M179" s="29"/>
      <c r="N179" s="29"/>
      <c r="O179" s="39"/>
      <c r="P179" s="40">
        <f t="shared" si="8"/>
        <v>0</v>
      </c>
      <c r="Q179" s="40">
        <f t="shared" si="10"/>
        <v>0</v>
      </c>
      <c r="R179" s="40">
        <f t="shared" si="11"/>
        <v>0</v>
      </c>
      <c r="S179" s="41"/>
      <c r="T179" s="41"/>
      <c r="U179" s="41"/>
      <c r="V179" s="41"/>
      <c r="W179" s="41"/>
      <c r="X179" s="41"/>
      <c r="Y179" s="33">
        <f t="shared" si="9"/>
        <v>0</v>
      </c>
    </row>
    <row r="180" spans="4:25" x14ac:dyDescent="0.25">
      <c r="D180" s="69"/>
      <c r="E180" s="34"/>
      <c r="F180" s="34"/>
      <c r="H180" s="35"/>
      <c r="I180" s="36"/>
      <c r="J180" s="37"/>
      <c r="K180" s="38"/>
      <c r="L180" s="29"/>
      <c r="M180" s="29"/>
      <c r="N180" s="29"/>
      <c r="O180" s="39"/>
      <c r="P180" s="40">
        <f t="shared" si="8"/>
        <v>0</v>
      </c>
      <c r="Q180" s="40">
        <f t="shared" si="10"/>
        <v>0</v>
      </c>
      <c r="R180" s="40">
        <f t="shared" si="11"/>
        <v>0</v>
      </c>
      <c r="S180" s="41"/>
      <c r="T180" s="41"/>
      <c r="U180" s="41"/>
      <c r="V180" s="41"/>
      <c r="W180" s="41"/>
      <c r="X180" s="41"/>
      <c r="Y180" s="33">
        <f t="shared" si="9"/>
        <v>0</v>
      </c>
    </row>
    <row r="181" spans="4:25" x14ac:dyDescent="0.25">
      <c r="D181" s="69"/>
      <c r="E181" s="34"/>
      <c r="F181" s="34"/>
      <c r="H181" s="35"/>
      <c r="I181" s="36"/>
      <c r="J181" s="37"/>
      <c r="K181" s="38"/>
      <c r="L181" s="29"/>
      <c r="M181" s="29"/>
      <c r="N181" s="29"/>
      <c r="O181" s="39"/>
      <c r="P181" s="40">
        <f t="shared" si="8"/>
        <v>0</v>
      </c>
      <c r="Q181" s="40">
        <f t="shared" si="10"/>
        <v>0</v>
      </c>
      <c r="R181" s="40">
        <f t="shared" si="11"/>
        <v>0</v>
      </c>
      <c r="S181" s="41"/>
      <c r="T181" s="41"/>
      <c r="U181" s="41"/>
      <c r="V181" s="41"/>
      <c r="W181" s="41"/>
      <c r="X181" s="41"/>
      <c r="Y181" s="33">
        <f t="shared" si="9"/>
        <v>0</v>
      </c>
    </row>
    <row r="182" spans="4:25" x14ac:dyDescent="0.25">
      <c r="D182" s="69"/>
      <c r="E182" s="34"/>
      <c r="F182" s="34"/>
      <c r="H182" s="35"/>
      <c r="I182" s="36"/>
      <c r="J182" s="37"/>
      <c r="K182" s="38"/>
      <c r="L182" s="29"/>
      <c r="M182" s="29"/>
      <c r="N182" s="29"/>
      <c r="O182" s="39"/>
      <c r="P182" s="40">
        <f t="shared" si="8"/>
        <v>0</v>
      </c>
      <c r="Q182" s="40">
        <f t="shared" si="10"/>
        <v>0</v>
      </c>
      <c r="R182" s="40">
        <f t="shared" si="11"/>
        <v>0</v>
      </c>
      <c r="S182" s="41"/>
      <c r="T182" s="41"/>
      <c r="U182" s="41"/>
      <c r="V182" s="41"/>
      <c r="W182" s="41"/>
      <c r="X182" s="41"/>
      <c r="Y182" s="33">
        <f t="shared" si="9"/>
        <v>0</v>
      </c>
    </row>
    <row r="183" spans="4:25" x14ac:dyDescent="0.25">
      <c r="D183" s="69"/>
      <c r="E183" s="34"/>
      <c r="F183" s="34"/>
      <c r="H183" s="35"/>
      <c r="I183" s="36"/>
      <c r="J183" s="37"/>
      <c r="K183" s="38"/>
      <c r="L183" s="29"/>
      <c r="M183" s="29"/>
      <c r="N183" s="29"/>
      <c r="O183" s="39"/>
      <c r="P183" s="40">
        <f t="shared" si="8"/>
        <v>0</v>
      </c>
      <c r="Q183" s="40">
        <f t="shared" si="10"/>
        <v>0</v>
      </c>
      <c r="R183" s="40">
        <f t="shared" si="11"/>
        <v>0</v>
      </c>
      <c r="S183" s="41"/>
      <c r="T183" s="41"/>
      <c r="U183" s="41"/>
      <c r="V183" s="41"/>
      <c r="W183" s="41"/>
      <c r="X183" s="41"/>
      <c r="Y183" s="33">
        <f t="shared" si="9"/>
        <v>0</v>
      </c>
    </row>
    <row r="184" spans="4:25" x14ac:dyDescent="0.25">
      <c r="D184" s="69"/>
      <c r="E184" s="34"/>
      <c r="F184" s="34"/>
      <c r="H184" s="35"/>
      <c r="I184" s="36"/>
      <c r="J184" s="37"/>
      <c r="K184" s="38"/>
      <c r="L184" s="29"/>
      <c r="M184" s="29"/>
      <c r="N184" s="29"/>
      <c r="O184" s="39"/>
      <c r="P184" s="40">
        <f t="shared" si="8"/>
        <v>0</v>
      </c>
      <c r="Q184" s="40">
        <f t="shared" si="10"/>
        <v>0</v>
      </c>
      <c r="R184" s="40">
        <f t="shared" si="11"/>
        <v>0</v>
      </c>
      <c r="S184" s="41"/>
      <c r="T184" s="41"/>
      <c r="U184" s="41"/>
      <c r="V184" s="41"/>
      <c r="W184" s="41"/>
      <c r="X184" s="41"/>
      <c r="Y184" s="33">
        <f t="shared" si="9"/>
        <v>0</v>
      </c>
    </row>
    <row r="185" spans="4:25" x14ac:dyDescent="0.25">
      <c r="D185" s="69"/>
      <c r="E185" s="34"/>
      <c r="F185" s="34"/>
      <c r="H185" s="35"/>
      <c r="I185" s="36"/>
      <c r="J185" s="37"/>
      <c r="K185" s="38"/>
      <c r="L185" s="29"/>
      <c r="M185" s="29"/>
      <c r="N185" s="29"/>
      <c r="O185" s="39"/>
      <c r="P185" s="40">
        <f t="shared" si="8"/>
        <v>0</v>
      </c>
      <c r="Q185" s="40">
        <f t="shared" si="10"/>
        <v>0</v>
      </c>
      <c r="R185" s="40">
        <f t="shared" si="11"/>
        <v>0</v>
      </c>
      <c r="S185" s="41"/>
      <c r="T185" s="41"/>
      <c r="U185" s="41"/>
      <c r="V185" s="41"/>
      <c r="W185" s="41"/>
      <c r="X185" s="41"/>
      <c r="Y185" s="33">
        <f t="shared" si="9"/>
        <v>0</v>
      </c>
    </row>
    <row r="186" spans="4:25" x14ac:dyDescent="0.25">
      <c r="D186" s="69"/>
      <c r="E186" s="34"/>
      <c r="F186" s="34"/>
      <c r="H186" s="35"/>
      <c r="I186" s="36"/>
      <c r="J186" s="37"/>
      <c r="K186" s="38"/>
      <c r="L186" s="29"/>
      <c r="M186" s="29"/>
      <c r="N186" s="29"/>
      <c r="O186" s="39"/>
      <c r="P186" s="40">
        <f t="shared" si="8"/>
        <v>0</v>
      </c>
      <c r="Q186" s="40">
        <f t="shared" si="10"/>
        <v>0</v>
      </c>
      <c r="R186" s="40">
        <f t="shared" si="11"/>
        <v>0</v>
      </c>
      <c r="S186" s="41"/>
      <c r="T186" s="41"/>
      <c r="U186" s="41"/>
      <c r="V186" s="41"/>
      <c r="W186" s="41"/>
      <c r="X186" s="41"/>
      <c r="Y186" s="33">
        <f t="shared" si="9"/>
        <v>0</v>
      </c>
    </row>
    <row r="187" spans="4:25" x14ac:dyDescent="0.25">
      <c r="D187" s="69"/>
      <c r="E187" s="34"/>
      <c r="F187" s="34"/>
      <c r="H187" s="35"/>
      <c r="I187" s="36"/>
      <c r="J187" s="37"/>
      <c r="K187" s="38"/>
      <c r="L187" s="29"/>
      <c r="M187" s="29"/>
      <c r="N187" s="29"/>
      <c r="O187" s="39"/>
      <c r="P187" s="40">
        <f t="shared" si="8"/>
        <v>0</v>
      </c>
      <c r="Q187" s="40">
        <f t="shared" si="10"/>
        <v>0</v>
      </c>
      <c r="R187" s="40">
        <f t="shared" si="11"/>
        <v>0</v>
      </c>
      <c r="S187" s="41"/>
      <c r="T187" s="41"/>
      <c r="U187" s="41"/>
      <c r="V187" s="41"/>
      <c r="W187" s="41"/>
      <c r="X187" s="41"/>
      <c r="Y187" s="33">
        <f t="shared" si="9"/>
        <v>0</v>
      </c>
    </row>
    <row r="188" spans="4:25" x14ac:dyDescent="0.25">
      <c r="D188" s="69"/>
      <c r="E188" s="34"/>
      <c r="F188" s="34"/>
      <c r="H188" s="35"/>
      <c r="I188" s="36"/>
      <c r="J188" s="37"/>
      <c r="K188" s="38"/>
      <c r="L188" s="29"/>
      <c r="M188" s="29"/>
      <c r="N188" s="29"/>
      <c r="O188" s="39"/>
      <c r="P188" s="40">
        <f t="shared" si="8"/>
        <v>0</v>
      </c>
      <c r="Q188" s="40">
        <f t="shared" si="10"/>
        <v>0</v>
      </c>
      <c r="R188" s="40">
        <f t="shared" si="11"/>
        <v>0</v>
      </c>
      <c r="S188" s="41"/>
      <c r="T188" s="41"/>
      <c r="U188" s="41"/>
      <c r="V188" s="41"/>
      <c r="W188" s="41"/>
      <c r="X188" s="41"/>
      <c r="Y188" s="33">
        <f t="shared" si="9"/>
        <v>0</v>
      </c>
    </row>
    <row r="189" spans="4:25" x14ac:dyDescent="0.25">
      <c r="D189" s="69"/>
      <c r="E189" s="34"/>
      <c r="F189" s="34"/>
      <c r="H189" s="35"/>
      <c r="I189" s="36"/>
      <c r="J189" s="37"/>
      <c r="K189" s="38"/>
      <c r="L189" s="29"/>
      <c r="M189" s="29"/>
      <c r="N189" s="29"/>
      <c r="O189" s="39"/>
      <c r="P189" s="40">
        <f t="shared" si="8"/>
        <v>0</v>
      </c>
      <c r="Q189" s="40">
        <f t="shared" si="10"/>
        <v>0</v>
      </c>
      <c r="R189" s="40">
        <f t="shared" si="11"/>
        <v>0</v>
      </c>
      <c r="S189" s="41"/>
      <c r="T189" s="41"/>
      <c r="U189" s="41"/>
      <c r="V189" s="41"/>
      <c r="W189" s="41"/>
      <c r="X189" s="41"/>
      <c r="Y189" s="33">
        <f t="shared" si="9"/>
        <v>0</v>
      </c>
    </row>
    <row r="190" spans="4:25" x14ac:dyDescent="0.25">
      <c r="D190" s="69"/>
      <c r="E190" s="34"/>
      <c r="F190" s="34"/>
      <c r="H190" s="35"/>
      <c r="I190" s="36"/>
      <c r="J190" s="37"/>
      <c r="K190" s="38"/>
      <c r="L190" s="29"/>
      <c r="M190" s="29"/>
      <c r="N190" s="29"/>
      <c r="O190" s="39"/>
      <c r="P190" s="40">
        <f t="shared" si="8"/>
        <v>0</v>
      </c>
      <c r="Q190" s="40">
        <f t="shared" si="10"/>
        <v>0</v>
      </c>
      <c r="R190" s="40">
        <f t="shared" si="11"/>
        <v>0</v>
      </c>
      <c r="S190" s="41"/>
      <c r="T190" s="41"/>
      <c r="U190" s="41"/>
      <c r="V190" s="41"/>
      <c r="W190" s="41"/>
      <c r="X190" s="41"/>
      <c r="Y190" s="33">
        <f t="shared" si="9"/>
        <v>0</v>
      </c>
    </row>
    <row r="191" spans="4:25" x14ac:dyDescent="0.25">
      <c r="D191" s="69"/>
      <c r="E191" s="34"/>
      <c r="F191" s="34"/>
      <c r="H191" s="35"/>
      <c r="I191" s="36"/>
      <c r="J191" s="37"/>
      <c r="K191" s="38"/>
      <c r="L191" s="29"/>
      <c r="M191" s="29"/>
      <c r="N191" s="29"/>
      <c r="O191" s="39"/>
      <c r="P191" s="40">
        <f t="shared" si="8"/>
        <v>0</v>
      </c>
      <c r="Q191" s="40">
        <f t="shared" si="10"/>
        <v>0</v>
      </c>
      <c r="R191" s="40">
        <f t="shared" si="11"/>
        <v>0</v>
      </c>
      <c r="S191" s="41"/>
      <c r="T191" s="41"/>
      <c r="U191" s="41"/>
      <c r="V191" s="41"/>
      <c r="W191" s="41"/>
      <c r="X191" s="41"/>
      <c r="Y191" s="33">
        <f t="shared" si="9"/>
        <v>0</v>
      </c>
    </row>
    <row r="192" spans="4:25" x14ac:dyDescent="0.25">
      <c r="D192" s="69"/>
      <c r="E192" s="34"/>
      <c r="F192" s="34"/>
      <c r="H192" s="35"/>
      <c r="I192" s="36"/>
      <c r="J192" s="37"/>
      <c r="K192" s="38"/>
      <c r="L192" s="29"/>
      <c r="M192" s="29"/>
      <c r="N192" s="29"/>
      <c r="O192" s="39"/>
      <c r="P192" s="40">
        <f t="shared" si="8"/>
        <v>0</v>
      </c>
      <c r="Q192" s="40">
        <f t="shared" si="10"/>
        <v>0</v>
      </c>
      <c r="R192" s="40">
        <f t="shared" si="11"/>
        <v>0</v>
      </c>
      <c r="S192" s="41"/>
      <c r="T192" s="41"/>
      <c r="U192" s="41"/>
      <c r="V192" s="41"/>
      <c r="W192" s="41"/>
      <c r="X192" s="41"/>
      <c r="Y192" s="33">
        <f t="shared" si="9"/>
        <v>0</v>
      </c>
    </row>
    <row r="193" spans="4:25" x14ac:dyDescent="0.25">
      <c r="D193" s="69"/>
      <c r="E193" s="34"/>
      <c r="F193" s="34"/>
      <c r="H193" s="35"/>
      <c r="I193" s="36"/>
      <c r="J193" s="37"/>
      <c r="K193" s="38"/>
      <c r="L193" s="29"/>
      <c r="M193" s="29"/>
      <c r="N193" s="29"/>
      <c r="O193" s="39"/>
      <c r="P193" s="40">
        <f t="shared" si="8"/>
        <v>0</v>
      </c>
      <c r="Q193" s="40">
        <f t="shared" si="10"/>
        <v>0</v>
      </c>
      <c r="R193" s="40">
        <f t="shared" si="11"/>
        <v>0</v>
      </c>
      <c r="S193" s="41"/>
      <c r="T193" s="41"/>
      <c r="U193" s="41"/>
      <c r="V193" s="41"/>
      <c r="W193" s="41"/>
      <c r="X193" s="41"/>
      <c r="Y193" s="33">
        <f t="shared" si="9"/>
        <v>0</v>
      </c>
    </row>
    <row r="194" spans="4:25" x14ac:dyDescent="0.25">
      <c r="D194" s="69"/>
      <c r="E194" s="34"/>
      <c r="F194" s="34"/>
      <c r="H194" s="35"/>
      <c r="I194" s="36"/>
      <c r="J194" s="37"/>
      <c r="K194" s="38"/>
      <c r="L194" s="29"/>
      <c r="M194" s="29"/>
      <c r="N194" s="29"/>
      <c r="O194" s="39"/>
      <c r="P194" s="40">
        <f t="shared" si="8"/>
        <v>0</v>
      </c>
      <c r="Q194" s="40">
        <f t="shared" si="10"/>
        <v>0</v>
      </c>
      <c r="R194" s="40">
        <f t="shared" si="11"/>
        <v>0</v>
      </c>
      <c r="S194" s="41"/>
      <c r="T194" s="41"/>
      <c r="U194" s="41"/>
      <c r="V194" s="41"/>
      <c r="W194" s="41"/>
      <c r="X194" s="41"/>
      <c r="Y194" s="33">
        <f t="shared" si="9"/>
        <v>0</v>
      </c>
    </row>
    <row r="195" spans="4:25" x14ac:dyDescent="0.25">
      <c r="D195" s="69"/>
      <c r="E195" s="34"/>
      <c r="F195" s="34"/>
      <c r="H195" s="35"/>
      <c r="I195" s="36"/>
      <c r="J195" s="37"/>
      <c r="K195" s="38"/>
      <c r="L195" s="29"/>
      <c r="M195" s="29"/>
      <c r="N195" s="29"/>
      <c r="O195" s="39"/>
      <c r="P195" s="40">
        <f t="shared" ref="P195:P258" si="12">$L195*$O195</f>
        <v>0</v>
      </c>
      <c r="Q195" s="40">
        <f t="shared" si="10"/>
        <v>0</v>
      </c>
      <c r="R195" s="40">
        <f t="shared" si="11"/>
        <v>0</v>
      </c>
      <c r="S195" s="41"/>
      <c r="T195" s="41"/>
      <c r="U195" s="41"/>
      <c r="V195" s="41"/>
      <c r="W195" s="41"/>
      <c r="X195" s="41"/>
      <c r="Y195" s="33">
        <f t="shared" ref="Y195:Y258" si="13">SUM(R195:X195)</f>
        <v>0</v>
      </c>
    </row>
    <row r="196" spans="4:25" x14ac:dyDescent="0.25">
      <c r="D196" s="69"/>
      <c r="E196" s="34"/>
      <c r="F196" s="34"/>
      <c r="H196" s="35"/>
      <c r="I196" s="36"/>
      <c r="J196" s="37"/>
      <c r="K196" s="38"/>
      <c r="L196" s="29"/>
      <c r="M196" s="29"/>
      <c r="N196" s="29"/>
      <c r="O196" s="39"/>
      <c r="P196" s="40">
        <f t="shared" si="12"/>
        <v>0</v>
      </c>
      <c r="Q196" s="40">
        <f t="shared" ref="Q196:Q259" si="14">IF(E196="NE",(M196*O196*1.5),(M196*O196))</f>
        <v>0</v>
      </c>
      <c r="R196" s="40">
        <f t="shared" ref="R196:R259" si="15">P196+Q196</f>
        <v>0</v>
      </c>
      <c r="S196" s="41"/>
      <c r="T196" s="41"/>
      <c r="U196" s="41"/>
      <c r="V196" s="41"/>
      <c r="W196" s="41"/>
      <c r="X196" s="41"/>
      <c r="Y196" s="33">
        <f t="shared" si="13"/>
        <v>0</v>
      </c>
    </row>
    <row r="197" spans="4:25" x14ac:dyDescent="0.25">
      <c r="D197" s="69"/>
      <c r="E197" s="34"/>
      <c r="F197" s="34"/>
      <c r="H197" s="35"/>
      <c r="I197" s="36"/>
      <c r="J197" s="37"/>
      <c r="K197" s="38"/>
      <c r="L197" s="29"/>
      <c r="M197" s="29"/>
      <c r="N197" s="29"/>
      <c r="O197" s="39"/>
      <c r="P197" s="40">
        <f t="shared" si="12"/>
        <v>0</v>
      </c>
      <c r="Q197" s="40">
        <f t="shared" si="14"/>
        <v>0</v>
      </c>
      <c r="R197" s="40">
        <f t="shared" si="15"/>
        <v>0</v>
      </c>
      <c r="S197" s="41"/>
      <c r="T197" s="41"/>
      <c r="U197" s="41"/>
      <c r="V197" s="41"/>
      <c r="W197" s="41"/>
      <c r="X197" s="41"/>
      <c r="Y197" s="33">
        <f t="shared" si="13"/>
        <v>0</v>
      </c>
    </row>
    <row r="198" spans="4:25" x14ac:dyDescent="0.25">
      <c r="D198" s="69"/>
      <c r="E198" s="34"/>
      <c r="F198" s="34"/>
      <c r="H198" s="35"/>
      <c r="I198" s="36"/>
      <c r="J198" s="37"/>
      <c r="K198" s="38"/>
      <c r="L198" s="29"/>
      <c r="M198" s="29"/>
      <c r="N198" s="29"/>
      <c r="O198" s="39"/>
      <c r="P198" s="40">
        <f t="shared" si="12"/>
        <v>0</v>
      </c>
      <c r="Q198" s="40">
        <f t="shared" si="14"/>
        <v>0</v>
      </c>
      <c r="R198" s="40">
        <f t="shared" si="15"/>
        <v>0</v>
      </c>
      <c r="S198" s="41"/>
      <c r="T198" s="41"/>
      <c r="U198" s="41"/>
      <c r="V198" s="41"/>
      <c r="W198" s="41"/>
      <c r="X198" s="41"/>
      <c r="Y198" s="33">
        <f t="shared" si="13"/>
        <v>0</v>
      </c>
    </row>
    <row r="199" spans="4:25" x14ac:dyDescent="0.25">
      <c r="D199" s="69"/>
      <c r="E199" s="34"/>
      <c r="F199" s="34"/>
      <c r="H199" s="35"/>
      <c r="I199" s="36"/>
      <c r="J199" s="37"/>
      <c r="K199" s="38"/>
      <c r="L199" s="29"/>
      <c r="M199" s="29"/>
      <c r="N199" s="29"/>
      <c r="O199" s="39"/>
      <c r="P199" s="40">
        <f t="shared" si="12"/>
        <v>0</v>
      </c>
      <c r="Q199" s="40">
        <f t="shared" si="14"/>
        <v>0</v>
      </c>
      <c r="R199" s="40">
        <f t="shared" si="15"/>
        <v>0</v>
      </c>
      <c r="S199" s="41"/>
      <c r="T199" s="41"/>
      <c r="U199" s="41"/>
      <c r="V199" s="41"/>
      <c r="W199" s="41"/>
      <c r="X199" s="41"/>
      <c r="Y199" s="33">
        <f t="shared" si="13"/>
        <v>0</v>
      </c>
    </row>
    <row r="200" spans="4:25" x14ac:dyDescent="0.25">
      <c r="D200" s="69"/>
      <c r="E200" s="34"/>
      <c r="F200" s="34"/>
      <c r="H200" s="35"/>
      <c r="I200" s="36"/>
      <c r="J200" s="37"/>
      <c r="K200" s="38"/>
      <c r="L200" s="29"/>
      <c r="M200" s="29"/>
      <c r="N200" s="29"/>
      <c r="O200" s="39"/>
      <c r="P200" s="40">
        <f t="shared" si="12"/>
        <v>0</v>
      </c>
      <c r="Q200" s="40">
        <f t="shared" si="14"/>
        <v>0</v>
      </c>
      <c r="R200" s="40">
        <f t="shared" si="15"/>
        <v>0</v>
      </c>
      <c r="S200" s="41"/>
      <c r="T200" s="41"/>
      <c r="U200" s="41"/>
      <c r="V200" s="41"/>
      <c r="W200" s="41"/>
      <c r="X200" s="41"/>
      <c r="Y200" s="33">
        <f t="shared" si="13"/>
        <v>0</v>
      </c>
    </row>
    <row r="201" spans="4:25" x14ac:dyDescent="0.25">
      <c r="D201" s="69"/>
      <c r="E201" s="34"/>
      <c r="F201" s="34"/>
      <c r="H201" s="35"/>
      <c r="I201" s="36"/>
      <c r="J201" s="37"/>
      <c r="K201" s="38"/>
      <c r="L201" s="29"/>
      <c r="M201" s="29"/>
      <c r="N201" s="29"/>
      <c r="O201" s="39"/>
      <c r="P201" s="40">
        <f t="shared" si="12"/>
        <v>0</v>
      </c>
      <c r="Q201" s="40">
        <f t="shared" si="14"/>
        <v>0</v>
      </c>
      <c r="R201" s="40">
        <f t="shared" si="15"/>
        <v>0</v>
      </c>
      <c r="S201" s="41"/>
      <c r="T201" s="41"/>
      <c r="U201" s="41"/>
      <c r="V201" s="41"/>
      <c r="W201" s="41"/>
      <c r="X201" s="41"/>
      <c r="Y201" s="33">
        <f t="shared" si="13"/>
        <v>0</v>
      </c>
    </row>
    <row r="202" spans="4:25" x14ac:dyDescent="0.25">
      <c r="D202" s="69"/>
      <c r="E202" s="34"/>
      <c r="F202" s="34"/>
      <c r="G202" s="38"/>
      <c r="H202" s="35"/>
      <c r="I202" s="36"/>
      <c r="J202" s="37"/>
      <c r="K202" s="38"/>
      <c r="L202" s="29"/>
      <c r="M202" s="29"/>
      <c r="N202" s="29"/>
      <c r="O202" s="39"/>
      <c r="P202" s="40">
        <f t="shared" si="12"/>
        <v>0</v>
      </c>
      <c r="Q202" s="40">
        <f t="shared" si="14"/>
        <v>0</v>
      </c>
      <c r="R202" s="40">
        <f t="shared" si="15"/>
        <v>0</v>
      </c>
      <c r="S202" s="41"/>
      <c r="T202" s="41"/>
      <c r="U202" s="41"/>
      <c r="V202" s="41"/>
      <c r="W202" s="41"/>
      <c r="X202" s="41"/>
      <c r="Y202" s="33">
        <f t="shared" si="13"/>
        <v>0</v>
      </c>
    </row>
    <row r="203" spans="4:25" x14ac:dyDescent="0.25">
      <c r="D203" s="69"/>
      <c r="E203" s="34"/>
      <c r="F203" s="34"/>
      <c r="G203" s="38"/>
      <c r="H203" s="35"/>
      <c r="I203" s="36"/>
      <c r="J203" s="37"/>
      <c r="K203" s="38"/>
      <c r="L203" s="29"/>
      <c r="M203" s="29"/>
      <c r="N203" s="29"/>
      <c r="O203" s="39"/>
      <c r="P203" s="40">
        <f t="shared" si="12"/>
        <v>0</v>
      </c>
      <c r="Q203" s="40">
        <f t="shared" si="14"/>
        <v>0</v>
      </c>
      <c r="R203" s="40">
        <f t="shared" si="15"/>
        <v>0</v>
      </c>
      <c r="S203" s="41"/>
      <c r="T203" s="41"/>
      <c r="U203" s="41"/>
      <c r="V203" s="41"/>
      <c r="W203" s="41"/>
      <c r="X203" s="41"/>
      <c r="Y203" s="33">
        <f t="shared" si="13"/>
        <v>0</v>
      </c>
    </row>
    <row r="204" spans="4:25" x14ac:dyDescent="0.25">
      <c r="D204" s="69"/>
      <c r="E204" s="34"/>
      <c r="F204" s="34"/>
      <c r="H204" s="35"/>
      <c r="I204" s="36"/>
      <c r="J204" s="37"/>
      <c r="K204" s="38"/>
      <c r="L204" s="29"/>
      <c r="M204" s="29"/>
      <c r="N204" s="29"/>
      <c r="O204" s="39"/>
      <c r="P204" s="40">
        <f t="shared" si="12"/>
        <v>0</v>
      </c>
      <c r="Q204" s="40">
        <f t="shared" si="14"/>
        <v>0</v>
      </c>
      <c r="R204" s="40">
        <f t="shared" si="15"/>
        <v>0</v>
      </c>
      <c r="S204" s="41"/>
      <c r="T204" s="41"/>
      <c r="U204" s="41"/>
      <c r="V204" s="41"/>
      <c r="W204" s="41"/>
      <c r="X204" s="41"/>
      <c r="Y204" s="33">
        <f t="shared" si="13"/>
        <v>0</v>
      </c>
    </row>
    <row r="205" spans="4:25" x14ac:dyDescent="0.25">
      <c r="D205" s="69"/>
      <c r="E205" s="34"/>
      <c r="F205" s="34"/>
      <c r="H205" s="35"/>
      <c r="I205" s="36"/>
      <c r="J205" s="37"/>
      <c r="K205" s="38"/>
      <c r="L205" s="29"/>
      <c r="M205" s="29"/>
      <c r="N205" s="29"/>
      <c r="O205" s="39"/>
      <c r="P205" s="40">
        <f t="shared" si="12"/>
        <v>0</v>
      </c>
      <c r="Q205" s="40">
        <f t="shared" si="14"/>
        <v>0</v>
      </c>
      <c r="R205" s="40">
        <f t="shared" si="15"/>
        <v>0</v>
      </c>
      <c r="S205" s="41"/>
      <c r="T205" s="41"/>
      <c r="U205" s="41"/>
      <c r="V205" s="41"/>
      <c r="W205" s="41"/>
      <c r="X205" s="41"/>
      <c r="Y205" s="33">
        <f t="shared" si="13"/>
        <v>0</v>
      </c>
    </row>
    <row r="206" spans="4:25" x14ac:dyDescent="0.25">
      <c r="D206" s="69"/>
      <c r="E206" s="34"/>
      <c r="F206" s="34"/>
      <c r="H206" s="35"/>
      <c r="I206" s="36"/>
      <c r="J206" s="37"/>
      <c r="K206" s="38"/>
      <c r="L206" s="29"/>
      <c r="M206" s="29"/>
      <c r="N206" s="29"/>
      <c r="O206" s="39"/>
      <c r="P206" s="40">
        <f t="shared" si="12"/>
        <v>0</v>
      </c>
      <c r="Q206" s="40">
        <f t="shared" si="14"/>
        <v>0</v>
      </c>
      <c r="R206" s="40">
        <f t="shared" si="15"/>
        <v>0</v>
      </c>
      <c r="S206" s="41"/>
      <c r="T206" s="41"/>
      <c r="U206" s="41"/>
      <c r="V206" s="41"/>
      <c r="W206" s="41"/>
      <c r="X206" s="41"/>
      <c r="Y206" s="33">
        <f t="shared" si="13"/>
        <v>0</v>
      </c>
    </row>
    <row r="207" spans="4:25" x14ac:dyDescent="0.25">
      <c r="D207" s="69"/>
      <c r="E207" s="34"/>
      <c r="F207" s="34"/>
      <c r="H207" s="35"/>
      <c r="I207" s="36"/>
      <c r="J207" s="37"/>
      <c r="K207" s="38"/>
      <c r="L207" s="29"/>
      <c r="M207" s="29"/>
      <c r="N207" s="29"/>
      <c r="O207" s="39"/>
      <c r="P207" s="40">
        <f t="shared" si="12"/>
        <v>0</v>
      </c>
      <c r="Q207" s="40">
        <f t="shared" si="14"/>
        <v>0</v>
      </c>
      <c r="R207" s="40">
        <f t="shared" si="15"/>
        <v>0</v>
      </c>
      <c r="S207" s="41"/>
      <c r="T207" s="41"/>
      <c r="U207" s="41"/>
      <c r="V207" s="41"/>
      <c r="W207" s="41"/>
      <c r="X207" s="41"/>
      <c r="Y207" s="33">
        <f t="shared" si="13"/>
        <v>0</v>
      </c>
    </row>
    <row r="208" spans="4:25" x14ac:dyDescent="0.25">
      <c r="D208" s="69"/>
      <c r="E208" s="34"/>
      <c r="F208" s="34"/>
      <c r="H208" s="35"/>
      <c r="I208" s="36"/>
      <c r="J208" s="37"/>
      <c r="K208" s="38"/>
      <c r="L208" s="29"/>
      <c r="M208" s="29"/>
      <c r="N208" s="29"/>
      <c r="O208" s="39"/>
      <c r="P208" s="40">
        <f t="shared" si="12"/>
        <v>0</v>
      </c>
      <c r="Q208" s="40">
        <f t="shared" si="14"/>
        <v>0</v>
      </c>
      <c r="R208" s="40">
        <f t="shared" si="15"/>
        <v>0</v>
      </c>
      <c r="S208" s="41"/>
      <c r="T208" s="41"/>
      <c r="U208" s="41"/>
      <c r="V208" s="41"/>
      <c r="W208" s="41"/>
      <c r="X208" s="41"/>
      <c r="Y208" s="33">
        <f t="shared" si="13"/>
        <v>0</v>
      </c>
    </row>
    <row r="209" spans="4:25" x14ac:dyDescent="0.25">
      <c r="D209" s="69"/>
      <c r="E209" s="34"/>
      <c r="F209" s="34"/>
      <c r="H209" s="35"/>
      <c r="I209" s="36"/>
      <c r="J209" s="37"/>
      <c r="K209" s="38"/>
      <c r="L209" s="29"/>
      <c r="M209" s="29"/>
      <c r="N209" s="29"/>
      <c r="O209" s="39"/>
      <c r="P209" s="40">
        <f t="shared" si="12"/>
        <v>0</v>
      </c>
      <c r="Q209" s="40">
        <f t="shared" si="14"/>
        <v>0</v>
      </c>
      <c r="R209" s="40">
        <f t="shared" si="15"/>
        <v>0</v>
      </c>
      <c r="S209" s="41"/>
      <c r="T209" s="41"/>
      <c r="U209" s="41"/>
      <c r="V209" s="41"/>
      <c r="W209" s="41"/>
      <c r="X209" s="41"/>
      <c r="Y209" s="33">
        <f t="shared" si="13"/>
        <v>0</v>
      </c>
    </row>
    <row r="210" spans="4:25" x14ac:dyDescent="0.25">
      <c r="D210" s="69"/>
      <c r="E210" s="34"/>
      <c r="F210" s="34"/>
      <c r="H210" s="35"/>
      <c r="I210" s="36"/>
      <c r="J210" s="37"/>
      <c r="K210" s="38"/>
      <c r="L210" s="29"/>
      <c r="M210" s="29"/>
      <c r="N210" s="29"/>
      <c r="O210" s="39"/>
      <c r="P210" s="40">
        <f t="shared" si="12"/>
        <v>0</v>
      </c>
      <c r="Q210" s="40">
        <f t="shared" si="14"/>
        <v>0</v>
      </c>
      <c r="R210" s="40">
        <f t="shared" si="15"/>
        <v>0</v>
      </c>
      <c r="S210" s="41"/>
      <c r="T210" s="41"/>
      <c r="U210" s="41"/>
      <c r="V210" s="41"/>
      <c r="W210" s="41"/>
      <c r="X210" s="41"/>
      <c r="Y210" s="33">
        <f t="shared" si="13"/>
        <v>0</v>
      </c>
    </row>
    <row r="211" spans="4:25" x14ac:dyDescent="0.25">
      <c r="D211" s="69"/>
      <c r="E211" s="34"/>
      <c r="F211" s="34"/>
      <c r="H211" s="35"/>
      <c r="I211" s="36"/>
      <c r="J211" s="37"/>
      <c r="K211" s="38"/>
      <c r="L211" s="29"/>
      <c r="M211" s="29"/>
      <c r="N211" s="29"/>
      <c r="O211" s="39"/>
      <c r="P211" s="40">
        <f t="shared" si="12"/>
        <v>0</v>
      </c>
      <c r="Q211" s="40">
        <f t="shared" si="14"/>
        <v>0</v>
      </c>
      <c r="R211" s="40">
        <f t="shared" si="15"/>
        <v>0</v>
      </c>
      <c r="S211" s="41"/>
      <c r="T211" s="41"/>
      <c r="U211" s="41"/>
      <c r="V211" s="41"/>
      <c r="W211" s="41"/>
      <c r="X211" s="41"/>
      <c r="Y211" s="33">
        <f t="shared" si="13"/>
        <v>0</v>
      </c>
    </row>
    <row r="212" spans="4:25" x14ac:dyDescent="0.25">
      <c r="D212" s="69"/>
      <c r="E212" s="34"/>
      <c r="F212" s="34"/>
      <c r="H212" s="35"/>
      <c r="I212" s="36"/>
      <c r="J212" s="37"/>
      <c r="K212" s="38"/>
      <c r="L212" s="29"/>
      <c r="M212" s="29"/>
      <c r="N212" s="29"/>
      <c r="O212" s="39"/>
      <c r="P212" s="40">
        <f t="shared" si="12"/>
        <v>0</v>
      </c>
      <c r="Q212" s="40">
        <f t="shared" si="14"/>
        <v>0</v>
      </c>
      <c r="R212" s="40">
        <f t="shared" si="15"/>
        <v>0</v>
      </c>
      <c r="S212" s="41"/>
      <c r="T212" s="41"/>
      <c r="U212" s="41"/>
      <c r="V212" s="41"/>
      <c r="W212" s="41"/>
      <c r="X212" s="41"/>
      <c r="Y212" s="33">
        <f t="shared" si="13"/>
        <v>0</v>
      </c>
    </row>
    <row r="213" spans="4:25" x14ac:dyDescent="0.25">
      <c r="D213" s="69"/>
      <c r="E213" s="34"/>
      <c r="F213" s="34"/>
      <c r="H213" s="35"/>
      <c r="I213" s="36"/>
      <c r="J213" s="37"/>
      <c r="K213" s="38"/>
      <c r="L213" s="29"/>
      <c r="M213" s="29"/>
      <c r="N213" s="29"/>
      <c r="O213" s="39"/>
      <c r="P213" s="40">
        <f t="shared" si="12"/>
        <v>0</v>
      </c>
      <c r="Q213" s="40">
        <f t="shared" si="14"/>
        <v>0</v>
      </c>
      <c r="R213" s="40">
        <f t="shared" si="15"/>
        <v>0</v>
      </c>
      <c r="S213" s="41"/>
      <c r="T213" s="41"/>
      <c r="U213" s="41"/>
      <c r="V213" s="41"/>
      <c r="W213" s="41"/>
      <c r="X213" s="41"/>
      <c r="Y213" s="33">
        <f t="shared" si="13"/>
        <v>0</v>
      </c>
    </row>
    <row r="214" spans="4:25" x14ac:dyDescent="0.25">
      <c r="D214" s="69"/>
      <c r="E214" s="34"/>
      <c r="F214" s="34"/>
      <c r="H214" s="35"/>
      <c r="I214" s="36"/>
      <c r="J214" s="37"/>
      <c r="K214" s="38"/>
      <c r="L214" s="29"/>
      <c r="M214" s="29"/>
      <c r="N214" s="29"/>
      <c r="O214" s="39"/>
      <c r="P214" s="40">
        <f t="shared" si="12"/>
        <v>0</v>
      </c>
      <c r="Q214" s="40">
        <f t="shared" si="14"/>
        <v>0</v>
      </c>
      <c r="R214" s="40">
        <f t="shared" si="15"/>
        <v>0</v>
      </c>
      <c r="S214" s="41"/>
      <c r="T214" s="41"/>
      <c r="U214" s="41"/>
      <c r="V214" s="41"/>
      <c r="W214" s="41"/>
      <c r="X214" s="41"/>
      <c r="Y214" s="33">
        <f t="shared" si="13"/>
        <v>0</v>
      </c>
    </row>
    <row r="215" spans="4:25" x14ac:dyDescent="0.25">
      <c r="D215" s="69"/>
      <c r="E215" s="34"/>
      <c r="F215" s="34"/>
      <c r="H215" s="35"/>
      <c r="I215" s="36"/>
      <c r="J215" s="37"/>
      <c r="K215" s="38"/>
      <c r="L215" s="29"/>
      <c r="M215" s="29"/>
      <c r="N215" s="29"/>
      <c r="O215" s="39"/>
      <c r="P215" s="40">
        <f t="shared" si="12"/>
        <v>0</v>
      </c>
      <c r="Q215" s="40">
        <f t="shared" si="14"/>
        <v>0</v>
      </c>
      <c r="R215" s="40">
        <f t="shared" si="15"/>
        <v>0</v>
      </c>
      <c r="S215" s="41"/>
      <c r="T215" s="41"/>
      <c r="U215" s="41"/>
      <c r="V215" s="41"/>
      <c r="W215" s="41"/>
      <c r="X215" s="41"/>
      <c r="Y215" s="33">
        <f t="shared" si="13"/>
        <v>0</v>
      </c>
    </row>
    <row r="216" spans="4:25" x14ac:dyDescent="0.25">
      <c r="D216" s="69"/>
      <c r="E216" s="34"/>
      <c r="F216" s="34"/>
      <c r="H216" s="35"/>
      <c r="I216" s="36"/>
      <c r="J216" s="37"/>
      <c r="K216" s="38"/>
      <c r="L216" s="29"/>
      <c r="M216" s="29"/>
      <c r="N216" s="29"/>
      <c r="O216" s="39"/>
      <c r="P216" s="40">
        <f t="shared" si="12"/>
        <v>0</v>
      </c>
      <c r="Q216" s="40">
        <f t="shared" si="14"/>
        <v>0</v>
      </c>
      <c r="R216" s="40">
        <f t="shared" si="15"/>
        <v>0</v>
      </c>
      <c r="S216" s="41"/>
      <c r="T216" s="41"/>
      <c r="U216" s="41"/>
      <c r="V216" s="41"/>
      <c r="W216" s="41"/>
      <c r="X216" s="41"/>
      <c r="Y216" s="33">
        <f t="shared" si="13"/>
        <v>0</v>
      </c>
    </row>
    <row r="217" spans="4:25" x14ac:dyDescent="0.25">
      <c r="D217" s="69"/>
      <c r="E217" s="34"/>
      <c r="F217" s="34"/>
      <c r="H217" s="35"/>
      <c r="I217" s="36"/>
      <c r="J217" s="37"/>
      <c r="K217" s="38"/>
      <c r="L217" s="29"/>
      <c r="M217" s="29"/>
      <c r="N217" s="29"/>
      <c r="O217" s="39"/>
      <c r="P217" s="40">
        <f t="shared" si="12"/>
        <v>0</v>
      </c>
      <c r="Q217" s="40">
        <f t="shared" si="14"/>
        <v>0</v>
      </c>
      <c r="R217" s="40">
        <f t="shared" si="15"/>
        <v>0</v>
      </c>
      <c r="S217" s="41"/>
      <c r="T217" s="41"/>
      <c r="U217" s="41"/>
      <c r="V217" s="41"/>
      <c r="W217" s="41"/>
      <c r="X217" s="41"/>
      <c r="Y217" s="33">
        <f t="shared" si="13"/>
        <v>0</v>
      </c>
    </row>
    <row r="218" spans="4:25" x14ac:dyDescent="0.25">
      <c r="D218" s="69"/>
      <c r="E218" s="34"/>
      <c r="F218" s="34"/>
      <c r="H218" s="35"/>
      <c r="I218" s="36"/>
      <c r="J218" s="37"/>
      <c r="K218" s="38"/>
      <c r="L218" s="29"/>
      <c r="M218" s="29"/>
      <c r="N218" s="29"/>
      <c r="O218" s="39"/>
      <c r="P218" s="40">
        <f t="shared" si="12"/>
        <v>0</v>
      </c>
      <c r="Q218" s="40">
        <f t="shared" si="14"/>
        <v>0</v>
      </c>
      <c r="R218" s="40">
        <f t="shared" si="15"/>
        <v>0</v>
      </c>
      <c r="S218" s="41"/>
      <c r="T218" s="41"/>
      <c r="U218" s="41"/>
      <c r="V218" s="41"/>
      <c r="W218" s="41"/>
      <c r="X218" s="41"/>
      <c r="Y218" s="33">
        <f t="shared" si="13"/>
        <v>0</v>
      </c>
    </row>
    <row r="219" spans="4:25" x14ac:dyDescent="0.25">
      <c r="D219" s="69"/>
      <c r="E219" s="34"/>
      <c r="F219" s="34"/>
      <c r="H219" s="35"/>
      <c r="I219" s="36"/>
      <c r="J219" s="37"/>
      <c r="K219" s="38"/>
      <c r="L219" s="29"/>
      <c r="M219" s="29"/>
      <c r="N219" s="29"/>
      <c r="O219" s="39"/>
      <c r="P219" s="40">
        <f t="shared" si="12"/>
        <v>0</v>
      </c>
      <c r="Q219" s="40">
        <f t="shared" si="14"/>
        <v>0</v>
      </c>
      <c r="R219" s="40">
        <f t="shared" si="15"/>
        <v>0</v>
      </c>
      <c r="S219" s="41"/>
      <c r="T219" s="41"/>
      <c r="U219" s="41"/>
      <c r="V219" s="41"/>
      <c r="W219" s="41"/>
      <c r="X219" s="41"/>
      <c r="Y219" s="33">
        <f t="shared" si="13"/>
        <v>0</v>
      </c>
    </row>
    <row r="220" spans="4:25" x14ac:dyDescent="0.25">
      <c r="D220" s="69"/>
      <c r="E220" s="34"/>
      <c r="F220" s="34"/>
      <c r="H220" s="35"/>
      <c r="I220" s="36"/>
      <c r="J220" s="37"/>
      <c r="K220" s="38"/>
      <c r="L220" s="29"/>
      <c r="M220" s="29"/>
      <c r="N220" s="29"/>
      <c r="O220" s="39"/>
      <c r="P220" s="40">
        <f t="shared" si="12"/>
        <v>0</v>
      </c>
      <c r="Q220" s="40">
        <f t="shared" si="14"/>
        <v>0</v>
      </c>
      <c r="R220" s="40">
        <f t="shared" si="15"/>
        <v>0</v>
      </c>
      <c r="S220" s="41"/>
      <c r="T220" s="41"/>
      <c r="U220" s="41"/>
      <c r="V220" s="41"/>
      <c r="W220" s="41"/>
      <c r="X220" s="41"/>
      <c r="Y220" s="33">
        <f t="shared" si="13"/>
        <v>0</v>
      </c>
    </row>
    <row r="221" spans="4:25" x14ac:dyDescent="0.25">
      <c r="D221" s="69"/>
      <c r="E221" s="34"/>
      <c r="F221" s="34"/>
      <c r="H221" s="35"/>
      <c r="I221" s="36"/>
      <c r="J221" s="37"/>
      <c r="K221" s="38"/>
      <c r="L221" s="29"/>
      <c r="M221" s="29"/>
      <c r="N221" s="29"/>
      <c r="O221" s="39"/>
      <c r="P221" s="40">
        <f t="shared" si="12"/>
        <v>0</v>
      </c>
      <c r="Q221" s="40">
        <f t="shared" si="14"/>
        <v>0</v>
      </c>
      <c r="R221" s="40">
        <f t="shared" si="15"/>
        <v>0</v>
      </c>
      <c r="S221" s="41"/>
      <c r="T221" s="41"/>
      <c r="U221" s="41"/>
      <c r="V221" s="41"/>
      <c r="W221" s="41"/>
      <c r="X221" s="41"/>
      <c r="Y221" s="33">
        <f t="shared" si="13"/>
        <v>0</v>
      </c>
    </row>
    <row r="222" spans="4:25" x14ac:dyDescent="0.25">
      <c r="D222" s="69"/>
      <c r="E222" s="34"/>
      <c r="F222" s="34"/>
      <c r="H222" s="35"/>
      <c r="I222" s="36"/>
      <c r="J222" s="37"/>
      <c r="K222" s="38"/>
      <c r="L222" s="29"/>
      <c r="M222" s="29"/>
      <c r="N222" s="29"/>
      <c r="O222" s="39"/>
      <c r="P222" s="40">
        <f t="shared" si="12"/>
        <v>0</v>
      </c>
      <c r="Q222" s="40">
        <f t="shared" si="14"/>
        <v>0</v>
      </c>
      <c r="R222" s="40">
        <f t="shared" si="15"/>
        <v>0</v>
      </c>
      <c r="S222" s="41"/>
      <c r="T222" s="41"/>
      <c r="U222" s="41"/>
      <c r="V222" s="41"/>
      <c r="W222" s="41"/>
      <c r="X222" s="41"/>
      <c r="Y222" s="33">
        <f t="shared" si="13"/>
        <v>0</v>
      </c>
    </row>
    <row r="223" spans="4:25" x14ac:dyDescent="0.25">
      <c r="D223" s="69"/>
      <c r="E223" s="34"/>
      <c r="F223" s="34"/>
      <c r="H223" s="35"/>
      <c r="I223" s="36"/>
      <c r="J223" s="37"/>
      <c r="K223" s="38"/>
      <c r="L223" s="29"/>
      <c r="M223" s="29"/>
      <c r="N223" s="29"/>
      <c r="O223" s="39"/>
      <c r="P223" s="40">
        <f t="shared" si="12"/>
        <v>0</v>
      </c>
      <c r="Q223" s="40">
        <f t="shared" si="14"/>
        <v>0</v>
      </c>
      <c r="R223" s="40">
        <f t="shared" si="15"/>
        <v>0</v>
      </c>
      <c r="S223" s="41"/>
      <c r="T223" s="41"/>
      <c r="U223" s="41"/>
      <c r="V223" s="41"/>
      <c r="W223" s="41"/>
      <c r="X223" s="41"/>
      <c r="Y223" s="33">
        <f t="shared" si="13"/>
        <v>0</v>
      </c>
    </row>
    <row r="224" spans="4:25" x14ac:dyDescent="0.25">
      <c r="D224" s="69"/>
      <c r="E224" s="34"/>
      <c r="F224" s="34"/>
      <c r="H224" s="35"/>
      <c r="I224" s="36"/>
      <c r="J224" s="37"/>
      <c r="K224" s="38"/>
      <c r="L224" s="29"/>
      <c r="M224" s="29"/>
      <c r="N224" s="29"/>
      <c r="O224" s="39"/>
      <c r="P224" s="40">
        <f t="shared" si="12"/>
        <v>0</v>
      </c>
      <c r="Q224" s="40">
        <f t="shared" si="14"/>
        <v>0</v>
      </c>
      <c r="R224" s="40">
        <f t="shared" si="15"/>
        <v>0</v>
      </c>
      <c r="S224" s="41"/>
      <c r="T224" s="41"/>
      <c r="U224" s="41"/>
      <c r="V224" s="41"/>
      <c r="W224" s="41"/>
      <c r="X224" s="41"/>
      <c r="Y224" s="33">
        <f t="shared" si="13"/>
        <v>0</v>
      </c>
    </row>
    <row r="225" spans="4:25" x14ac:dyDescent="0.25">
      <c r="D225" s="69"/>
      <c r="E225" s="34"/>
      <c r="F225" s="34"/>
      <c r="H225" s="35"/>
      <c r="I225" s="36"/>
      <c r="J225" s="37"/>
      <c r="K225" s="38"/>
      <c r="L225" s="29"/>
      <c r="M225" s="29"/>
      <c r="N225" s="29"/>
      <c r="O225" s="39"/>
      <c r="P225" s="40">
        <f t="shared" si="12"/>
        <v>0</v>
      </c>
      <c r="Q225" s="40">
        <f t="shared" si="14"/>
        <v>0</v>
      </c>
      <c r="R225" s="40">
        <f t="shared" si="15"/>
        <v>0</v>
      </c>
      <c r="S225" s="41"/>
      <c r="T225" s="41"/>
      <c r="U225" s="41"/>
      <c r="V225" s="41"/>
      <c r="W225" s="41"/>
      <c r="X225" s="41"/>
      <c r="Y225" s="33">
        <f t="shared" si="13"/>
        <v>0</v>
      </c>
    </row>
    <row r="226" spans="4:25" x14ac:dyDescent="0.25">
      <c r="D226" s="69"/>
      <c r="E226" s="34"/>
      <c r="F226" s="34"/>
      <c r="H226" s="35"/>
      <c r="I226" s="36"/>
      <c r="J226" s="37"/>
      <c r="K226" s="38"/>
      <c r="L226" s="29"/>
      <c r="M226" s="29"/>
      <c r="N226" s="29"/>
      <c r="O226" s="39"/>
      <c r="P226" s="40">
        <f t="shared" si="12"/>
        <v>0</v>
      </c>
      <c r="Q226" s="40">
        <f t="shared" si="14"/>
        <v>0</v>
      </c>
      <c r="R226" s="40">
        <f t="shared" si="15"/>
        <v>0</v>
      </c>
      <c r="S226" s="41"/>
      <c r="T226" s="41"/>
      <c r="U226" s="41"/>
      <c r="V226" s="41"/>
      <c r="W226" s="41"/>
      <c r="X226" s="41"/>
      <c r="Y226" s="33">
        <f t="shared" si="13"/>
        <v>0</v>
      </c>
    </row>
    <row r="227" spans="4:25" x14ac:dyDescent="0.25">
      <c r="D227" s="69"/>
      <c r="E227" s="34"/>
      <c r="F227" s="34"/>
      <c r="H227" s="35"/>
      <c r="I227" s="36"/>
      <c r="J227" s="37"/>
      <c r="K227" s="38"/>
      <c r="L227" s="29"/>
      <c r="M227" s="29"/>
      <c r="N227" s="29"/>
      <c r="O227" s="39"/>
      <c r="P227" s="40">
        <f t="shared" si="12"/>
        <v>0</v>
      </c>
      <c r="Q227" s="40">
        <f t="shared" si="14"/>
        <v>0</v>
      </c>
      <c r="R227" s="40">
        <f t="shared" si="15"/>
        <v>0</v>
      </c>
      <c r="S227" s="41"/>
      <c r="T227" s="41"/>
      <c r="U227" s="41"/>
      <c r="V227" s="41"/>
      <c r="W227" s="41"/>
      <c r="X227" s="41"/>
      <c r="Y227" s="33">
        <f t="shared" si="13"/>
        <v>0</v>
      </c>
    </row>
    <row r="228" spans="4:25" x14ac:dyDescent="0.25">
      <c r="D228" s="69"/>
      <c r="E228" s="34"/>
      <c r="F228" s="34"/>
      <c r="H228" s="35"/>
      <c r="I228" s="36"/>
      <c r="J228" s="37"/>
      <c r="K228" s="38"/>
      <c r="L228" s="29"/>
      <c r="M228" s="29"/>
      <c r="N228" s="29"/>
      <c r="O228" s="39"/>
      <c r="P228" s="40">
        <f t="shared" si="12"/>
        <v>0</v>
      </c>
      <c r="Q228" s="40">
        <f t="shared" si="14"/>
        <v>0</v>
      </c>
      <c r="R228" s="40">
        <f t="shared" si="15"/>
        <v>0</v>
      </c>
      <c r="S228" s="41"/>
      <c r="T228" s="41"/>
      <c r="U228" s="41"/>
      <c r="V228" s="41"/>
      <c r="W228" s="41"/>
      <c r="X228" s="41"/>
      <c r="Y228" s="33">
        <f t="shared" si="13"/>
        <v>0</v>
      </c>
    </row>
    <row r="229" spans="4:25" x14ac:dyDescent="0.25">
      <c r="D229" s="69"/>
      <c r="E229" s="34"/>
      <c r="F229" s="34"/>
      <c r="H229" s="35"/>
      <c r="I229" s="36"/>
      <c r="J229" s="37"/>
      <c r="K229" s="38"/>
      <c r="L229" s="29"/>
      <c r="M229" s="29"/>
      <c r="N229" s="29"/>
      <c r="O229" s="39"/>
      <c r="P229" s="40">
        <f t="shared" si="12"/>
        <v>0</v>
      </c>
      <c r="Q229" s="40">
        <f t="shared" si="14"/>
        <v>0</v>
      </c>
      <c r="R229" s="40">
        <f t="shared" si="15"/>
        <v>0</v>
      </c>
      <c r="S229" s="41"/>
      <c r="T229" s="41"/>
      <c r="U229" s="41"/>
      <c r="V229" s="41"/>
      <c r="W229" s="41"/>
      <c r="X229" s="41"/>
      <c r="Y229" s="33">
        <f t="shared" si="13"/>
        <v>0</v>
      </c>
    </row>
    <row r="230" spans="4:25" x14ac:dyDescent="0.25">
      <c r="D230" s="69"/>
      <c r="E230" s="34"/>
      <c r="F230" s="34"/>
      <c r="H230" s="35"/>
      <c r="I230" s="36"/>
      <c r="J230" s="37"/>
      <c r="K230" s="38"/>
      <c r="L230" s="29"/>
      <c r="M230" s="29"/>
      <c r="N230" s="29"/>
      <c r="O230" s="39"/>
      <c r="P230" s="40">
        <f t="shared" si="12"/>
        <v>0</v>
      </c>
      <c r="Q230" s="40">
        <f t="shared" si="14"/>
        <v>0</v>
      </c>
      <c r="R230" s="40">
        <f t="shared" si="15"/>
        <v>0</v>
      </c>
      <c r="S230" s="41"/>
      <c r="T230" s="41"/>
      <c r="U230" s="41"/>
      <c r="V230" s="41"/>
      <c r="W230" s="41"/>
      <c r="X230" s="41"/>
      <c r="Y230" s="33">
        <f t="shared" si="13"/>
        <v>0</v>
      </c>
    </row>
    <row r="231" spans="4:25" x14ac:dyDescent="0.25">
      <c r="D231" s="69"/>
      <c r="E231" s="34"/>
      <c r="F231" s="34"/>
      <c r="H231" s="35"/>
      <c r="I231" s="36"/>
      <c r="J231" s="37"/>
      <c r="K231" s="38"/>
      <c r="L231" s="29"/>
      <c r="M231" s="29"/>
      <c r="N231" s="29"/>
      <c r="O231" s="39"/>
      <c r="P231" s="40">
        <f t="shared" si="12"/>
        <v>0</v>
      </c>
      <c r="Q231" s="40">
        <f t="shared" si="14"/>
        <v>0</v>
      </c>
      <c r="R231" s="40">
        <f t="shared" si="15"/>
        <v>0</v>
      </c>
      <c r="S231" s="41"/>
      <c r="T231" s="41"/>
      <c r="U231" s="41"/>
      <c r="V231" s="41"/>
      <c r="W231" s="41"/>
      <c r="X231" s="41"/>
      <c r="Y231" s="33">
        <f t="shared" si="13"/>
        <v>0</v>
      </c>
    </row>
    <row r="232" spans="4:25" x14ac:dyDescent="0.25">
      <c r="D232" s="69"/>
      <c r="E232" s="34"/>
      <c r="F232" s="34"/>
      <c r="H232" s="35"/>
      <c r="I232" s="36"/>
      <c r="J232" s="37"/>
      <c r="K232" s="38"/>
      <c r="L232" s="29"/>
      <c r="M232" s="29"/>
      <c r="N232" s="29"/>
      <c r="O232" s="39"/>
      <c r="P232" s="40">
        <f t="shared" si="12"/>
        <v>0</v>
      </c>
      <c r="Q232" s="40">
        <f t="shared" si="14"/>
        <v>0</v>
      </c>
      <c r="R232" s="40">
        <f t="shared" si="15"/>
        <v>0</v>
      </c>
      <c r="S232" s="41"/>
      <c r="T232" s="41"/>
      <c r="U232" s="41"/>
      <c r="V232" s="41"/>
      <c r="W232" s="41"/>
      <c r="X232" s="41"/>
      <c r="Y232" s="33">
        <f t="shared" si="13"/>
        <v>0</v>
      </c>
    </row>
    <row r="233" spans="4:25" x14ac:dyDescent="0.25">
      <c r="D233" s="69"/>
      <c r="E233" s="34"/>
      <c r="F233" s="34"/>
      <c r="H233" s="35"/>
      <c r="I233" s="36"/>
      <c r="J233" s="37"/>
      <c r="K233" s="38"/>
      <c r="L233" s="29"/>
      <c r="M233" s="29"/>
      <c r="N233" s="29"/>
      <c r="O233" s="39"/>
      <c r="P233" s="40">
        <f t="shared" si="12"/>
        <v>0</v>
      </c>
      <c r="Q233" s="40">
        <f t="shared" si="14"/>
        <v>0</v>
      </c>
      <c r="R233" s="40">
        <f t="shared" si="15"/>
        <v>0</v>
      </c>
      <c r="S233" s="41"/>
      <c r="T233" s="41"/>
      <c r="U233" s="41"/>
      <c r="V233" s="41"/>
      <c r="W233" s="41"/>
      <c r="X233" s="41"/>
      <c r="Y233" s="33">
        <f t="shared" si="13"/>
        <v>0</v>
      </c>
    </row>
    <row r="234" spans="4:25" x14ac:dyDescent="0.25">
      <c r="D234" s="69"/>
      <c r="E234" s="34"/>
      <c r="F234" s="34"/>
      <c r="H234" s="35"/>
      <c r="I234" s="36"/>
      <c r="J234" s="37"/>
      <c r="K234" s="38"/>
      <c r="L234" s="29"/>
      <c r="M234" s="29"/>
      <c r="N234" s="29"/>
      <c r="O234" s="39"/>
      <c r="P234" s="40">
        <f t="shared" si="12"/>
        <v>0</v>
      </c>
      <c r="Q234" s="40">
        <f t="shared" si="14"/>
        <v>0</v>
      </c>
      <c r="R234" s="40">
        <f t="shared" si="15"/>
        <v>0</v>
      </c>
      <c r="S234" s="41"/>
      <c r="T234" s="41"/>
      <c r="U234" s="41"/>
      <c r="V234" s="41"/>
      <c r="W234" s="41"/>
      <c r="X234" s="41"/>
      <c r="Y234" s="33">
        <f t="shared" si="13"/>
        <v>0</v>
      </c>
    </row>
    <row r="235" spans="4:25" x14ac:dyDescent="0.25">
      <c r="D235" s="69"/>
      <c r="E235" s="34"/>
      <c r="F235" s="34"/>
      <c r="H235" s="35"/>
      <c r="I235" s="36"/>
      <c r="J235" s="37"/>
      <c r="K235" s="38"/>
      <c r="L235" s="29"/>
      <c r="M235" s="29"/>
      <c r="N235" s="29"/>
      <c r="O235" s="39"/>
      <c r="P235" s="40">
        <f t="shared" si="12"/>
        <v>0</v>
      </c>
      <c r="Q235" s="40">
        <f t="shared" si="14"/>
        <v>0</v>
      </c>
      <c r="R235" s="40">
        <f t="shared" si="15"/>
        <v>0</v>
      </c>
      <c r="S235" s="41"/>
      <c r="T235" s="41"/>
      <c r="U235" s="41"/>
      <c r="V235" s="41"/>
      <c r="W235" s="41"/>
      <c r="X235" s="41"/>
      <c r="Y235" s="33">
        <f t="shared" si="13"/>
        <v>0</v>
      </c>
    </row>
    <row r="236" spans="4:25" x14ac:dyDescent="0.25">
      <c r="D236" s="69"/>
      <c r="E236" s="34"/>
      <c r="F236" s="34"/>
      <c r="H236" s="35"/>
      <c r="I236" s="36"/>
      <c r="J236" s="37"/>
      <c r="K236" s="38"/>
      <c r="L236" s="29"/>
      <c r="M236" s="29"/>
      <c r="N236" s="29"/>
      <c r="O236" s="39"/>
      <c r="P236" s="40">
        <f t="shared" si="12"/>
        <v>0</v>
      </c>
      <c r="Q236" s="40">
        <f t="shared" si="14"/>
        <v>0</v>
      </c>
      <c r="R236" s="40">
        <f t="shared" si="15"/>
        <v>0</v>
      </c>
      <c r="S236" s="41"/>
      <c r="T236" s="41"/>
      <c r="U236" s="41"/>
      <c r="V236" s="41"/>
      <c r="W236" s="41"/>
      <c r="X236" s="41"/>
      <c r="Y236" s="33">
        <f t="shared" si="13"/>
        <v>0</v>
      </c>
    </row>
    <row r="237" spans="4:25" x14ac:dyDescent="0.25">
      <c r="D237" s="69"/>
      <c r="E237" s="34"/>
      <c r="F237" s="34"/>
      <c r="H237" s="35"/>
      <c r="I237" s="36"/>
      <c r="J237" s="37"/>
      <c r="K237" s="38"/>
      <c r="L237" s="29"/>
      <c r="M237" s="29"/>
      <c r="N237" s="29"/>
      <c r="O237" s="39"/>
      <c r="P237" s="40">
        <f t="shared" si="12"/>
        <v>0</v>
      </c>
      <c r="Q237" s="40">
        <f t="shared" si="14"/>
        <v>0</v>
      </c>
      <c r="R237" s="40">
        <f t="shared" si="15"/>
        <v>0</v>
      </c>
      <c r="S237" s="41"/>
      <c r="T237" s="41"/>
      <c r="U237" s="41"/>
      <c r="V237" s="41"/>
      <c r="W237" s="41"/>
      <c r="X237" s="41"/>
      <c r="Y237" s="33">
        <f t="shared" si="13"/>
        <v>0</v>
      </c>
    </row>
    <row r="238" spans="4:25" x14ac:dyDescent="0.25">
      <c r="D238" s="69"/>
      <c r="E238" s="34"/>
      <c r="F238" s="34"/>
      <c r="H238" s="35"/>
      <c r="I238" s="36"/>
      <c r="J238" s="37"/>
      <c r="K238" s="38"/>
      <c r="L238" s="29"/>
      <c r="M238" s="29"/>
      <c r="N238" s="29"/>
      <c r="O238" s="39"/>
      <c r="P238" s="40">
        <f t="shared" si="12"/>
        <v>0</v>
      </c>
      <c r="Q238" s="40">
        <f t="shared" si="14"/>
        <v>0</v>
      </c>
      <c r="R238" s="40">
        <f t="shared" si="15"/>
        <v>0</v>
      </c>
      <c r="S238" s="41"/>
      <c r="T238" s="41"/>
      <c r="U238" s="41"/>
      <c r="V238" s="41"/>
      <c r="W238" s="41"/>
      <c r="X238" s="41"/>
      <c r="Y238" s="33">
        <f t="shared" si="13"/>
        <v>0</v>
      </c>
    </row>
    <row r="239" spans="4:25" x14ac:dyDescent="0.25">
      <c r="D239" s="69"/>
      <c r="E239" s="34"/>
      <c r="F239" s="34"/>
      <c r="H239" s="35"/>
      <c r="I239" s="36"/>
      <c r="J239" s="37"/>
      <c r="K239" s="38"/>
      <c r="L239" s="29"/>
      <c r="M239" s="29"/>
      <c r="N239" s="29"/>
      <c r="O239" s="39"/>
      <c r="P239" s="40">
        <f t="shared" si="12"/>
        <v>0</v>
      </c>
      <c r="Q239" s="40">
        <f t="shared" si="14"/>
        <v>0</v>
      </c>
      <c r="R239" s="40">
        <f t="shared" si="15"/>
        <v>0</v>
      </c>
      <c r="S239" s="41"/>
      <c r="T239" s="41"/>
      <c r="U239" s="41"/>
      <c r="V239" s="41"/>
      <c r="W239" s="41"/>
      <c r="X239" s="41"/>
      <c r="Y239" s="33">
        <f t="shared" si="13"/>
        <v>0</v>
      </c>
    </row>
    <row r="240" spans="4:25" x14ac:dyDescent="0.25">
      <c r="D240" s="69"/>
      <c r="E240" s="34"/>
      <c r="F240" s="34"/>
      <c r="H240" s="35"/>
      <c r="I240" s="36"/>
      <c r="J240" s="37"/>
      <c r="K240" s="38"/>
      <c r="L240" s="29"/>
      <c r="M240" s="29"/>
      <c r="N240" s="29"/>
      <c r="O240" s="39"/>
      <c r="P240" s="40">
        <f t="shared" si="12"/>
        <v>0</v>
      </c>
      <c r="Q240" s="40">
        <f t="shared" si="14"/>
        <v>0</v>
      </c>
      <c r="R240" s="40">
        <f t="shared" si="15"/>
        <v>0</v>
      </c>
      <c r="S240" s="41"/>
      <c r="T240" s="41"/>
      <c r="U240" s="41"/>
      <c r="V240" s="41"/>
      <c r="W240" s="41"/>
      <c r="X240" s="41"/>
      <c r="Y240" s="33">
        <f t="shared" si="13"/>
        <v>0</v>
      </c>
    </row>
    <row r="241" spans="4:25" x14ac:dyDescent="0.25">
      <c r="D241" s="69"/>
      <c r="E241" s="34"/>
      <c r="F241" s="34"/>
      <c r="H241" s="35"/>
      <c r="I241" s="36"/>
      <c r="J241" s="37"/>
      <c r="K241" s="38"/>
      <c r="L241" s="29"/>
      <c r="M241" s="29"/>
      <c r="N241" s="29"/>
      <c r="O241" s="39"/>
      <c r="P241" s="40">
        <f t="shared" si="12"/>
        <v>0</v>
      </c>
      <c r="Q241" s="40">
        <f t="shared" si="14"/>
        <v>0</v>
      </c>
      <c r="R241" s="40">
        <f t="shared" si="15"/>
        <v>0</v>
      </c>
      <c r="S241" s="41"/>
      <c r="T241" s="41"/>
      <c r="U241" s="41"/>
      <c r="V241" s="41"/>
      <c r="W241" s="41"/>
      <c r="X241" s="41"/>
      <c r="Y241" s="33">
        <f t="shared" si="13"/>
        <v>0</v>
      </c>
    </row>
    <row r="242" spans="4:25" x14ac:dyDescent="0.25">
      <c r="D242" s="69"/>
      <c r="E242" s="34"/>
      <c r="F242" s="34"/>
      <c r="H242" s="35"/>
      <c r="I242" s="36"/>
      <c r="J242" s="37"/>
      <c r="K242" s="38"/>
      <c r="L242" s="29"/>
      <c r="M242" s="29"/>
      <c r="N242" s="29"/>
      <c r="O242" s="39"/>
      <c r="P242" s="40">
        <f t="shared" si="12"/>
        <v>0</v>
      </c>
      <c r="Q242" s="40">
        <f t="shared" si="14"/>
        <v>0</v>
      </c>
      <c r="R242" s="40">
        <f t="shared" si="15"/>
        <v>0</v>
      </c>
      <c r="S242" s="41"/>
      <c r="T242" s="41"/>
      <c r="U242" s="41"/>
      <c r="V242" s="41"/>
      <c r="W242" s="41"/>
      <c r="X242" s="41"/>
      <c r="Y242" s="33">
        <f t="shared" si="13"/>
        <v>0</v>
      </c>
    </row>
    <row r="243" spans="4:25" x14ac:dyDescent="0.25">
      <c r="D243" s="69"/>
      <c r="E243" s="34"/>
      <c r="F243" s="34"/>
      <c r="H243" s="35"/>
      <c r="I243" s="36"/>
      <c r="J243" s="37"/>
      <c r="K243" s="38"/>
      <c r="L243" s="29"/>
      <c r="M243" s="29"/>
      <c r="N243" s="29"/>
      <c r="O243" s="39"/>
      <c r="P243" s="40">
        <f t="shared" si="12"/>
        <v>0</v>
      </c>
      <c r="Q243" s="40">
        <f t="shared" si="14"/>
        <v>0</v>
      </c>
      <c r="R243" s="40">
        <f t="shared" si="15"/>
        <v>0</v>
      </c>
      <c r="S243" s="41"/>
      <c r="T243" s="41"/>
      <c r="U243" s="41"/>
      <c r="V243" s="41"/>
      <c r="W243" s="41"/>
      <c r="X243" s="41"/>
      <c r="Y243" s="33">
        <f t="shared" si="13"/>
        <v>0</v>
      </c>
    </row>
    <row r="244" spans="4:25" x14ac:dyDescent="0.25">
      <c r="D244" s="69"/>
      <c r="E244" s="34"/>
      <c r="F244" s="34"/>
      <c r="H244" s="35"/>
      <c r="I244" s="36"/>
      <c r="J244" s="37"/>
      <c r="K244" s="38"/>
      <c r="L244" s="29"/>
      <c r="M244" s="29"/>
      <c r="N244" s="29"/>
      <c r="O244" s="39"/>
      <c r="P244" s="40">
        <f t="shared" si="12"/>
        <v>0</v>
      </c>
      <c r="Q244" s="40">
        <f t="shared" si="14"/>
        <v>0</v>
      </c>
      <c r="R244" s="40">
        <f t="shared" si="15"/>
        <v>0</v>
      </c>
      <c r="S244" s="41"/>
      <c r="T244" s="41"/>
      <c r="U244" s="41"/>
      <c r="V244" s="41"/>
      <c r="W244" s="41"/>
      <c r="X244" s="41"/>
      <c r="Y244" s="33">
        <f t="shared" si="13"/>
        <v>0</v>
      </c>
    </row>
    <row r="245" spans="4:25" x14ac:dyDescent="0.25">
      <c r="D245" s="69"/>
      <c r="E245" s="34"/>
      <c r="F245" s="34"/>
      <c r="H245" s="35"/>
      <c r="I245" s="36"/>
      <c r="J245" s="37"/>
      <c r="K245" s="38"/>
      <c r="L245" s="29"/>
      <c r="M245" s="29"/>
      <c r="N245" s="29"/>
      <c r="O245" s="39"/>
      <c r="P245" s="40">
        <f t="shared" si="12"/>
        <v>0</v>
      </c>
      <c r="Q245" s="40">
        <f t="shared" si="14"/>
        <v>0</v>
      </c>
      <c r="R245" s="40">
        <f t="shared" si="15"/>
        <v>0</v>
      </c>
      <c r="S245" s="41"/>
      <c r="T245" s="41"/>
      <c r="U245" s="41"/>
      <c r="V245" s="41"/>
      <c r="W245" s="41"/>
      <c r="X245" s="41"/>
      <c r="Y245" s="33">
        <f t="shared" si="13"/>
        <v>0</v>
      </c>
    </row>
    <row r="246" spans="4:25" x14ac:dyDescent="0.25">
      <c r="D246" s="69"/>
      <c r="E246" s="34"/>
      <c r="F246" s="34"/>
      <c r="H246" s="35"/>
      <c r="I246" s="36"/>
      <c r="J246" s="37"/>
      <c r="K246" s="38"/>
      <c r="L246" s="29"/>
      <c r="M246" s="29"/>
      <c r="N246" s="29"/>
      <c r="O246" s="39"/>
      <c r="P246" s="40">
        <f t="shared" si="12"/>
        <v>0</v>
      </c>
      <c r="Q246" s="40">
        <f t="shared" si="14"/>
        <v>0</v>
      </c>
      <c r="R246" s="40">
        <f t="shared" si="15"/>
        <v>0</v>
      </c>
      <c r="S246" s="41"/>
      <c r="T246" s="41"/>
      <c r="U246" s="41"/>
      <c r="V246" s="41"/>
      <c r="W246" s="41"/>
      <c r="X246" s="41"/>
      <c r="Y246" s="33">
        <f t="shared" si="13"/>
        <v>0</v>
      </c>
    </row>
    <row r="247" spans="4:25" x14ac:dyDescent="0.25">
      <c r="D247" s="69"/>
      <c r="E247" s="34"/>
      <c r="F247" s="34"/>
      <c r="H247" s="35"/>
      <c r="I247" s="36"/>
      <c r="J247" s="37"/>
      <c r="K247" s="38"/>
      <c r="L247" s="29"/>
      <c r="M247" s="29"/>
      <c r="N247" s="29"/>
      <c r="O247" s="39"/>
      <c r="P247" s="40">
        <f t="shared" si="12"/>
        <v>0</v>
      </c>
      <c r="Q247" s="40">
        <f t="shared" si="14"/>
        <v>0</v>
      </c>
      <c r="R247" s="40">
        <f t="shared" si="15"/>
        <v>0</v>
      </c>
      <c r="S247" s="41"/>
      <c r="T247" s="41"/>
      <c r="U247" s="41"/>
      <c r="V247" s="41"/>
      <c r="W247" s="41"/>
      <c r="X247" s="41"/>
      <c r="Y247" s="33">
        <f t="shared" si="13"/>
        <v>0</v>
      </c>
    </row>
    <row r="248" spans="4:25" x14ac:dyDescent="0.25">
      <c r="D248" s="69"/>
      <c r="E248" s="34"/>
      <c r="F248" s="34"/>
      <c r="H248" s="35"/>
      <c r="I248" s="36"/>
      <c r="J248" s="37"/>
      <c r="K248" s="38"/>
      <c r="L248" s="29"/>
      <c r="M248" s="29"/>
      <c r="N248" s="29"/>
      <c r="O248" s="39"/>
      <c r="P248" s="40">
        <f t="shared" si="12"/>
        <v>0</v>
      </c>
      <c r="Q248" s="40">
        <f t="shared" si="14"/>
        <v>0</v>
      </c>
      <c r="R248" s="40">
        <f t="shared" si="15"/>
        <v>0</v>
      </c>
      <c r="S248" s="41"/>
      <c r="T248" s="41"/>
      <c r="U248" s="41"/>
      <c r="V248" s="41"/>
      <c r="W248" s="41"/>
      <c r="X248" s="41"/>
      <c r="Y248" s="33">
        <f t="shared" si="13"/>
        <v>0</v>
      </c>
    </row>
    <row r="249" spans="4:25" x14ac:dyDescent="0.25">
      <c r="D249" s="69"/>
      <c r="E249" s="34"/>
      <c r="F249" s="34"/>
      <c r="H249" s="35"/>
      <c r="I249" s="36"/>
      <c r="J249" s="37"/>
      <c r="K249" s="38"/>
      <c r="L249" s="29"/>
      <c r="M249" s="29"/>
      <c r="N249" s="29"/>
      <c r="O249" s="39"/>
      <c r="P249" s="40">
        <f t="shared" si="12"/>
        <v>0</v>
      </c>
      <c r="Q249" s="40">
        <f t="shared" si="14"/>
        <v>0</v>
      </c>
      <c r="R249" s="40">
        <f t="shared" si="15"/>
        <v>0</v>
      </c>
      <c r="S249" s="41"/>
      <c r="T249" s="41"/>
      <c r="U249" s="41"/>
      <c r="V249" s="41"/>
      <c r="W249" s="41"/>
      <c r="X249" s="41"/>
      <c r="Y249" s="33">
        <f t="shared" si="13"/>
        <v>0</v>
      </c>
    </row>
    <row r="250" spans="4:25" x14ac:dyDescent="0.25">
      <c r="D250" s="69"/>
      <c r="E250" s="34"/>
      <c r="F250" s="34"/>
      <c r="H250" s="35"/>
      <c r="I250" s="36"/>
      <c r="J250" s="37"/>
      <c r="K250" s="38"/>
      <c r="L250" s="29"/>
      <c r="M250" s="29"/>
      <c r="N250" s="29"/>
      <c r="O250" s="39"/>
      <c r="P250" s="40">
        <f t="shared" si="12"/>
        <v>0</v>
      </c>
      <c r="Q250" s="40">
        <f t="shared" si="14"/>
        <v>0</v>
      </c>
      <c r="R250" s="40">
        <f t="shared" si="15"/>
        <v>0</v>
      </c>
      <c r="S250" s="41"/>
      <c r="T250" s="41"/>
      <c r="U250" s="41"/>
      <c r="V250" s="41"/>
      <c r="W250" s="41"/>
      <c r="X250" s="41"/>
      <c r="Y250" s="33">
        <f t="shared" si="13"/>
        <v>0</v>
      </c>
    </row>
    <row r="251" spans="4:25" x14ac:dyDescent="0.25">
      <c r="D251" s="69"/>
      <c r="E251" s="34"/>
      <c r="F251" s="34"/>
      <c r="H251" s="35"/>
      <c r="I251" s="36"/>
      <c r="J251" s="37"/>
      <c r="K251" s="38"/>
      <c r="L251" s="29"/>
      <c r="M251" s="29"/>
      <c r="N251" s="29"/>
      <c r="O251" s="39"/>
      <c r="P251" s="40">
        <f t="shared" si="12"/>
        <v>0</v>
      </c>
      <c r="Q251" s="40">
        <f t="shared" si="14"/>
        <v>0</v>
      </c>
      <c r="R251" s="40">
        <f t="shared" si="15"/>
        <v>0</v>
      </c>
      <c r="S251" s="41"/>
      <c r="T251" s="41"/>
      <c r="U251" s="41"/>
      <c r="V251" s="41"/>
      <c r="W251" s="41"/>
      <c r="X251" s="41"/>
      <c r="Y251" s="33">
        <f t="shared" si="13"/>
        <v>0</v>
      </c>
    </row>
    <row r="252" spans="4:25" x14ac:dyDescent="0.25">
      <c r="D252" s="69"/>
      <c r="E252" s="34"/>
      <c r="F252" s="34"/>
      <c r="H252" s="35"/>
      <c r="I252" s="36"/>
      <c r="J252" s="37"/>
      <c r="K252" s="38"/>
      <c r="L252" s="29"/>
      <c r="M252" s="29"/>
      <c r="N252" s="29"/>
      <c r="O252" s="39"/>
      <c r="P252" s="40">
        <f t="shared" si="12"/>
        <v>0</v>
      </c>
      <c r="Q252" s="40">
        <f t="shared" si="14"/>
        <v>0</v>
      </c>
      <c r="R252" s="40">
        <f t="shared" si="15"/>
        <v>0</v>
      </c>
      <c r="S252" s="41"/>
      <c r="T252" s="41"/>
      <c r="U252" s="41"/>
      <c r="V252" s="41"/>
      <c r="W252" s="41"/>
      <c r="X252" s="41"/>
      <c r="Y252" s="33">
        <f t="shared" si="13"/>
        <v>0</v>
      </c>
    </row>
    <row r="253" spans="4:25" x14ac:dyDescent="0.25">
      <c r="D253" s="69"/>
      <c r="E253" s="34"/>
      <c r="F253" s="34"/>
      <c r="H253" s="35"/>
      <c r="I253" s="36"/>
      <c r="J253" s="37"/>
      <c r="K253" s="38"/>
      <c r="L253" s="29"/>
      <c r="M253" s="29"/>
      <c r="N253" s="29"/>
      <c r="O253" s="39"/>
      <c r="P253" s="40">
        <f t="shared" si="12"/>
        <v>0</v>
      </c>
      <c r="Q253" s="40">
        <f t="shared" si="14"/>
        <v>0</v>
      </c>
      <c r="R253" s="40">
        <f t="shared" si="15"/>
        <v>0</v>
      </c>
      <c r="S253" s="41"/>
      <c r="T253" s="41"/>
      <c r="U253" s="41"/>
      <c r="V253" s="41"/>
      <c r="W253" s="41"/>
      <c r="X253" s="41"/>
      <c r="Y253" s="33">
        <f t="shared" si="13"/>
        <v>0</v>
      </c>
    </row>
    <row r="254" spans="4:25" x14ac:dyDescent="0.25">
      <c r="D254" s="69"/>
      <c r="E254" s="34"/>
      <c r="F254" s="34"/>
      <c r="H254" s="35"/>
      <c r="I254" s="36"/>
      <c r="J254" s="37"/>
      <c r="K254" s="38"/>
      <c r="L254" s="29"/>
      <c r="M254" s="29"/>
      <c r="N254" s="29"/>
      <c r="O254" s="39"/>
      <c r="P254" s="40">
        <f t="shared" si="12"/>
        <v>0</v>
      </c>
      <c r="Q254" s="40">
        <f t="shared" si="14"/>
        <v>0</v>
      </c>
      <c r="R254" s="40">
        <f t="shared" si="15"/>
        <v>0</v>
      </c>
      <c r="S254" s="41"/>
      <c r="T254" s="41"/>
      <c r="U254" s="41"/>
      <c r="V254" s="41"/>
      <c r="W254" s="41"/>
      <c r="X254" s="41"/>
      <c r="Y254" s="33">
        <f t="shared" si="13"/>
        <v>0</v>
      </c>
    </row>
    <row r="255" spans="4:25" x14ac:dyDescent="0.25">
      <c r="D255" s="69"/>
      <c r="E255" s="34"/>
      <c r="F255" s="34"/>
      <c r="H255" s="35"/>
      <c r="I255" s="36"/>
      <c r="J255" s="37"/>
      <c r="K255" s="38"/>
      <c r="L255" s="29"/>
      <c r="M255" s="29"/>
      <c r="N255" s="29"/>
      <c r="O255" s="39"/>
      <c r="P255" s="40">
        <f t="shared" si="12"/>
        <v>0</v>
      </c>
      <c r="Q255" s="40">
        <f t="shared" si="14"/>
        <v>0</v>
      </c>
      <c r="R255" s="40">
        <f t="shared" si="15"/>
        <v>0</v>
      </c>
      <c r="S255" s="41"/>
      <c r="T255" s="41"/>
      <c r="U255" s="41"/>
      <c r="V255" s="41"/>
      <c r="W255" s="41"/>
      <c r="X255" s="41"/>
      <c r="Y255" s="33">
        <f t="shared" si="13"/>
        <v>0</v>
      </c>
    </row>
    <row r="256" spans="4:25" x14ac:dyDescent="0.25">
      <c r="D256" s="69"/>
      <c r="E256" s="34"/>
      <c r="F256" s="34"/>
      <c r="H256" s="35"/>
      <c r="I256" s="36"/>
      <c r="J256" s="37"/>
      <c r="K256" s="38"/>
      <c r="L256" s="29"/>
      <c r="M256" s="29"/>
      <c r="N256" s="29"/>
      <c r="O256" s="39"/>
      <c r="P256" s="40">
        <f t="shared" si="12"/>
        <v>0</v>
      </c>
      <c r="Q256" s="40">
        <f t="shared" si="14"/>
        <v>0</v>
      </c>
      <c r="R256" s="40">
        <f t="shared" si="15"/>
        <v>0</v>
      </c>
      <c r="S256" s="41"/>
      <c r="T256" s="41"/>
      <c r="U256" s="41"/>
      <c r="V256" s="41"/>
      <c r="W256" s="41"/>
      <c r="X256" s="41"/>
      <c r="Y256" s="33">
        <f t="shared" si="13"/>
        <v>0</v>
      </c>
    </row>
    <row r="257" spans="4:25" x14ac:dyDescent="0.25">
      <c r="D257" s="69"/>
      <c r="E257" s="34"/>
      <c r="F257" s="34"/>
      <c r="H257" s="35"/>
      <c r="I257" s="36"/>
      <c r="J257" s="37"/>
      <c r="K257" s="38"/>
      <c r="L257" s="29"/>
      <c r="M257" s="29"/>
      <c r="N257" s="29"/>
      <c r="O257" s="39"/>
      <c r="P257" s="40">
        <f t="shared" si="12"/>
        <v>0</v>
      </c>
      <c r="Q257" s="40">
        <f t="shared" si="14"/>
        <v>0</v>
      </c>
      <c r="R257" s="40">
        <f t="shared" si="15"/>
        <v>0</v>
      </c>
      <c r="S257" s="41"/>
      <c r="T257" s="41"/>
      <c r="U257" s="41"/>
      <c r="V257" s="41"/>
      <c r="W257" s="41"/>
      <c r="X257" s="41"/>
      <c r="Y257" s="33">
        <f t="shared" si="13"/>
        <v>0</v>
      </c>
    </row>
    <row r="258" spans="4:25" x14ac:dyDescent="0.25">
      <c r="D258" s="69"/>
      <c r="E258" s="34"/>
      <c r="F258" s="34"/>
      <c r="H258" s="35"/>
      <c r="I258" s="36"/>
      <c r="J258" s="37"/>
      <c r="K258" s="38"/>
      <c r="L258" s="29"/>
      <c r="M258" s="29"/>
      <c r="N258" s="29"/>
      <c r="O258" s="39"/>
      <c r="P258" s="40">
        <f t="shared" si="12"/>
        <v>0</v>
      </c>
      <c r="Q258" s="40">
        <f t="shared" si="14"/>
        <v>0</v>
      </c>
      <c r="R258" s="40">
        <f t="shared" si="15"/>
        <v>0</v>
      </c>
      <c r="S258" s="41"/>
      <c r="T258" s="41"/>
      <c r="U258" s="41"/>
      <c r="V258" s="41"/>
      <c r="W258" s="41"/>
      <c r="X258" s="41"/>
      <c r="Y258" s="33">
        <f t="shared" si="13"/>
        <v>0</v>
      </c>
    </row>
    <row r="259" spans="4:25" x14ac:dyDescent="0.25">
      <c r="D259" s="69"/>
      <c r="E259" s="34"/>
      <c r="F259" s="34"/>
      <c r="H259" s="35"/>
      <c r="I259" s="36"/>
      <c r="J259" s="37"/>
      <c r="K259" s="38"/>
      <c r="L259" s="29"/>
      <c r="M259" s="29"/>
      <c r="N259" s="29"/>
      <c r="O259" s="39"/>
      <c r="P259" s="40">
        <f t="shared" ref="P259:P302" si="16">$L259*$O259</f>
        <v>0</v>
      </c>
      <c r="Q259" s="40">
        <f t="shared" si="14"/>
        <v>0</v>
      </c>
      <c r="R259" s="40">
        <f t="shared" si="15"/>
        <v>0</v>
      </c>
      <c r="S259" s="41"/>
      <c r="T259" s="41"/>
      <c r="U259" s="41"/>
      <c r="V259" s="41"/>
      <c r="W259" s="41"/>
      <c r="X259" s="41"/>
      <c r="Y259" s="33">
        <f t="shared" ref="Y259:Y302" si="17">SUM(R259:X259)</f>
        <v>0</v>
      </c>
    </row>
    <row r="260" spans="4:25" x14ac:dyDescent="0.25">
      <c r="D260" s="69"/>
      <c r="E260" s="34"/>
      <c r="F260" s="34"/>
      <c r="H260" s="35"/>
      <c r="I260" s="36"/>
      <c r="J260" s="37"/>
      <c r="K260" s="38"/>
      <c r="L260" s="29"/>
      <c r="M260" s="29"/>
      <c r="N260" s="29"/>
      <c r="O260" s="39"/>
      <c r="P260" s="40">
        <f t="shared" si="16"/>
        <v>0</v>
      </c>
      <c r="Q260" s="40">
        <f t="shared" ref="Q260:Q302" si="18">IF(E260="NE",(M260*O260*1.5),(M260*O260))</f>
        <v>0</v>
      </c>
      <c r="R260" s="40">
        <f t="shared" ref="R260:R302" si="19">P260+Q260</f>
        <v>0</v>
      </c>
      <c r="S260" s="41"/>
      <c r="T260" s="41"/>
      <c r="U260" s="41"/>
      <c r="V260" s="41"/>
      <c r="W260" s="41"/>
      <c r="X260" s="41"/>
      <c r="Y260" s="33">
        <f t="shared" si="17"/>
        <v>0</v>
      </c>
    </row>
    <row r="261" spans="4:25" x14ac:dyDescent="0.25">
      <c r="D261" s="69"/>
      <c r="E261" s="34"/>
      <c r="F261" s="34"/>
      <c r="H261" s="35"/>
      <c r="I261" s="36"/>
      <c r="J261" s="37"/>
      <c r="K261" s="38"/>
      <c r="L261" s="29"/>
      <c r="M261" s="29"/>
      <c r="N261" s="29"/>
      <c r="O261" s="39"/>
      <c r="P261" s="40">
        <f t="shared" si="16"/>
        <v>0</v>
      </c>
      <c r="Q261" s="40">
        <f t="shared" si="18"/>
        <v>0</v>
      </c>
      <c r="R261" s="40">
        <f t="shared" si="19"/>
        <v>0</v>
      </c>
      <c r="S261" s="41"/>
      <c r="T261" s="41"/>
      <c r="U261" s="41"/>
      <c r="V261" s="41"/>
      <c r="W261" s="41"/>
      <c r="X261" s="41"/>
      <c r="Y261" s="33">
        <f t="shared" si="17"/>
        <v>0</v>
      </c>
    </row>
    <row r="262" spans="4:25" x14ac:dyDescent="0.25">
      <c r="D262" s="69"/>
      <c r="E262" s="34"/>
      <c r="F262" s="34"/>
      <c r="G262" s="38"/>
      <c r="H262" s="35"/>
      <c r="I262" s="36"/>
      <c r="J262" s="37"/>
      <c r="K262" s="38"/>
      <c r="L262" s="29"/>
      <c r="M262" s="29"/>
      <c r="N262" s="29"/>
      <c r="O262" s="39"/>
      <c r="P262" s="40">
        <f t="shared" si="16"/>
        <v>0</v>
      </c>
      <c r="Q262" s="40">
        <f t="shared" si="18"/>
        <v>0</v>
      </c>
      <c r="R262" s="40">
        <f t="shared" si="19"/>
        <v>0</v>
      </c>
      <c r="S262" s="41"/>
      <c r="T262" s="41"/>
      <c r="U262" s="41"/>
      <c r="V262" s="41"/>
      <c r="W262" s="41"/>
      <c r="X262" s="41"/>
      <c r="Y262" s="33">
        <f t="shared" si="17"/>
        <v>0</v>
      </c>
    </row>
    <row r="263" spans="4:25" x14ac:dyDescent="0.25">
      <c r="D263" s="69"/>
      <c r="E263" s="34"/>
      <c r="F263" s="34"/>
      <c r="G263" s="38"/>
      <c r="H263" s="35"/>
      <c r="I263" s="36"/>
      <c r="J263" s="37"/>
      <c r="K263" s="38"/>
      <c r="L263" s="29"/>
      <c r="M263" s="29"/>
      <c r="N263" s="29"/>
      <c r="O263" s="39"/>
      <c r="P263" s="40">
        <f t="shared" si="16"/>
        <v>0</v>
      </c>
      <c r="Q263" s="40">
        <f t="shared" si="18"/>
        <v>0</v>
      </c>
      <c r="R263" s="40">
        <f t="shared" si="19"/>
        <v>0</v>
      </c>
      <c r="S263" s="41"/>
      <c r="T263" s="41"/>
      <c r="U263" s="41"/>
      <c r="V263" s="41"/>
      <c r="W263" s="41"/>
      <c r="X263" s="41"/>
      <c r="Y263" s="33">
        <f t="shared" si="17"/>
        <v>0</v>
      </c>
    </row>
    <row r="264" spans="4:25" x14ac:dyDescent="0.25">
      <c r="D264" s="69"/>
      <c r="E264" s="34"/>
      <c r="F264" s="34"/>
      <c r="H264" s="35"/>
      <c r="I264" s="36"/>
      <c r="J264" s="37"/>
      <c r="K264" s="38"/>
      <c r="L264" s="29"/>
      <c r="M264" s="29"/>
      <c r="N264" s="29"/>
      <c r="O264" s="39"/>
      <c r="P264" s="40">
        <f t="shared" si="16"/>
        <v>0</v>
      </c>
      <c r="Q264" s="40">
        <f t="shared" si="18"/>
        <v>0</v>
      </c>
      <c r="R264" s="40">
        <f t="shared" si="19"/>
        <v>0</v>
      </c>
      <c r="S264" s="41"/>
      <c r="T264" s="41"/>
      <c r="U264" s="41"/>
      <c r="V264" s="41"/>
      <c r="W264" s="41"/>
      <c r="X264" s="41"/>
      <c r="Y264" s="33">
        <f t="shared" si="17"/>
        <v>0</v>
      </c>
    </row>
    <row r="265" spans="4:25" x14ac:dyDescent="0.25">
      <c r="D265" s="69"/>
      <c r="E265" s="34"/>
      <c r="F265" s="34"/>
      <c r="H265" s="35"/>
      <c r="I265" s="36"/>
      <c r="J265" s="37"/>
      <c r="K265" s="38"/>
      <c r="L265" s="29"/>
      <c r="M265" s="29"/>
      <c r="N265" s="29"/>
      <c r="O265" s="39"/>
      <c r="P265" s="40">
        <f t="shared" si="16"/>
        <v>0</v>
      </c>
      <c r="Q265" s="40">
        <f t="shared" si="18"/>
        <v>0</v>
      </c>
      <c r="R265" s="40">
        <f t="shared" si="19"/>
        <v>0</v>
      </c>
      <c r="S265" s="41"/>
      <c r="T265" s="41"/>
      <c r="U265" s="41"/>
      <c r="V265" s="41"/>
      <c r="W265" s="41"/>
      <c r="X265" s="41"/>
      <c r="Y265" s="33">
        <f t="shared" si="17"/>
        <v>0</v>
      </c>
    </row>
    <row r="266" spans="4:25" x14ac:dyDescent="0.25">
      <c r="D266" s="69"/>
      <c r="E266" s="34"/>
      <c r="F266" s="34"/>
      <c r="H266" s="35"/>
      <c r="I266" s="36"/>
      <c r="J266" s="37"/>
      <c r="K266" s="38"/>
      <c r="L266" s="29"/>
      <c r="M266" s="29"/>
      <c r="N266" s="29"/>
      <c r="O266" s="39"/>
      <c r="P266" s="40">
        <f t="shared" si="16"/>
        <v>0</v>
      </c>
      <c r="Q266" s="40">
        <f t="shared" si="18"/>
        <v>0</v>
      </c>
      <c r="R266" s="40">
        <f t="shared" si="19"/>
        <v>0</v>
      </c>
      <c r="S266" s="41"/>
      <c r="T266" s="41"/>
      <c r="U266" s="41"/>
      <c r="V266" s="41"/>
      <c r="W266" s="41"/>
      <c r="X266" s="41"/>
      <c r="Y266" s="33">
        <f t="shared" si="17"/>
        <v>0</v>
      </c>
    </row>
    <row r="267" spans="4:25" x14ac:dyDescent="0.25">
      <c r="D267" s="69"/>
      <c r="E267" s="34"/>
      <c r="F267" s="34"/>
      <c r="H267" s="35"/>
      <c r="I267" s="36"/>
      <c r="J267" s="37"/>
      <c r="K267" s="38"/>
      <c r="L267" s="29"/>
      <c r="M267" s="29"/>
      <c r="N267" s="29"/>
      <c r="O267" s="39"/>
      <c r="P267" s="40">
        <f t="shared" si="16"/>
        <v>0</v>
      </c>
      <c r="Q267" s="40">
        <f t="shared" si="18"/>
        <v>0</v>
      </c>
      <c r="R267" s="40">
        <f t="shared" si="19"/>
        <v>0</v>
      </c>
      <c r="S267" s="41"/>
      <c r="T267" s="41"/>
      <c r="U267" s="41"/>
      <c r="V267" s="41"/>
      <c r="W267" s="41"/>
      <c r="X267" s="41"/>
      <c r="Y267" s="33">
        <f t="shared" si="17"/>
        <v>0</v>
      </c>
    </row>
    <row r="268" spans="4:25" x14ac:dyDescent="0.25">
      <c r="D268" s="69"/>
      <c r="E268" s="34"/>
      <c r="F268" s="34"/>
      <c r="H268" s="35"/>
      <c r="I268" s="36"/>
      <c r="J268" s="37"/>
      <c r="K268" s="38"/>
      <c r="L268" s="29"/>
      <c r="M268" s="29"/>
      <c r="N268" s="29"/>
      <c r="O268" s="39"/>
      <c r="P268" s="40">
        <f t="shared" si="16"/>
        <v>0</v>
      </c>
      <c r="Q268" s="40">
        <f t="shared" si="18"/>
        <v>0</v>
      </c>
      <c r="R268" s="40">
        <f t="shared" si="19"/>
        <v>0</v>
      </c>
      <c r="S268" s="41"/>
      <c r="T268" s="41"/>
      <c r="U268" s="41"/>
      <c r="V268" s="41"/>
      <c r="W268" s="41"/>
      <c r="X268" s="41"/>
      <c r="Y268" s="33">
        <f t="shared" si="17"/>
        <v>0</v>
      </c>
    </row>
    <row r="269" spans="4:25" x14ac:dyDescent="0.25">
      <c r="D269" s="69"/>
      <c r="E269" s="34"/>
      <c r="F269" s="34"/>
      <c r="H269" s="35"/>
      <c r="I269" s="36"/>
      <c r="J269" s="37"/>
      <c r="K269" s="38"/>
      <c r="L269" s="29"/>
      <c r="M269" s="29"/>
      <c r="N269" s="29"/>
      <c r="O269" s="39"/>
      <c r="P269" s="40">
        <f t="shared" si="16"/>
        <v>0</v>
      </c>
      <c r="Q269" s="40">
        <f t="shared" si="18"/>
        <v>0</v>
      </c>
      <c r="R269" s="40">
        <f t="shared" si="19"/>
        <v>0</v>
      </c>
      <c r="S269" s="41"/>
      <c r="T269" s="41"/>
      <c r="U269" s="41"/>
      <c r="V269" s="41"/>
      <c r="W269" s="41"/>
      <c r="X269" s="41"/>
      <c r="Y269" s="33">
        <f t="shared" si="17"/>
        <v>0</v>
      </c>
    </row>
    <row r="270" spans="4:25" x14ac:dyDescent="0.25">
      <c r="D270" s="69"/>
      <c r="E270" s="34"/>
      <c r="F270" s="34"/>
      <c r="H270" s="35"/>
      <c r="I270" s="36"/>
      <c r="J270" s="37"/>
      <c r="K270" s="38"/>
      <c r="L270" s="29"/>
      <c r="M270" s="29"/>
      <c r="N270" s="29"/>
      <c r="O270" s="39"/>
      <c r="P270" s="40">
        <f t="shared" si="16"/>
        <v>0</v>
      </c>
      <c r="Q270" s="40">
        <f t="shared" si="18"/>
        <v>0</v>
      </c>
      <c r="R270" s="40">
        <f t="shared" si="19"/>
        <v>0</v>
      </c>
      <c r="S270" s="41"/>
      <c r="T270" s="41"/>
      <c r="U270" s="41"/>
      <c r="V270" s="41"/>
      <c r="W270" s="41"/>
      <c r="X270" s="41"/>
      <c r="Y270" s="33">
        <f t="shared" si="17"/>
        <v>0</v>
      </c>
    </row>
    <row r="271" spans="4:25" x14ac:dyDescent="0.25">
      <c r="D271" s="69"/>
      <c r="E271" s="34"/>
      <c r="F271" s="34"/>
      <c r="H271" s="35"/>
      <c r="I271" s="36"/>
      <c r="J271" s="37"/>
      <c r="K271" s="38"/>
      <c r="L271" s="29"/>
      <c r="M271" s="29"/>
      <c r="N271" s="29"/>
      <c r="O271" s="39"/>
      <c r="P271" s="40">
        <f t="shared" si="16"/>
        <v>0</v>
      </c>
      <c r="Q271" s="40">
        <f t="shared" si="18"/>
        <v>0</v>
      </c>
      <c r="R271" s="40">
        <f t="shared" si="19"/>
        <v>0</v>
      </c>
      <c r="S271" s="41"/>
      <c r="T271" s="41"/>
      <c r="U271" s="41"/>
      <c r="V271" s="41"/>
      <c r="W271" s="41"/>
      <c r="X271" s="41"/>
      <c r="Y271" s="33">
        <f t="shared" si="17"/>
        <v>0</v>
      </c>
    </row>
    <row r="272" spans="4:25" x14ac:dyDescent="0.25">
      <c r="D272" s="69"/>
      <c r="E272" s="34"/>
      <c r="F272" s="34"/>
      <c r="H272" s="35"/>
      <c r="I272" s="36"/>
      <c r="J272" s="37"/>
      <c r="K272" s="38"/>
      <c r="L272" s="29"/>
      <c r="M272" s="29"/>
      <c r="N272" s="29"/>
      <c r="O272" s="39"/>
      <c r="P272" s="40">
        <f t="shared" si="16"/>
        <v>0</v>
      </c>
      <c r="Q272" s="40">
        <f t="shared" si="18"/>
        <v>0</v>
      </c>
      <c r="R272" s="40">
        <f t="shared" si="19"/>
        <v>0</v>
      </c>
      <c r="S272" s="41"/>
      <c r="T272" s="41"/>
      <c r="U272" s="41"/>
      <c r="V272" s="41"/>
      <c r="W272" s="41"/>
      <c r="X272" s="41"/>
      <c r="Y272" s="33">
        <f t="shared" si="17"/>
        <v>0</v>
      </c>
    </row>
    <row r="273" spans="4:25" x14ac:dyDescent="0.25">
      <c r="D273" s="69"/>
      <c r="E273" s="34"/>
      <c r="F273" s="34"/>
      <c r="H273" s="35"/>
      <c r="I273" s="36"/>
      <c r="J273" s="37"/>
      <c r="K273" s="38"/>
      <c r="L273" s="29"/>
      <c r="M273" s="29"/>
      <c r="N273" s="29"/>
      <c r="O273" s="39"/>
      <c r="P273" s="40">
        <f t="shared" si="16"/>
        <v>0</v>
      </c>
      <c r="Q273" s="40">
        <f t="shared" si="18"/>
        <v>0</v>
      </c>
      <c r="R273" s="40">
        <f t="shared" si="19"/>
        <v>0</v>
      </c>
      <c r="S273" s="41"/>
      <c r="T273" s="41"/>
      <c r="U273" s="41"/>
      <c r="V273" s="41"/>
      <c r="W273" s="41"/>
      <c r="X273" s="41"/>
      <c r="Y273" s="33">
        <f t="shared" si="17"/>
        <v>0</v>
      </c>
    </row>
    <row r="274" spans="4:25" x14ac:dyDescent="0.25">
      <c r="D274" s="69"/>
      <c r="E274" s="34"/>
      <c r="F274" s="34"/>
      <c r="H274" s="35"/>
      <c r="I274" s="36"/>
      <c r="J274" s="37"/>
      <c r="K274" s="38"/>
      <c r="L274" s="29"/>
      <c r="M274" s="29"/>
      <c r="N274" s="29"/>
      <c r="O274" s="39"/>
      <c r="P274" s="40">
        <f t="shared" si="16"/>
        <v>0</v>
      </c>
      <c r="Q274" s="40">
        <f t="shared" si="18"/>
        <v>0</v>
      </c>
      <c r="R274" s="40">
        <f t="shared" si="19"/>
        <v>0</v>
      </c>
      <c r="S274" s="41"/>
      <c r="T274" s="41"/>
      <c r="U274" s="41"/>
      <c r="V274" s="41"/>
      <c r="W274" s="41"/>
      <c r="X274" s="41"/>
      <c r="Y274" s="33">
        <f t="shared" si="17"/>
        <v>0</v>
      </c>
    </row>
    <row r="275" spans="4:25" x14ac:dyDescent="0.25">
      <c r="D275" s="69"/>
      <c r="E275" s="34"/>
      <c r="F275" s="34"/>
      <c r="H275" s="35"/>
      <c r="I275" s="36"/>
      <c r="J275" s="37"/>
      <c r="K275" s="38"/>
      <c r="L275" s="29"/>
      <c r="M275" s="29"/>
      <c r="N275" s="29"/>
      <c r="O275" s="39"/>
      <c r="P275" s="40">
        <f t="shared" si="16"/>
        <v>0</v>
      </c>
      <c r="Q275" s="40">
        <f t="shared" si="18"/>
        <v>0</v>
      </c>
      <c r="R275" s="40">
        <f t="shared" si="19"/>
        <v>0</v>
      </c>
      <c r="S275" s="41"/>
      <c r="T275" s="41"/>
      <c r="U275" s="41"/>
      <c r="V275" s="41"/>
      <c r="W275" s="41"/>
      <c r="X275" s="41"/>
      <c r="Y275" s="33">
        <f t="shared" si="17"/>
        <v>0</v>
      </c>
    </row>
    <row r="276" spans="4:25" x14ac:dyDescent="0.25">
      <c r="D276" s="69"/>
      <c r="E276" s="34"/>
      <c r="F276" s="34"/>
      <c r="H276" s="35"/>
      <c r="I276" s="36"/>
      <c r="J276" s="37"/>
      <c r="K276" s="38"/>
      <c r="L276" s="29"/>
      <c r="M276" s="29"/>
      <c r="N276" s="29"/>
      <c r="O276" s="39"/>
      <c r="P276" s="40">
        <f t="shared" si="16"/>
        <v>0</v>
      </c>
      <c r="Q276" s="40">
        <f t="shared" si="18"/>
        <v>0</v>
      </c>
      <c r="R276" s="40">
        <f t="shared" si="19"/>
        <v>0</v>
      </c>
      <c r="S276" s="41"/>
      <c r="T276" s="41"/>
      <c r="U276" s="41"/>
      <c r="V276" s="41"/>
      <c r="W276" s="41"/>
      <c r="X276" s="41"/>
      <c r="Y276" s="33">
        <f t="shared" si="17"/>
        <v>0</v>
      </c>
    </row>
    <row r="277" spans="4:25" x14ac:dyDescent="0.25">
      <c r="D277" s="69"/>
      <c r="E277" s="34"/>
      <c r="F277" s="34"/>
      <c r="H277" s="35"/>
      <c r="I277" s="36"/>
      <c r="J277" s="37"/>
      <c r="K277" s="38"/>
      <c r="L277" s="29"/>
      <c r="M277" s="29"/>
      <c r="N277" s="29"/>
      <c r="O277" s="39"/>
      <c r="P277" s="40">
        <f t="shared" si="16"/>
        <v>0</v>
      </c>
      <c r="Q277" s="40">
        <f t="shared" si="18"/>
        <v>0</v>
      </c>
      <c r="R277" s="40">
        <f t="shared" si="19"/>
        <v>0</v>
      </c>
      <c r="S277" s="41"/>
      <c r="T277" s="41"/>
      <c r="U277" s="41"/>
      <c r="V277" s="41"/>
      <c r="W277" s="41"/>
      <c r="X277" s="41"/>
      <c r="Y277" s="33">
        <f t="shared" si="17"/>
        <v>0</v>
      </c>
    </row>
    <row r="278" spans="4:25" x14ac:dyDescent="0.25">
      <c r="D278" s="69"/>
      <c r="E278" s="34"/>
      <c r="F278" s="34"/>
      <c r="H278" s="35"/>
      <c r="I278" s="36"/>
      <c r="J278" s="37"/>
      <c r="K278" s="38"/>
      <c r="L278" s="29"/>
      <c r="M278" s="29"/>
      <c r="N278" s="29"/>
      <c r="O278" s="39"/>
      <c r="P278" s="40">
        <f t="shared" si="16"/>
        <v>0</v>
      </c>
      <c r="Q278" s="40">
        <f t="shared" si="18"/>
        <v>0</v>
      </c>
      <c r="R278" s="40">
        <f t="shared" si="19"/>
        <v>0</v>
      </c>
      <c r="S278" s="41"/>
      <c r="T278" s="41"/>
      <c r="U278" s="41"/>
      <c r="V278" s="41"/>
      <c r="W278" s="41"/>
      <c r="X278" s="41"/>
      <c r="Y278" s="33">
        <f t="shared" si="17"/>
        <v>0</v>
      </c>
    </row>
    <row r="279" spans="4:25" x14ac:dyDescent="0.25">
      <c r="D279" s="69"/>
      <c r="E279" s="34"/>
      <c r="F279" s="34"/>
      <c r="H279" s="35"/>
      <c r="I279" s="36"/>
      <c r="J279" s="37"/>
      <c r="K279" s="38"/>
      <c r="L279" s="29"/>
      <c r="M279" s="29"/>
      <c r="N279" s="29"/>
      <c r="O279" s="39"/>
      <c r="P279" s="40">
        <f t="shared" si="16"/>
        <v>0</v>
      </c>
      <c r="Q279" s="40">
        <f t="shared" si="18"/>
        <v>0</v>
      </c>
      <c r="R279" s="40">
        <f t="shared" si="19"/>
        <v>0</v>
      </c>
      <c r="S279" s="41"/>
      <c r="T279" s="41"/>
      <c r="U279" s="41"/>
      <c r="V279" s="41"/>
      <c r="W279" s="41"/>
      <c r="X279" s="41"/>
      <c r="Y279" s="33">
        <f t="shared" si="17"/>
        <v>0</v>
      </c>
    </row>
    <row r="280" spans="4:25" x14ac:dyDescent="0.25">
      <c r="D280" s="69"/>
      <c r="E280" s="34"/>
      <c r="F280" s="34"/>
      <c r="H280" s="35"/>
      <c r="I280" s="36"/>
      <c r="J280" s="37"/>
      <c r="K280" s="38"/>
      <c r="L280" s="29"/>
      <c r="M280" s="29"/>
      <c r="N280" s="29"/>
      <c r="O280" s="39"/>
      <c r="P280" s="40">
        <f t="shared" si="16"/>
        <v>0</v>
      </c>
      <c r="Q280" s="40">
        <f t="shared" si="18"/>
        <v>0</v>
      </c>
      <c r="R280" s="40">
        <f t="shared" si="19"/>
        <v>0</v>
      </c>
      <c r="S280" s="41"/>
      <c r="T280" s="41"/>
      <c r="U280" s="41"/>
      <c r="V280" s="41"/>
      <c r="W280" s="41"/>
      <c r="X280" s="41"/>
      <c r="Y280" s="33">
        <f t="shared" si="17"/>
        <v>0</v>
      </c>
    </row>
    <row r="281" spans="4:25" x14ac:dyDescent="0.25">
      <c r="D281" s="69"/>
      <c r="E281" s="34"/>
      <c r="F281" s="34"/>
      <c r="H281" s="35"/>
      <c r="I281" s="36"/>
      <c r="J281" s="37"/>
      <c r="K281" s="38"/>
      <c r="L281" s="29"/>
      <c r="M281" s="29"/>
      <c r="N281" s="29"/>
      <c r="O281" s="39"/>
      <c r="P281" s="40">
        <f t="shared" si="16"/>
        <v>0</v>
      </c>
      <c r="Q281" s="40">
        <f t="shared" si="18"/>
        <v>0</v>
      </c>
      <c r="R281" s="40">
        <f t="shared" si="19"/>
        <v>0</v>
      </c>
      <c r="S281" s="41"/>
      <c r="T281" s="41"/>
      <c r="U281" s="41"/>
      <c r="V281" s="41"/>
      <c r="W281" s="41"/>
      <c r="X281" s="41"/>
      <c r="Y281" s="33">
        <f t="shared" si="17"/>
        <v>0</v>
      </c>
    </row>
    <row r="282" spans="4:25" x14ac:dyDescent="0.25">
      <c r="D282" s="69"/>
      <c r="E282" s="34"/>
      <c r="F282" s="34"/>
      <c r="H282" s="35"/>
      <c r="I282" s="36"/>
      <c r="J282" s="37"/>
      <c r="K282" s="38"/>
      <c r="L282" s="29"/>
      <c r="M282" s="29"/>
      <c r="N282" s="29"/>
      <c r="O282" s="39"/>
      <c r="P282" s="40">
        <f t="shared" si="16"/>
        <v>0</v>
      </c>
      <c r="Q282" s="40">
        <f t="shared" si="18"/>
        <v>0</v>
      </c>
      <c r="R282" s="40">
        <f t="shared" si="19"/>
        <v>0</v>
      </c>
      <c r="S282" s="41"/>
      <c r="T282" s="41"/>
      <c r="U282" s="41"/>
      <c r="V282" s="41"/>
      <c r="W282" s="41"/>
      <c r="X282" s="41"/>
      <c r="Y282" s="33">
        <f t="shared" si="17"/>
        <v>0</v>
      </c>
    </row>
    <row r="283" spans="4:25" x14ac:dyDescent="0.25">
      <c r="D283" s="69"/>
      <c r="E283" s="34"/>
      <c r="F283" s="34"/>
      <c r="H283" s="35"/>
      <c r="I283" s="36"/>
      <c r="J283" s="37"/>
      <c r="K283" s="38"/>
      <c r="L283" s="29"/>
      <c r="M283" s="29"/>
      <c r="N283" s="29"/>
      <c r="O283" s="39"/>
      <c r="P283" s="40">
        <f t="shared" si="16"/>
        <v>0</v>
      </c>
      <c r="Q283" s="40">
        <f t="shared" si="18"/>
        <v>0</v>
      </c>
      <c r="R283" s="40">
        <f t="shared" si="19"/>
        <v>0</v>
      </c>
      <c r="S283" s="41"/>
      <c r="T283" s="41"/>
      <c r="U283" s="41"/>
      <c r="V283" s="41"/>
      <c r="W283" s="41"/>
      <c r="X283" s="41"/>
      <c r="Y283" s="33">
        <f t="shared" si="17"/>
        <v>0</v>
      </c>
    </row>
    <row r="284" spans="4:25" x14ac:dyDescent="0.25">
      <c r="D284" s="69"/>
      <c r="E284" s="34"/>
      <c r="F284" s="34"/>
      <c r="H284" s="35"/>
      <c r="I284" s="36"/>
      <c r="J284" s="37"/>
      <c r="K284" s="38"/>
      <c r="L284" s="29"/>
      <c r="M284" s="29"/>
      <c r="N284" s="29"/>
      <c r="O284" s="39"/>
      <c r="P284" s="40">
        <f t="shared" si="16"/>
        <v>0</v>
      </c>
      <c r="Q284" s="40">
        <f t="shared" si="18"/>
        <v>0</v>
      </c>
      <c r="R284" s="40">
        <f t="shared" si="19"/>
        <v>0</v>
      </c>
      <c r="S284" s="41"/>
      <c r="T284" s="41"/>
      <c r="U284" s="41"/>
      <c r="V284" s="41"/>
      <c r="W284" s="41"/>
      <c r="X284" s="41"/>
      <c r="Y284" s="33">
        <f t="shared" si="17"/>
        <v>0</v>
      </c>
    </row>
    <row r="285" spans="4:25" x14ac:dyDescent="0.25">
      <c r="D285" s="69"/>
      <c r="E285" s="34"/>
      <c r="F285" s="34"/>
      <c r="H285" s="35"/>
      <c r="I285" s="36"/>
      <c r="J285" s="37"/>
      <c r="K285" s="38"/>
      <c r="L285" s="29"/>
      <c r="M285" s="29"/>
      <c r="N285" s="29"/>
      <c r="O285" s="39"/>
      <c r="P285" s="40">
        <f t="shared" si="16"/>
        <v>0</v>
      </c>
      <c r="Q285" s="40">
        <f t="shared" si="18"/>
        <v>0</v>
      </c>
      <c r="R285" s="40">
        <f t="shared" si="19"/>
        <v>0</v>
      </c>
      <c r="S285" s="41"/>
      <c r="T285" s="41"/>
      <c r="U285" s="41"/>
      <c r="V285" s="41"/>
      <c r="W285" s="41"/>
      <c r="X285" s="41"/>
      <c r="Y285" s="33">
        <f t="shared" si="17"/>
        <v>0</v>
      </c>
    </row>
    <row r="286" spans="4:25" x14ac:dyDescent="0.25">
      <c r="D286" s="69"/>
      <c r="E286" s="34"/>
      <c r="F286" s="34"/>
      <c r="H286" s="35"/>
      <c r="I286" s="36"/>
      <c r="J286" s="37"/>
      <c r="K286" s="38"/>
      <c r="L286" s="29"/>
      <c r="M286" s="29"/>
      <c r="N286" s="29"/>
      <c r="O286" s="39"/>
      <c r="P286" s="40">
        <f t="shared" si="16"/>
        <v>0</v>
      </c>
      <c r="Q286" s="40">
        <f t="shared" si="18"/>
        <v>0</v>
      </c>
      <c r="R286" s="40">
        <f t="shared" si="19"/>
        <v>0</v>
      </c>
      <c r="S286" s="41"/>
      <c r="T286" s="41"/>
      <c r="U286" s="41"/>
      <c r="V286" s="41"/>
      <c r="W286" s="41"/>
      <c r="X286" s="41"/>
      <c r="Y286" s="33">
        <f t="shared" si="17"/>
        <v>0</v>
      </c>
    </row>
    <row r="287" spans="4:25" x14ac:dyDescent="0.25">
      <c r="D287" s="69"/>
      <c r="E287" s="34"/>
      <c r="F287" s="34"/>
      <c r="H287" s="35"/>
      <c r="I287" s="36"/>
      <c r="J287" s="37"/>
      <c r="K287" s="38"/>
      <c r="L287" s="29"/>
      <c r="M287" s="29"/>
      <c r="N287" s="29"/>
      <c r="O287" s="39"/>
      <c r="P287" s="40">
        <f t="shared" si="16"/>
        <v>0</v>
      </c>
      <c r="Q287" s="40">
        <f t="shared" si="18"/>
        <v>0</v>
      </c>
      <c r="R287" s="40">
        <f t="shared" si="19"/>
        <v>0</v>
      </c>
      <c r="S287" s="41"/>
      <c r="T287" s="41"/>
      <c r="U287" s="41"/>
      <c r="V287" s="41"/>
      <c r="W287" s="41"/>
      <c r="X287" s="41"/>
      <c r="Y287" s="33">
        <f t="shared" si="17"/>
        <v>0</v>
      </c>
    </row>
    <row r="288" spans="4:25" x14ac:dyDescent="0.25">
      <c r="D288" s="69"/>
      <c r="E288" s="34"/>
      <c r="F288" s="34"/>
      <c r="H288" s="35"/>
      <c r="I288" s="36"/>
      <c r="J288" s="37"/>
      <c r="K288" s="38"/>
      <c r="L288" s="29"/>
      <c r="M288" s="29"/>
      <c r="N288" s="29"/>
      <c r="O288" s="39"/>
      <c r="P288" s="40">
        <f t="shared" si="16"/>
        <v>0</v>
      </c>
      <c r="Q288" s="40">
        <f t="shared" si="18"/>
        <v>0</v>
      </c>
      <c r="R288" s="40">
        <f t="shared" si="19"/>
        <v>0</v>
      </c>
      <c r="S288" s="41"/>
      <c r="T288" s="41"/>
      <c r="U288" s="41"/>
      <c r="V288" s="41"/>
      <c r="W288" s="41"/>
      <c r="X288" s="41"/>
      <c r="Y288" s="33">
        <f t="shared" si="17"/>
        <v>0</v>
      </c>
    </row>
    <row r="289" spans="4:25" x14ac:dyDescent="0.25">
      <c r="D289" s="69"/>
      <c r="E289" s="34"/>
      <c r="F289" s="34"/>
      <c r="H289" s="35"/>
      <c r="I289" s="36"/>
      <c r="J289" s="37"/>
      <c r="K289" s="38"/>
      <c r="L289" s="29"/>
      <c r="M289" s="29"/>
      <c r="N289" s="29"/>
      <c r="O289" s="39"/>
      <c r="P289" s="40">
        <f t="shared" si="16"/>
        <v>0</v>
      </c>
      <c r="Q289" s="40">
        <f t="shared" si="18"/>
        <v>0</v>
      </c>
      <c r="R289" s="40">
        <f t="shared" si="19"/>
        <v>0</v>
      </c>
      <c r="S289" s="41"/>
      <c r="T289" s="41"/>
      <c r="U289" s="41"/>
      <c r="V289" s="41"/>
      <c r="W289" s="41"/>
      <c r="X289" s="41"/>
      <c r="Y289" s="33">
        <f t="shared" si="17"/>
        <v>0</v>
      </c>
    </row>
    <row r="290" spans="4:25" x14ac:dyDescent="0.25">
      <c r="D290" s="69"/>
      <c r="E290" s="34"/>
      <c r="F290" s="34"/>
      <c r="H290" s="35"/>
      <c r="I290" s="36"/>
      <c r="J290" s="37"/>
      <c r="K290" s="38"/>
      <c r="L290" s="29"/>
      <c r="M290" s="29"/>
      <c r="N290" s="29"/>
      <c r="O290" s="39"/>
      <c r="P290" s="40">
        <f t="shared" si="16"/>
        <v>0</v>
      </c>
      <c r="Q290" s="40">
        <f t="shared" si="18"/>
        <v>0</v>
      </c>
      <c r="R290" s="40">
        <f t="shared" si="19"/>
        <v>0</v>
      </c>
      <c r="S290" s="41"/>
      <c r="T290" s="41"/>
      <c r="U290" s="41"/>
      <c r="V290" s="41"/>
      <c r="W290" s="41"/>
      <c r="X290" s="41"/>
      <c r="Y290" s="33">
        <f t="shared" si="17"/>
        <v>0</v>
      </c>
    </row>
    <row r="291" spans="4:25" x14ac:dyDescent="0.25">
      <c r="D291" s="69"/>
      <c r="E291" s="34"/>
      <c r="F291" s="34"/>
      <c r="H291" s="35"/>
      <c r="I291" s="36"/>
      <c r="J291" s="37"/>
      <c r="K291" s="38"/>
      <c r="L291" s="29"/>
      <c r="M291" s="29"/>
      <c r="N291" s="29"/>
      <c r="O291" s="39"/>
      <c r="P291" s="40">
        <f t="shared" si="16"/>
        <v>0</v>
      </c>
      <c r="Q291" s="40">
        <f t="shared" si="18"/>
        <v>0</v>
      </c>
      <c r="R291" s="40">
        <f t="shared" si="19"/>
        <v>0</v>
      </c>
      <c r="S291" s="41"/>
      <c r="T291" s="41"/>
      <c r="U291" s="41"/>
      <c r="V291" s="41"/>
      <c r="W291" s="41"/>
      <c r="X291" s="41"/>
      <c r="Y291" s="33">
        <f t="shared" si="17"/>
        <v>0</v>
      </c>
    </row>
    <row r="292" spans="4:25" x14ac:dyDescent="0.25">
      <c r="D292" s="69"/>
      <c r="E292" s="34"/>
      <c r="F292" s="34"/>
      <c r="H292" s="35"/>
      <c r="I292" s="36"/>
      <c r="J292" s="37"/>
      <c r="K292" s="38"/>
      <c r="L292" s="29"/>
      <c r="M292" s="29"/>
      <c r="N292" s="29"/>
      <c r="O292" s="39"/>
      <c r="P292" s="40">
        <f t="shared" si="16"/>
        <v>0</v>
      </c>
      <c r="Q292" s="40">
        <f t="shared" si="18"/>
        <v>0</v>
      </c>
      <c r="R292" s="40">
        <f t="shared" si="19"/>
        <v>0</v>
      </c>
      <c r="S292" s="41"/>
      <c r="T292" s="41"/>
      <c r="U292" s="41"/>
      <c r="V292" s="41"/>
      <c r="W292" s="41"/>
      <c r="X292" s="41"/>
      <c r="Y292" s="33">
        <f t="shared" si="17"/>
        <v>0</v>
      </c>
    </row>
    <row r="293" spans="4:25" x14ac:dyDescent="0.25">
      <c r="D293" s="69"/>
      <c r="E293" s="34"/>
      <c r="F293" s="34"/>
      <c r="H293" s="35"/>
      <c r="I293" s="36"/>
      <c r="J293" s="37"/>
      <c r="K293" s="38"/>
      <c r="L293" s="29"/>
      <c r="M293" s="29"/>
      <c r="N293" s="29"/>
      <c r="O293" s="39"/>
      <c r="P293" s="40">
        <f t="shared" si="16"/>
        <v>0</v>
      </c>
      <c r="Q293" s="40">
        <f t="shared" si="18"/>
        <v>0</v>
      </c>
      <c r="R293" s="40">
        <f t="shared" si="19"/>
        <v>0</v>
      </c>
      <c r="S293" s="41"/>
      <c r="T293" s="41"/>
      <c r="U293" s="41"/>
      <c r="V293" s="41"/>
      <c r="W293" s="41"/>
      <c r="X293" s="41"/>
      <c r="Y293" s="33">
        <f t="shared" si="17"/>
        <v>0</v>
      </c>
    </row>
    <row r="294" spans="4:25" x14ac:dyDescent="0.25">
      <c r="D294" s="69"/>
      <c r="E294" s="34"/>
      <c r="F294" s="34"/>
      <c r="H294" s="35"/>
      <c r="I294" s="36"/>
      <c r="J294" s="37"/>
      <c r="K294" s="38"/>
      <c r="L294" s="29"/>
      <c r="M294" s="29"/>
      <c r="N294" s="29"/>
      <c r="O294" s="39"/>
      <c r="P294" s="40">
        <f t="shared" si="16"/>
        <v>0</v>
      </c>
      <c r="Q294" s="40">
        <f t="shared" si="18"/>
        <v>0</v>
      </c>
      <c r="R294" s="40">
        <f t="shared" si="19"/>
        <v>0</v>
      </c>
      <c r="S294" s="41"/>
      <c r="T294" s="41"/>
      <c r="U294" s="41"/>
      <c r="V294" s="41"/>
      <c r="W294" s="41"/>
      <c r="X294" s="41"/>
      <c r="Y294" s="33">
        <f t="shared" si="17"/>
        <v>0</v>
      </c>
    </row>
    <row r="295" spans="4:25" x14ac:dyDescent="0.25">
      <c r="D295" s="69"/>
      <c r="E295" s="34"/>
      <c r="F295" s="34"/>
      <c r="H295" s="35"/>
      <c r="I295" s="36"/>
      <c r="J295" s="37"/>
      <c r="K295" s="38"/>
      <c r="L295" s="29"/>
      <c r="M295" s="29"/>
      <c r="N295" s="29"/>
      <c r="O295" s="39"/>
      <c r="P295" s="40">
        <f t="shared" si="16"/>
        <v>0</v>
      </c>
      <c r="Q295" s="40">
        <f t="shared" si="18"/>
        <v>0</v>
      </c>
      <c r="R295" s="40">
        <f t="shared" si="19"/>
        <v>0</v>
      </c>
      <c r="S295" s="41"/>
      <c r="T295" s="41"/>
      <c r="U295" s="41"/>
      <c r="V295" s="41"/>
      <c r="W295" s="41"/>
      <c r="X295" s="41"/>
      <c r="Y295" s="33">
        <f t="shared" si="17"/>
        <v>0</v>
      </c>
    </row>
    <row r="296" spans="4:25" x14ac:dyDescent="0.25">
      <c r="D296" s="69"/>
      <c r="E296" s="34"/>
      <c r="F296" s="34"/>
      <c r="H296" s="35"/>
      <c r="I296" s="36"/>
      <c r="J296" s="37"/>
      <c r="K296" s="38"/>
      <c r="L296" s="29"/>
      <c r="M296" s="29"/>
      <c r="N296" s="29"/>
      <c r="O296" s="39"/>
      <c r="P296" s="40">
        <f t="shared" si="16"/>
        <v>0</v>
      </c>
      <c r="Q296" s="40">
        <f t="shared" si="18"/>
        <v>0</v>
      </c>
      <c r="R296" s="40">
        <f t="shared" si="19"/>
        <v>0</v>
      </c>
      <c r="S296" s="41"/>
      <c r="T296" s="41"/>
      <c r="U296" s="41"/>
      <c r="V296" s="41"/>
      <c r="W296" s="41"/>
      <c r="X296" s="41"/>
      <c r="Y296" s="33">
        <f t="shared" si="17"/>
        <v>0</v>
      </c>
    </row>
    <row r="297" spans="4:25" x14ac:dyDescent="0.25">
      <c r="D297" s="69"/>
      <c r="E297" s="34"/>
      <c r="F297" s="34"/>
      <c r="H297" s="35"/>
      <c r="I297" s="36"/>
      <c r="J297" s="37"/>
      <c r="K297" s="38"/>
      <c r="L297" s="29"/>
      <c r="M297" s="29"/>
      <c r="N297" s="29"/>
      <c r="O297" s="39"/>
      <c r="P297" s="40">
        <f t="shared" si="16"/>
        <v>0</v>
      </c>
      <c r="Q297" s="40">
        <f t="shared" si="18"/>
        <v>0</v>
      </c>
      <c r="R297" s="40">
        <f t="shared" si="19"/>
        <v>0</v>
      </c>
      <c r="S297" s="41"/>
      <c r="T297" s="41"/>
      <c r="U297" s="41"/>
      <c r="V297" s="41"/>
      <c r="W297" s="41"/>
      <c r="X297" s="41"/>
      <c r="Y297" s="33">
        <f t="shared" si="17"/>
        <v>0</v>
      </c>
    </row>
    <row r="298" spans="4:25" x14ac:dyDescent="0.25">
      <c r="D298" s="69"/>
      <c r="E298" s="34"/>
      <c r="F298" s="34"/>
      <c r="H298" s="35"/>
      <c r="I298" s="36"/>
      <c r="J298" s="37"/>
      <c r="K298" s="38"/>
      <c r="L298" s="29"/>
      <c r="M298" s="29"/>
      <c r="N298" s="29"/>
      <c r="O298" s="39"/>
      <c r="P298" s="40">
        <f t="shared" si="16"/>
        <v>0</v>
      </c>
      <c r="Q298" s="40">
        <f t="shared" si="18"/>
        <v>0</v>
      </c>
      <c r="R298" s="40">
        <f t="shared" si="19"/>
        <v>0</v>
      </c>
      <c r="S298" s="41"/>
      <c r="T298" s="41"/>
      <c r="U298" s="41"/>
      <c r="V298" s="41"/>
      <c r="W298" s="41"/>
      <c r="X298" s="41"/>
      <c r="Y298" s="33">
        <f t="shared" si="17"/>
        <v>0</v>
      </c>
    </row>
    <row r="299" spans="4:25" x14ac:dyDescent="0.25">
      <c r="D299" s="69"/>
      <c r="E299" s="34"/>
      <c r="F299" s="34"/>
      <c r="H299" s="35"/>
      <c r="I299" s="36"/>
      <c r="J299" s="37"/>
      <c r="K299" s="38"/>
      <c r="L299" s="29"/>
      <c r="M299" s="29"/>
      <c r="N299" s="29"/>
      <c r="O299" s="39"/>
      <c r="P299" s="40">
        <f t="shared" si="16"/>
        <v>0</v>
      </c>
      <c r="Q299" s="40">
        <f t="shared" si="18"/>
        <v>0</v>
      </c>
      <c r="R299" s="40">
        <f t="shared" si="19"/>
        <v>0</v>
      </c>
      <c r="S299" s="41"/>
      <c r="T299" s="41"/>
      <c r="U299" s="41"/>
      <c r="V299" s="41"/>
      <c r="W299" s="41"/>
      <c r="X299" s="41"/>
      <c r="Y299" s="33">
        <f t="shared" si="17"/>
        <v>0</v>
      </c>
    </row>
    <row r="300" spans="4:25" x14ac:dyDescent="0.25">
      <c r="D300" s="69"/>
      <c r="E300" s="34"/>
      <c r="F300" s="34"/>
      <c r="H300" s="35"/>
      <c r="I300" s="36"/>
      <c r="J300" s="37"/>
      <c r="K300" s="38"/>
      <c r="L300" s="29"/>
      <c r="M300" s="29"/>
      <c r="N300" s="29"/>
      <c r="O300" s="39"/>
      <c r="P300" s="40">
        <f t="shared" si="16"/>
        <v>0</v>
      </c>
      <c r="Q300" s="40">
        <f t="shared" si="18"/>
        <v>0</v>
      </c>
      <c r="R300" s="40">
        <f t="shared" si="19"/>
        <v>0</v>
      </c>
      <c r="S300" s="41"/>
      <c r="T300" s="41"/>
      <c r="U300" s="41"/>
      <c r="V300" s="41"/>
      <c r="W300" s="41"/>
      <c r="X300" s="41"/>
      <c r="Y300" s="33">
        <f t="shared" si="17"/>
        <v>0</v>
      </c>
    </row>
    <row r="301" spans="4:25" x14ac:dyDescent="0.25">
      <c r="D301" s="69"/>
      <c r="E301" s="34"/>
      <c r="F301" s="34"/>
      <c r="H301" s="35"/>
      <c r="I301" s="36"/>
      <c r="J301" s="37"/>
      <c r="K301" s="38"/>
      <c r="L301" s="29"/>
      <c r="M301" s="29"/>
      <c r="N301" s="29"/>
      <c r="O301" s="39"/>
      <c r="P301" s="40">
        <f t="shared" si="16"/>
        <v>0</v>
      </c>
      <c r="Q301" s="40">
        <f t="shared" si="18"/>
        <v>0</v>
      </c>
      <c r="R301" s="40">
        <f t="shared" si="19"/>
        <v>0</v>
      </c>
      <c r="S301" s="41"/>
      <c r="T301" s="41"/>
      <c r="U301" s="41"/>
      <c r="V301" s="41"/>
      <c r="W301" s="41"/>
      <c r="X301" s="41"/>
      <c r="Y301" s="33">
        <f t="shared" si="17"/>
        <v>0</v>
      </c>
    </row>
    <row r="302" spans="4:25" x14ac:dyDescent="0.25">
      <c r="D302" s="69"/>
      <c r="E302" s="34"/>
      <c r="F302" s="34"/>
      <c r="H302" s="35"/>
      <c r="I302" s="36"/>
      <c r="J302" s="37"/>
      <c r="K302" s="38"/>
      <c r="L302" s="29"/>
      <c r="M302" s="29"/>
      <c r="N302" s="29"/>
      <c r="O302" s="39"/>
      <c r="P302" s="40">
        <f t="shared" si="16"/>
        <v>0</v>
      </c>
      <c r="Q302" s="40">
        <f t="shared" si="18"/>
        <v>0</v>
      </c>
      <c r="R302" s="40">
        <f t="shared" si="19"/>
        <v>0</v>
      </c>
      <c r="S302" s="41"/>
      <c r="T302" s="41"/>
      <c r="U302" s="41"/>
      <c r="V302" s="41"/>
      <c r="W302" s="41"/>
      <c r="X302" s="41"/>
      <c r="Y302" s="33">
        <f t="shared" si="17"/>
        <v>0</v>
      </c>
    </row>
    <row r="303" spans="4:25" ht="15.6" x14ac:dyDescent="0.3">
      <c r="D303" s="65"/>
      <c r="E303" s="34"/>
      <c r="F303" s="34"/>
      <c r="H303" s="35"/>
      <c r="I303" s="36"/>
      <c r="J303" s="37"/>
      <c r="K303" s="38"/>
      <c r="L303" s="29"/>
      <c r="M303" s="29"/>
      <c r="N303" s="29"/>
      <c r="O303" s="39"/>
      <c r="P303" s="40"/>
      <c r="Q303" s="40"/>
      <c r="R303" s="40"/>
      <c r="S303" s="41"/>
      <c r="T303" s="41"/>
      <c r="U303" s="41"/>
      <c r="V303" s="41"/>
      <c r="W303" s="41"/>
      <c r="X303" s="41"/>
      <c r="Y303" s="33"/>
    </row>
    <row r="304" spans="4:25" x14ac:dyDescent="0.25">
      <c r="E304" s="34"/>
      <c r="F304" s="34"/>
      <c r="H304" s="35"/>
      <c r="I304" s="36"/>
      <c r="J304" s="37"/>
      <c r="K304" s="38"/>
      <c r="L304" s="29"/>
      <c r="M304" s="29"/>
      <c r="N304" s="29"/>
      <c r="O304" s="39"/>
      <c r="P304" s="40"/>
      <c r="Q304" s="40"/>
      <c r="R304" s="40"/>
      <c r="S304" s="41"/>
      <c r="T304" s="41"/>
      <c r="U304" s="41"/>
      <c r="V304" s="41"/>
      <c r="W304" s="41"/>
      <c r="X304" s="40"/>
      <c r="Y304" s="33"/>
    </row>
    <row r="305" spans="8:25" ht="15.6" x14ac:dyDescent="0.3">
      <c r="H305" s="35"/>
      <c r="I305" s="36"/>
      <c r="J305" s="37"/>
      <c r="K305" s="42" t="s">
        <v>134</v>
      </c>
      <c r="L305" s="59">
        <f>SUM(L3:L302)</f>
        <v>0</v>
      </c>
      <c r="M305" s="59">
        <f t="shared" ref="M305:Y305" si="20">SUM(M3:M302)</f>
        <v>0</v>
      </c>
      <c r="N305" s="59">
        <f t="shared" si="20"/>
        <v>0</v>
      </c>
      <c r="O305" s="43"/>
      <c r="P305" s="59">
        <f t="shared" si="20"/>
        <v>0</v>
      </c>
      <c r="Q305" s="59">
        <f t="shared" si="20"/>
        <v>0</v>
      </c>
      <c r="R305" s="59">
        <f t="shared" si="20"/>
        <v>0</v>
      </c>
      <c r="S305" s="59">
        <f t="shared" si="20"/>
        <v>0</v>
      </c>
      <c r="T305" s="59">
        <f t="shared" si="20"/>
        <v>0</v>
      </c>
      <c r="U305" s="59">
        <f t="shared" si="20"/>
        <v>0</v>
      </c>
      <c r="V305" s="59">
        <f t="shared" si="20"/>
        <v>0</v>
      </c>
      <c r="W305" s="59">
        <f t="shared" si="20"/>
        <v>0</v>
      </c>
      <c r="X305" s="59">
        <f t="shared" si="20"/>
        <v>0</v>
      </c>
      <c r="Y305" s="59">
        <f t="shared" si="20"/>
        <v>0</v>
      </c>
    </row>
    <row r="306" spans="8:25" x14ac:dyDescent="0.25">
      <c r="L306" s="29"/>
      <c r="M306" s="29"/>
      <c r="N306" s="29"/>
    </row>
  </sheetData>
  <mergeCells count="1">
    <mergeCell ref="S1:X1"/>
  </mergeCells>
  <pageMargins left="0.7" right="0.7" top="0.75" bottom="0.75" header="0.3" footer="0.3"/>
  <pageSetup scale="37" fitToHeight="0" orientation="landscape" r:id="rId1"/>
  <headerFooter>
    <oddHeader>&amp;L&amp;G&amp;C&amp;"Arial,Bold"&amp;12Base and Test Support Services (BTSS)
Solicitation No. W91151-19-R-0003&amp;R&amp;"Arial,Bold"&amp;12Volume IV - Factor 3 - Cost
&amp;A</oddHeader>
    <oddFooter>&amp;C&amp;"Arial,Italic"&amp;12Use or disclosure of data contained on this sheet is subject
 to the restriction on the cover page of this proposal.</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D4DD5-9113-4A9B-9F23-D06B682476FD}">
  <sheetPr>
    <tabColor rgb="FF0070C0"/>
  </sheetPr>
  <dimension ref="A1:Y306"/>
  <sheetViews>
    <sheetView zoomScale="85" zoomScaleNormal="85" workbookViewId="0">
      <pane ySplit="2" topLeftCell="A3" activePane="bottomLeft" state="frozen"/>
      <selection pane="bottomLeft" activeCell="B2" sqref="B2"/>
    </sheetView>
  </sheetViews>
  <sheetFormatPr defaultColWidth="9.109375" defaultRowHeight="15" x14ac:dyDescent="0.25"/>
  <cols>
    <col min="1" max="1" width="18.33203125" style="27" customWidth="1"/>
    <col min="2" max="2" width="18.109375" style="27" customWidth="1"/>
    <col min="3" max="3" width="14.33203125" style="34" bestFit="1" customWidth="1"/>
    <col min="4" max="4" width="56" style="27" bestFit="1" customWidth="1"/>
    <col min="5" max="5" width="15.44140625" style="27" customWidth="1"/>
    <col min="6" max="6" width="12.88671875" style="27" bestFit="1" customWidth="1"/>
    <col min="7" max="7" width="15.109375" style="28" bestFit="1" customWidth="1"/>
    <col min="8" max="8" width="25.33203125" style="29" customWidth="1"/>
    <col min="9" max="9" width="19.5546875" style="30" customWidth="1"/>
    <col min="10" max="10" width="20.33203125" style="31" bestFit="1" customWidth="1"/>
    <col min="11" max="11" width="24.6640625" style="28" customWidth="1"/>
    <col min="12" max="13" width="19.44140625" style="27" bestFit="1" customWidth="1"/>
    <col min="14" max="14" width="12.33203125" style="27" bestFit="1" customWidth="1"/>
    <col min="15" max="15" width="19.44140625" style="27" bestFit="1" customWidth="1"/>
    <col min="16" max="16" width="19.5546875" style="27" bestFit="1" customWidth="1"/>
    <col min="17" max="17" width="20.109375" style="27" bestFit="1" customWidth="1"/>
    <col min="18" max="18" width="22.6640625" style="27" bestFit="1" customWidth="1"/>
    <col min="19" max="23" width="19.44140625" style="27" customWidth="1"/>
    <col min="24" max="24" width="19.44140625" style="33" customWidth="1"/>
    <col min="25" max="25" width="19.44140625" style="27" bestFit="1" customWidth="1"/>
    <col min="26" max="16384" width="9.109375" style="27"/>
  </cols>
  <sheetData>
    <row r="1" spans="1:25" s="83" customFormat="1" ht="84" customHeight="1" thickBot="1" x14ac:dyDescent="0.35">
      <c r="C1" s="66" t="s">
        <v>103</v>
      </c>
      <c r="D1" s="63" t="s">
        <v>102</v>
      </c>
      <c r="G1" s="84"/>
      <c r="H1" s="85"/>
      <c r="I1" s="86"/>
      <c r="J1" s="64" t="s">
        <v>95</v>
      </c>
      <c r="K1" s="84"/>
      <c r="L1" s="87"/>
      <c r="M1" s="87"/>
      <c r="N1" s="87"/>
      <c r="O1" s="87"/>
      <c r="P1" s="87"/>
      <c r="Q1" s="87"/>
      <c r="R1" s="87"/>
      <c r="S1" s="93" t="s">
        <v>116</v>
      </c>
      <c r="T1" s="94"/>
      <c r="U1" s="94"/>
      <c r="V1" s="94"/>
      <c r="W1" s="94"/>
      <c r="X1" s="95"/>
    </row>
    <row r="2" spans="1:25" s="58" customFormat="1" ht="31.2" x14ac:dyDescent="0.3">
      <c r="A2" s="53" t="s">
        <v>89</v>
      </c>
      <c r="B2" s="62" t="s">
        <v>133</v>
      </c>
      <c r="C2" s="62" t="s">
        <v>61</v>
      </c>
      <c r="D2" s="53" t="s">
        <v>10</v>
      </c>
      <c r="E2" s="53" t="s">
        <v>94</v>
      </c>
      <c r="F2" s="53" t="s">
        <v>62</v>
      </c>
      <c r="G2" s="53" t="s">
        <v>63</v>
      </c>
      <c r="H2" s="57" t="s">
        <v>64</v>
      </c>
      <c r="I2" s="57" t="s">
        <v>65</v>
      </c>
      <c r="J2" s="60" t="s">
        <v>88</v>
      </c>
      <c r="K2" s="53" t="s">
        <v>93</v>
      </c>
      <c r="L2" s="53" t="s">
        <v>66</v>
      </c>
      <c r="M2" s="53" t="s">
        <v>67</v>
      </c>
      <c r="N2" s="53" t="s">
        <v>1</v>
      </c>
      <c r="O2" s="53" t="s">
        <v>7</v>
      </c>
      <c r="P2" s="53" t="s">
        <v>68</v>
      </c>
      <c r="Q2" s="53" t="s">
        <v>69</v>
      </c>
      <c r="R2" s="53" t="s">
        <v>70</v>
      </c>
      <c r="S2" s="55" t="s">
        <v>90</v>
      </c>
      <c r="T2" s="55" t="s">
        <v>91</v>
      </c>
      <c r="U2" s="55" t="s">
        <v>92</v>
      </c>
      <c r="V2" s="55" t="s">
        <v>119</v>
      </c>
      <c r="W2" s="55" t="s">
        <v>118</v>
      </c>
      <c r="X2" s="56" t="s">
        <v>101</v>
      </c>
      <c r="Y2" s="53" t="s">
        <v>71</v>
      </c>
    </row>
    <row r="3" spans="1:25" x14ac:dyDescent="0.25">
      <c r="C3" s="34" t="s">
        <v>72</v>
      </c>
      <c r="D3" s="54" t="s">
        <v>23</v>
      </c>
      <c r="E3" s="34"/>
      <c r="F3" s="34"/>
      <c r="H3" s="35"/>
      <c r="I3" s="36"/>
      <c r="J3" s="37"/>
      <c r="K3" s="38"/>
      <c r="L3" s="29"/>
      <c r="M3" s="29"/>
      <c r="N3" s="29"/>
      <c r="O3" s="39"/>
      <c r="P3" s="40">
        <f t="shared" ref="P3:P66" si="0">$L3*$O3</f>
        <v>0</v>
      </c>
      <c r="Q3" s="40">
        <f>IF(E3="NE",(M3*O3*1.5),(M3*O3))</f>
        <v>0</v>
      </c>
      <c r="R3" s="40">
        <f>P3+Q3</f>
        <v>0</v>
      </c>
      <c r="S3" s="41"/>
      <c r="T3" s="41"/>
      <c r="U3" s="41"/>
      <c r="V3" s="41"/>
      <c r="W3" s="41"/>
      <c r="X3" s="41"/>
      <c r="Y3" s="33">
        <f t="shared" ref="Y3:Y66" si="1">SUM(R3:X3)</f>
        <v>0</v>
      </c>
    </row>
    <row r="4" spans="1:25" x14ac:dyDescent="0.25">
      <c r="C4" s="34" t="s">
        <v>72</v>
      </c>
      <c r="D4" s="54" t="s">
        <v>24</v>
      </c>
      <c r="E4" s="34"/>
      <c r="F4" s="34"/>
      <c r="H4" s="35"/>
      <c r="I4" s="36"/>
      <c r="J4" s="37"/>
      <c r="K4" s="38"/>
      <c r="L4" s="29"/>
      <c r="M4" s="29"/>
      <c r="N4" s="29"/>
      <c r="O4" s="39"/>
      <c r="P4" s="40">
        <f t="shared" si="0"/>
        <v>0</v>
      </c>
      <c r="Q4" s="40">
        <f t="shared" ref="Q4:Q67" si="2">IF(E4="NE",(M4*O4*1.5),(M4*O4))</f>
        <v>0</v>
      </c>
      <c r="R4" s="40">
        <f t="shared" ref="R4:R67" si="3">P4+Q4</f>
        <v>0</v>
      </c>
      <c r="S4" s="41"/>
      <c r="T4" s="41"/>
      <c r="U4" s="41"/>
      <c r="V4" s="41"/>
      <c r="W4" s="41"/>
      <c r="X4" s="41"/>
      <c r="Y4" s="33">
        <f t="shared" si="1"/>
        <v>0</v>
      </c>
    </row>
    <row r="5" spans="1:25" x14ac:dyDescent="0.25">
      <c r="C5" s="34" t="s">
        <v>72</v>
      </c>
      <c r="D5" s="54" t="s">
        <v>25</v>
      </c>
      <c r="E5" s="34"/>
      <c r="F5" s="34"/>
      <c r="H5" s="35"/>
      <c r="I5" s="36"/>
      <c r="J5" s="37"/>
      <c r="K5" s="38"/>
      <c r="L5" s="29"/>
      <c r="M5" s="29"/>
      <c r="N5" s="29"/>
      <c r="O5" s="39"/>
      <c r="P5" s="40">
        <f t="shared" si="0"/>
        <v>0</v>
      </c>
      <c r="Q5" s="40">
        <f t="shared" si="2"/>
        <v>0</v>
      </c>
      <c r="R5" s="40">
        <f t="shared" si="3"/>
        <v>0</v>
      </c>
      <c r="S5" s="41"/>
      <c r="T5" s="41"/>
      <c r="U5" s="41"/>
      <c r="V5" s="41"/>
      <c r="W5" s="41"/>
      <c r="X5" s="41"/>
      <c r="Y5" s="33">
        <f t="shared" si="1"/>
        <v>0</v>
      </c>
    </row>
    <row r="6" spans="1:25" x14ac:dyDescent="0.25">
      <c r="C6" s="34" t="s">
        <v>72</v>
      </c>
      <c r="D6" s="54" t="s">
        <v>26</v>
      </c>
      <c r="E6" s="34"/>
      <c r="F6" s="34"/>
      <c r="H6" s="35"/>
      <c r="I6" s="36"/>
      <c r="J6" s="37"/>
      <c r="K6" s="38"/>
      <c r="L6" s="29"/>
      <c r="M6" s="29"/>
      <c r="N6" s="29"/>
      <c r="O6" s="39"/>
      <c r="P6" s="40">
        <f t="shared" si="0"/>
        <v>0</v>
      </c>
      <c r="Q6" s="40">
        <f t="shared" si="2"/>
        <v>0</v>
      </c>
      <c r="R6" s="40">
        <f t="shared" si="3"/>
        <v>0</v>
      </c>
      <c r="S6" s="41"/>
      <c r="T6" s="41"/>
      <c r="U6" s="41"/>
      <c r="V6" s="41"/>
      <c r="W6" s="41"/>
      <c r="X6" s="41"/>
      <c r="Y6" s="33">
        <f t="shared" si="1"/>
        <v>0</v>
      </c>
    </row>
    <row r="7" spans="1:25" x14ac:dyDescent="0.25">
      <c r="C7" s="34" t="s">
        <v>72</v>
      </c>
      <c r="D7" s="54" t="s">
        <v>27</v>
      </c>
      <c r="E7" s="34"/>
      <c r="F7" s="34"/>
      <c r="H7" s="35"/>
      <c r="I7" s="36"/>
      <c r="J7" s="37"/>
      <c r="K7" s="38"/>
      <c r="L7" s="29"/>
      <c r="M7" s="29"/>
      <c r="N7" s="29"/>
      <c r="O7" s="39"/>
      <c r="P7" s="40">
        <f t="shared" si="0"/>
        <v>0</v>
      </c>
      <c r="Q7" s="40">
        <f t="shared" si="2"/>
        <v>0</v>
      </c>
      <c r="R7" s="40">
        <f t="shared" si="3"/>
        <v>0</v>
      </c>
      <c r="S7" s="41"/>
      <c r="T7" s="41"/>
      <c r="U7" s="41"/>
      <c r="V7" s="41"/>
      <c r="W7" s="41"/>
      <c r="X7" s="41"/>
      <c r="Y7" s="33">
        <f t="shared" si="1"/>
        <v>0</v>
      </c>
    </row>
    <row r="8" spans="1:25" x14ac:dyDescent="0.25">
      <c r="C8" s="34" t="s">
        <v>72</v>
      </c>
      <c r="D8" s="54" t="s">
        <v>28</v>
      </c>
      <c r="E8" s="34"/>
      <c r="F8" s="34"/>
      <c r="H8" s="35"/>
      <c r="I8" s="36"/>
      <c r="J8" s="37"/>
      <c r="K8" s="38"/>
      <c r="L8" s="29"/>
      <c r="M8" s="29"/>
      <c r="N8" s="29"/>
      <c r="O8" s="39"/>
      <c r="P8" s="40">
        <f t="shared" si="0"/>
        <v>0</v>
      </c>
      <c r="Q8" s="40">
        <f t="shared" si="2"/>
        <v>0</v>
      </c>
      <c r="R8" s="40">
        <f t="shared" si="3"/>
        <v>0</v>
      </c>
      <c r="S8" s="41"/>
      <c r="T8" s="41"/>
      <c r="U8" s="41"/>
      <c r="V8" s="41"/>
      <c r="W8" s="41"/>
      <c r="X8" s="41"/>
      <c r="Y8" s="33">
        <f t="shared" si="1"/>
        <v>0</v>
      </c>
    </row>
    <row r="9" spans="1:25" x14ac:dyDescent="0.25">
      <c r="C9" s="34" t="s">
        <v>72</v>
      </c>
      <c r="D9" s="54" t="s">
        <v>29</v>
      </c>
      <c r="E9" s="34"/>
      <c r="F9" s="34"/>
      <c r="H9" s="35"/>
      <c r="I9" s="36"/>
      <c r="J9" s="37"/>
      <c r="K9" s="38"/>
      <c r="L9" s="29"/>
      <c r="M9" s="29"/>
      <c r="N9" s="29"/>
      <c r="O9" s="39"/>
      <c r="P9" s="40">
        <f t="shared" si="0"/>
        <v>0</v>
      </c>
      <c r="Q9" s="40">
        <f t="shared" si="2"/>
        <v>0</v>
      </c>
      <c r="R9" s="40">
        <f t="shared" si="3"/>
        <v>0</v>
      </c>
      <c r="S9" s="41"/>
      <c r="T9" s="41"/>
      <c r="U9" s="41"/>
      <c r="V9" s="41"/>
      <c r="W9" s="41"/>
      <c r="X9" s="41"/>
      <c r="Y9" s="33">
        <f t="shared" si="1"/>
        <v>0</v>
      </c>
    </row>
    <row r="10" spans="1:25" x14ac:dyDescent="0.25">
      <c r="C10" s="34" t="s">
        <v>72</v>
      </c>
      <c r="D10" s="54" t="s">
        <v>17</v>
      </c>
      <c r="E10" s="34"/>
      <c r="F10" s="34"/>
      <c r="H10" s="35"/>
      <c r="I10" s="36"/>
      <c r="J10" s="37"/>
      <c r="K10" s="38"/>
      <c r="L10" s="29"/>
      <c r="M10" s="29"/>
      <c r="N10" s="29"/>
      <c r="O10" s="39"/>
      <c r="P10" s="40">
        <f t="shared" si="0"/>
        <v>0</v>
      </c>
      <c r="Q10" s="40">
        <f t="shared" si="2"/>
        <v>0</v>
      </c>
      <c r="R10" s="40">
        <f t="shared" si="3"/>
        <v>0</v>
      </c>
      <c r="S10" s="41"/>
      <c r="T10" s="41"/>
      <c r="U10" s="41"/>
      <c r="V10" s="41"/>
      <c r="W10" s="41"/>
      <c r="X10" s="41"/>
      <c r="Y10" s="33">
        <f t="shared" si="1"/>
        <v>0</v>
      </c>
    </row>
    <row r="11" spans="1:25" x14ac:dyDescent="0.25">
      <c r="C11" s="34" t="s">
        <v>72</v>
      </c>
      <c r="D11" s="54" t="s">
        <v>30</v>
      </c>
      <c r="E11" s="34"/>
      <c r="F11" s="34"/>
      <c r="H11" s="35"/>
      <c r="I11" s="36"/>
      <c r="J11" s="37"/>
      <c r="K11" s="38"/>
      <c r="L11" s="29"/>
      <c r="M11" s="29"/>
      <c r="N11" s="29"/>
      <c r="O11" s="39"/>
      <c r="P11" s="40">
        <f t="shared" si="0"/>
        <v>0</v>
      </c>
      <c r="Q11" s="40">
        <f t="shared" si="2"/>
        <v>0</v>
      </c>
      <c r="R11" s="40">
        <f t="shared" si="3"/>
        <v>0</v>
      </c>
      <c r="S11" s="41"/>
      <c r="T11" s="41"/>
      <c r="U11" s="41"/>
      <c r="V11" s="41"/>
      <c r="W11" s="41"/>
      <c r="X11" s="41"/>
      <c r="Y11" s="33">
        <f t="shared" si="1"/>
        <v>0</v>
      </c>
    </row>
    <row r="12" spans="1:25" x14ac:dyDescent="0.25">
      <c r="C12" s="34" t="s">
        <v>72</v>
      </c>
      <c r="D12" s="54" t="s">
        <v>31</v>
      </c>
      <c r="E12" s="34"/>
      <c r="F12" s="34"/>
      <c r="H12" s="35"/>
      <c r="I12" s="36"/>
      <c r="J12" s="37"/>
      <c r="K12" s="38"/>
      <c r="L12" s="29"/>
      <c r="M12" s="29"/>
      <c r="N12" s="29"/>
      <c r="O12" s="39"/>
      <c r="P12" s="40">
        <f t="shared" si="0"/>
        <v>0</v>
      </c>
      <c r="Q12" s="40">
        <f t="shared" si="2"/>
        <v>0</v>
      </c>
      <c r="R12" s="40">
        <f t="shared" si="3"/>
        <v>0</v>
      </c>
      <c r="S12" s="41"/>
      <c r="T12" s="41"/>
      <c r="U12" s="41"/>
      <c r="V12" s="41"/>
      <c r="W12" s="41"/>
      <c r="X12" s="41"/>
      <c r="Y12" s="33">
        <f t="shared" si="1"/>
        <v>0</v>
      </c>
    </row>
    <row r="13" spans="1:25" x14ac:dyDescent="0.25">
      <c r="C13" s="34" t="s">
        <v>72</v>
      </c>
      <c r="D13" s="54" t="s">
        <v>32</v>
      </c>
      <c r="E13" s="34"/>
      <c r="F13" s="34"/>
      <c r="H13" s="35"/>
      <c r="I13" s="36"/>
      <c r="J13" s="37"/>
      <c r="K13" s="38"/>
      <c r="L13" s="29"/>
      <c r="M13" s="29"/>
      <c r="N13" s="29"/>
      <c r="O13" s="39"/>
      <c r="P13" s="40">
        <f t="shared" si="0"/>
        <v>0</v>
      </c>
      <c r="Q13" s="40">
        <f t="shared" si="2"/>
        <v>0</v>
      </c>
      <c r="R13" s="40">
        <f t="shared" si="3"/>
        <v>0</v>
      </c>
      <c r="S13" s="41"/>
      <c r="T13" s="41"/>
      <c r="U13" s="41"/>
      <c r="V13" s="41"/>
      <c r="W13" s="41"/>
      <c r="X13" s="41"/>
      <c r="Y13" s="33">
        <f t="shared" si="1"/>
        <v>0</v>
      </c>
    </row>
    <row r="14" spans="1:25" x14ac:dyDescent="0.25">
      <c r="C14" s="34" t="s">
        <v>72</v>
      </c>
      <c r="D14" s="54" t="s">
        <v>33</v>
      </c>
      <c r="E14" s="34"/>
      <c r="F14" s="34"/>
      <c r="H14" s="35"/>
      <c r="I14" s="36"/>
      <c r="J14" s="37"/>
      <c r="K14" s="38"/>
      <c r="L14" s="29"/>
      <c r="M14" s="29"/>
      <c r="N14" s="29"/>
      <c r="O14" s="39"/>
      <c r="P14" s="40">
        <f t="shared" si="0"/>
        <v>0</v>
      </c>
      <c r="Q14" s="40">
        <f t="shared" si="2"/>
        <v>0</v>
      </c>
      <c r="R14" s="40">
        <f t="shared" si="3"/>
        <v>0</v>
      </c>
      <c r="S14" s="41"/>
      <c r="T14" s="41"/>
      <c r="U14" s="41"/>
      <c r="V14" s="41"/>
      <c r="W14" s="41"/>
      <c r="X14" s="41"/>
      <c r="Y14" s="33">
        <f t="shared" si="1"/>
        <v>0</v>
      </c>
    </row>
    <row r="15" spans="1:25" x14ac:dyDescent="0.25">
      <c r="C15" s="34" t="s">
        <v>72</v>
      </c>
      <c r="D15" s="54" t="s">
        <v>34</v>
      </c>
      <c r="E15" s="34"/>
      <c r="F15" s="34"/>
      <c r="H15" s="35"/>
      <c r="I15" s="36"/>
      <c r="J15" s="37"/>
      <c r="K15" s="38"/>
      <c r="L15" s="29"/>
      <c r="M15" s="29"/>
      <c r="N15" s="29"/>
      <c r="O15" s="39"/>
      <c r="P15" s="40">
        <f t="shared" si="0"/>
        <v>0</v>
      </c>
      <c r="Q15" s="40">
        <f t="shared" si="2"/>
        <v>0</v>
      </c>
      <c r="R15" s="40">
        <f t="shared" si="3"/>
        <v>0</v>
      </c>
      <c r="S15" s="41"/>
      <c r="T15" s="41"/>
      <c r="U15" s="41"/>
      <c r="V15" s="41"/>
      <c r="W15" s="41"/>
      <c r="X15" s="41"/>
      <c r="Y15" s="33">
        <f t="shared" si="1"/>
        <v>0</v>
      </c>
    </row>
    <row r="16" spans="1:25" x14ac:dyDescent="0.25">
      <c r="C16" s="34" t="s">
        <v>72</v>
      </c>
      <c r="D16" s="54" t="s">
        <v>35</v>
      </c>
      <c r="E16" s="34"/>
      <c r="F16" s="34"/>
      <c r="H16" s="35"/>
      <c r="I16" s="36"/>
      <c r="J16" s="37"/>
      <c r="K16" s="38"/>
      <c r="L16" s="29"/>
      <c r="M16" s="29"/>
      <c r="N16" s="29"/>
      <c r="O16" s="39"/>
      <c r="P16" s="40">
        <f t="shared" si="0"/>
        <v>0</v>
      </c>
      <c r="Q16" s="40">
        <f t="shared" si="2"/>
        <v>0</v>
      </c>
      <c r="R16" s="40">
        <f t="shared" si="3"/>
        <v>0</v>
      </c>
      <c r="S16" s="41"/>
      <c r="T16" s="41"/>
      <c r="U16" s="41"/>
      <c r="V16" s="41"/>
      <c r="W16" s="41"/>
      <c r="X16" s="41"/>
      <c r="Y16" s="33">
        <f t="shared" si="1"/>
        <v>0</v>
      </c>
    </row>
    <row r="17" spans="3:25" x14ac:dyDescent="0.25">
      <c r="C17" s="34" t="s">
        <v>72</v>
      </c>
      <c r="D17" s="54" t="s">
        <v>36</v>
      </c>
      <c r="E17" s="34"/>
      <c r="F17" s="34"/>
      <c r="H17" s="35"/>
      <c r="I17" s="36"/>
      <c r="J17" s="37"/>
      <c r="K17" s="38"/>
      <c r="L17" s="29"/>
      <c r="M17" s="29"/>
      <c r="N17" s="29"/>
      <c r="O17" s="39"/>
      <c r="P17" s="40">
        <f t="shared" si="0"/>
        <v>0</v>
      </c>
      <c r="Q17" s="40">
        <f t="shared" si="2"/>
        <v>0</v>
      </c>
      <c r="R17" s="40">
        <f t="shared" si="3"/>
        <v>0</v>
      </c>
      <c r="S17" s="41"/>
      <c r="T17" s="41"/>
      <c r="U17" s="41"/>
      <c r="V17" s="41"/>
      <c r="W17" s="41"/>
      <c r="X17" s="41"/>
      <c r="Y17" s="33">
        <f t="shared" si="1"/>
        <v>0</v>
      </c>
    </row>
    <row r="18" spans="3:25" x14ac:dyDescent="0.25">
      <c r="C18" s="34" t="s">
        <v>72</v>
      </c>
      <c r="D18" s="54" t="s">
        <v>37</v>
      </c>
      <c r="E18" s="34"/>
      <c r="F18" s="34"/>
      <c r="H18" s="35"/>
      <c r="I18" s="36"/>
      <c r="J18" s="37"/>
      <c r="K18" s="38"/>
      <c r="L18" s="29"/>
      <c r="M18" s="29"/>
      <c r="N18" s="29"/>
      <c r="O18" s="39"/>
      <c r="P18" s="40">
        <f t="shared" si="0"/>
        <v>0</v>
      </c>
      <c r="Q18" s="40">
        <f t="shared" si="2"/>
        <v>0</v>
      </c>
      <c r="R18" s="40">
        <f t="shared" si="3"/>
        <v>0</v>
      </c>
      <c r="S18" s="41"/>
      <c r="T18" s="41"/>
      <c r="U18" s="41"/>
      <c r="V18" s="41"/>
      <c r="W18" s="41"/>
      <c r="X18" s="41"/>
      <c r="Y18" s="33">
        <f t="shared" si="1"/>
        <v>0</v>
      </c>
    </row>
    <row r="19" spans="3:25" x14ac:dyDescent="0.25">
      <c r="C19" s="34" t="s">
        <v>72</v>
      </c>
      <c r="D19" s="54" t="s">
        <v>38</v>
      </c>
      <c r="E19" s="34"/>
      <c r="F19" s="34"/>
      <c r="H19" s="35"/>
      <c r="I19" s="36"/>
      <c r="J19" s="37"/>
      <c r="K19" s="38"/>
      <c r="L19" s="29"/>
      <c r="M19" s="29"/>
      <c r="N19" s="29"/>
      <c r="O19" s="39"/>
      <c r="P19" s="40">
        <f t="shared" si="0"/>
        <v>0</v>
      </c>
      <c r="Q19" s="40">
        <f t="shared" si="2"/>
        <v>0</v>
      </c>
      <c r="R19" s="40">
        <f t="shared" si="3"/>
        <v>0</v>
      </c>
      <c r="S19" s="41"/>
      <c r="T19" s="41"/>
      <c r="U19" s="41"/>
      <c r="V19" s="41"/>
      <c r="W19" s="41"/>
      <c r="X19" s="41"/>
      <c r="Y19" s="33">
        <f t="shared" si="1"/>
        <v>0</v>
      </c>
    </row>
    <row r="20" spans="3:25" x14ac:dyDescent="0.25">
      <c r="C20" s="34" t="s">
        <v>72</v>
      </c>
      <c r="D20" s="54" t="s">
        <v>39</v>
      </c>
      <c r="E20" s="34"/>
      <c r="F20" s="34"/>
      <c r="H20" s="35"/>
      <c r="I20" s="36"/>
      <c r="J20" s="37"/>
      <c r="K20" s="38"/>
      <c r="L20" s="29"/>
      <c r="M20" s="29"/>
      <c r="N20" s="29"/>
      <c r="O20" s="39"/>
      <c r="P20" s="40">
        <f t="shared" si="0"/>
        <v>0</v>
      </c>
      <c r="Q20" s="40">
        <f t="shared" si="2"/>
        <v>0</v>
      </c>
      <c r="R20" s="40">
        <f t="shared" si="3"/>
        <v>0</v>
      </c>
      <c r="S20" s="41"/>
      <c r="T20" s="41"/>
      <c r="U20" s="41"/>
      <c r="V20" s="41"/>
      <c r="W20" s="41"/>
      <c r="X20" s="41"/>
      <c r="Y20" s="33">
        <f t="shared" si="1"/>
        <v>0</v>
      </c>
    </row>
    <row r="21" spans="3:25" x14ac:dyDescent="0.25">
      <c r="C21" s="34" t="s">
        <v>72</v>
      </c>
      <c r="D21" s="54" t="s">
        <v>40</v>
      </c>
      <c r="E21" s="34"/>
      <c r="F21" s="34"/>
      <c r="H21" s="35"/>
      <c r="I21" s="36"/>
      <c r="J21" s="37"/>
      <c r="K21" s="38"/>
      <c r="L21" s="29"/>
      <c r="M21" s="29"/>
      <c r="N21" s="29"/>
      <c r="O21" s="39"/>
      <c r="P21" s="40">
        <f t="shared" si="0"/>
        <v>0</v>
      </c>
      <c r="Q21" s="40">
        <f t="shared" si="2"/>
        <v>0</v>
      </c>
      <c r="R21" s="40">
        <f t="shared" si="3"/>
        <v>0</v>
      </c>
      <c r="S21" s="41"/>
      <c r="T21" s="41"/>
      <c r="U21" s="41"/>
      <c r="V21" s="41"/>
      <c r="W21" s="41"/>
      <c r="X21" s="41"/>
      <c r="Y21" s="33">
        <f t="shared" si="1"/>
        <v>0</v>
      </c>
    </row>
    <row r="22" spans="3:25" x14ac:dyDescent="0.25">
      <c r="C22" s="34" t="s">
        <v>72</v>
      </c>
      <c r="D22" s="54" t="s">
        <v>41</v>
      </c>
      <c r="E22" s="34"/>
      <c r="F22" s="34"/>
      <c r="G22" s="38"/>
      <c r="H22" s="35"/>
      <c r="I22" s="36"/>
      <c r="J22" s="37"/>
      <c r="K22" s="38"/>
      <c r="L22" s="29"/>
      <c r="M22" s="29"/>
      <c r="N22" s="29"/>
      <c r="O22" s="39"/>
      <c r="P22" s="40">
        <f t="shared" si="0"/>
        <v>0</v>
      </c>
      <c r="Q22" s="40">
        <f t="shared" si="2"/>
        <v>0</v>
      </c>
      <c r="R22" s="40">
        <f t="shared" si="3"/>
        <v>0</v>
      </c>
      <c r="S22" s="41"/>
      <c r="T22" s="41"/>
      <c r="U22" s="41"/>
      <c r="V22" s="41"/>
      <c r="W22" s="41"/>
      <c r="X22" s="41"/>
      <c r="Y22" s="33">
        <f t="shared" si="1"/>
        <v>0</v>
      </c>
    </row>
    <row r="23" spans="3:25" x14ac:dyDescent="0.25">
      <c r="C23" s="34" t="s">
        <v>72</v>
      </c>
      <c r="D23" s="54" t="s">
        <v>42</v>
      </c>
      <c r="E23" s="34"/>
      <c r="F23" s="34"/>
      <c r="G23" s="38"/>
      <c r="H23" s="35"/>
      <c r="I23" s="36"/>
      <c r="J23" s="37"/>
      <c r="K23" s="38"/>
      <c r="L23" s="29"/>
      <c r="M23" s="29"/>
      <c r="N23" s="29"/>
      <c r="O23" s="39"/>
      <c r="P23" s="40">
        <f t="shared" si="0"/>
        <v>0</v>
      </c>
      <c r="Q23" s="40">
        <f t="shared" si="2"/>
        <v>0</v>
      </c>
      <c r="R23" s="40">
        <f t="shared" si="3"/>
        <v>0</v>
      </c>
      <c r="S23" s="41"/>
      <c r="T23" s="41"/>
      <c r="U23" s="41"/>
      <c r="V23" s="41"/>
      <c r="W23" s="41"/>
      <c r="X23" s="41"/>
      <c r="Y23" s="33">
        <f t="shared" si="1"/>
        <v>0</v>
      </c>
    </row>
    <row r="24" spans="3:25" x14ac:dyDescent="0.25">
      <c r="C24" s="34" t="s">
        <v>72</v>
      </c>
      <c r="D24" s="54" t="s">
        <v>43</v>
      </c>
      <c r="E24" s="34"/>
      <c r="F24" s="34"/>
      <c r="H24" s="35"/>
      <c r="I24" s="36"/>
      <c r="J24" s="37"/>
      <c r="K24" s="38"/>
      <c r="L24" s="29"/>
      <c r="M24" s="29"/>
      <c r="N24" s="29"/>
      <c r="O24" s="39"/>
      <c r="P24" s="40">
        <f t="shared" si="0"/>
        <v>0</v>
      </c>
      <c r="Q24" s="40">
        <f t="shared" si="2"/>
        <v>0</v>
      </c>
      <c r="R24" s="40">
        <f t="shared" si="3"/>
        <v>0</v>
      </c>
      <c r="S24" s="41"/>
      <c r="T24" s="41"/>
      <c r="U24" s="41"/>
      <c r="V24" s="41"/>
      <c r="W24" s="41"/>
      <c r="X24" s="41"/>
      <c r="Y24" s="33">
        <f t="shared" si="1"/>
        <v>0</v>
      </c>
    </row>
    <row r="25" spans="3:25" x14ac:dyDescent="0.25">
      <c r="C25" s="34" t="s">
        <v>72</v>
      </c>
      <c r="D25" s="54" t="s">
        <v>44</v>
      </c>
      <c r="E25" s="34"/>
      <c r="F25" s="34"/>
      <c r="H25" s="35"/>
      <c r="I25" s="36"/>
      <c r="J25" s="37"/>
      <c r="K25" s="38"/>
      <c r="L25" s="29"/>
      <c r="M25" s="29"/>
      <c r="N25" s="29"/>
      <c r="O25" s="39"/>
      <c r="P25" s="40">
        <f t="shared" si="0"/>
        <v>0</v>
      </c>
      <c r="Q25" s="40">
        <f t="shared" si="2"/>
        <v>0</v>
      </c>
      <c r="R25" s="40">
        <f t="shared" si="3"/>
        <v>0</v>
      </c>
      <c r="S25" s="41"/>
      <c r="T25" s="41"/>
      <c r="U25" s="41"/>
      <c r="V25" s="41"/>
      <c r="W25" s="41"/>
      <c r="X25" s="41"/>
      <c r="Y25" s="33">
        <f t="shared" si="1"/>
        <v>0</v>
      </c>
    </row>
    <row r="26" spans="3:25" x14ac:dyDescent="0.25">
      <c r="C26" s="34" t="s">
        <v>72</v>
      </c>
      <c r="D26" s="54" t="s">
        <v>45</v>
      </c>
      <c r="E26" s="34"/>
      <c r="F26" s="34"/>
      <c r="H26" s="35"/>
      <c r="I26" s="36"/>
      <c r="J26" s="37"/>
      <c r="K26" s="38"/>
      <c r="L26" s="29"/>
      <c r="M26" s="29"/>
      <c r="N26" s="29"/>
      <c r="O26" s="39"/>
      <c r="P26" s="40">
        <f t="shared" si="0"/>
        <v>0</v>
      </c>
      <c r="Q26" s="40">
        <f t="shared" si="2"/>
        <v>0</v>
      </c>
      <c r="R26" s="40">
        <f t="shared" si="3"/>
        <v>0</v>
      </c>
      <c r="S26" s="41"/>
      <c r="T26" s="41"/>
      <c r="U26" s="41"/>
      <c r="V26" s="41"/>
      <c r="W26" s="41"/>
      <c r="X26" s="41"/>
      <c r="Y26" s="33">
        <f t="shared" si="1"/>
        <v>0</v>
      </c>
    </row>
    <row r="27" spans="3:25" x14ac:dyDescent="0.25">
      <c r="C27" s="34" t="s">
        <v>72</v>
      </c>
      <c r="D27" s="54" t="s">
        <v>46</v>
      </c>
      <c r="E27" s="34"/>
      <c r="F27" s="34"/>
      <c r="H27" s="35"/>
      <c r="I27" s="36"/>
      <c r="J27" s="37"/>
      <c r="K27" s="38"/>
      <c r="L27" s="29"/>
      <c r="M27" s="29"/>
      <c r="N27" s="29"/>
      <c r="O27" s="39"/>
      <c r="P27" s="40">
        <f t="shared" si="0"/>
        <v>0</v>
      </c>
      <c r="Q27" s="40">
        <f t="shared" si="2"/>
        <v>0</v>
      </c>
      <c r="R27" s="40">
        <f t="shared" si="3"/>
        <v>0</v>
      </c>
      <c r="S27" s="41"/>
      <c r="T27" s="41"/>
      <c r="U27" s="41"/>
      <c r="V27" s="41"/>
      <c r="W27" s="41"/>
      <c r="X27" s="41"/>
      <c r="Y27" s="33">
        <f t="shared" si="1"/>
        <v>0</v>
      </c>
    </row>
    <row r="28" spans="3:25" x14ac:dyDescent="0.25">
      <c r="C28" s="34" t="s">
        <v>72</v>
      </c>
      <c r="D28" s="54" t="s">
        <v>47</v>
      </c>
      <c r="E28" s="34"/>
      <c r="F28" s="34"/>
      <c r="H28" s="35"/>
      <c r="I28" s="36"/>
      <c r="J28" s="37"/>
      <c r="K28" s="38"/>
      <c r="L28" s="29"/>
      <c r="M28" s="29"/>
      <c r="N28" s="29"/>
      <c r="O28" s="39"/>
      <c r="P28" s="40">
        <f t="shared" si="0"/>
        <v>0</v>
      </c>
      <c r="Q28" s="40">
        <f t="shared" si="2"/>
        <v>0</v>
      </c>
      <c r="R28" s="40">
        <f t="shared" si="3"/>
        <v>0</v>
      </c>
      <c r="S28" s="41"/>
      <c r="T28" s="41"/>
      <c r="U28" s="41"/>
      <c r="V28" s="41"/>
      <c r="W28" s="41"/>
      <c r="X28" s="41"/>
      <c r="Y28" s="33">
        <f t="shared" si="1"/>
        <v>0</v>
      </c>
    </row>
    <row r="29" spans="3:25" x14ac:dyDescent="0.25">
      <c r="C29" s="34" t="s">
        <v>72</v>
      </c>
      <c r="D29" s="54" t="s">
        <v>48</v>
      </c>
      <c r="E29" s="34"/>
      <c r="F29" s="34"/>
      <c r="H29" s="35"/>
      <c r="I29" s="36"/>
      <c r="J29" s="37"/>
      <c r="K29" s="38"/>
      <c r="L29" s="29"/>
      <c r="M29" s="29"/>
      <c r="N29" s="29"/>
      <c r="O29" s="39"/>
      <c r="P29" s="40">
        <f t="shared" si="0"/>
        <v>0</v>
      </c>
      <c r="Q29" s="40">
        <f t="shared" si="2"/>
        <v>0</v>
      </c>
      <c r="R29" s="40">
        <f t="shared" si="3"/>
        <v>0</v>
      </c>
      <c r="S29" s="41"/>
      <c r="T29" s="41"/>
      <c r="U29" s="41"/>
      <c r="V29" s="41"/>
      <c r="W29" s="41"/>
      <c r="X29" s="41"/>
      <c r="Y29" s="33">
        <f t="shared" si="1"/>
        <v>0</v>
      </c>
    </row>
    <row r="30" spans="3:25" x14ac:dyDescent="0.25">
      <c r="C30" s="34" t="s">
        <v>72</v>
      </c>
      <c r="D30" s="54" t="s">
        <v>49</v>
      </c>
      <c r="E30" s="34"/>
      <c r="F30" s="34"/>
      <c r="H30" s="35"/>
      <c r="I30" s="36"/>
      <c r="J30" s="37"/>
      <c r="K30" s="38"/>
      <c r="L30" s="29"/>
      <c r="M30" s="29"/>
      <c r="N30" s="29"/>
      <c r="O30" s="39"/>
      <c r="P30" s="40">
        <f t="shared" si="0"/>
        <v>0</v>
      </c>
      <c r="Q30" s="40">
        <f t="shared" si="2"/>
        <v>0</v>
      </c>
      <c r="R30" s="40">
        <f t="shared" si="3"/>
        <v>0</v>
      </c>
      <c r="S30" s="41"/>
      <c r="T30" s="41"/>
      <c r="U30" s="41"/>
      <c r="V30" s="41"/>
      <c r="W30" s="41"/>
      <c r="X30" s="41"/>
      <c r="Y30" s="33">
        <f t="shared" si="1"/>
        <v>0</v>
      </c>
    </row>
    <row r="31" spans="3:25" x14ac:dyDescent="0.25">
      <c r="C31" s="34" t="s">
        <v>72</v>
      </c>
      <c r="D31" s="54" t="s">
        <v>50</v>
      </c>
      <c r="E31" s="34"/>
      <c r="F31" s="34"/>
      <c r="H31" s="35"/>
      <c r="I31" s="36"/>
      <c r="J31" s="37"/>
      <c r="K31" s="38"/>
      <c r="L31" s="29"/>
      <c r="M31" s="29"/>
      <c r="N31" s="29"/>
      <c r="O31" s="39"/>
      <c r="P31" s="40">
        <f t="shared" si="0"/>
        <v>0</v>
      </c>
      <c r="Q31" s="40">
        <f t="shared" si="2"/>
        <v>0</v>
      </c>
      <c r="R31" s="40">
        <f t="shared" si="3"/>
        <v>0</v>
      </c>
      <c r="S31" s="41"/>
      <c r="T31" s="41"/>
      <c r="U31" s="41"/>
      <c r="V31" s="41"/>
      <c r="W31" s="41"/>
      <c r="X31" s="41"/>
      <c r="Y31" s="33">
        <f t="shared" si="1"/>
        <v>0</v>
      </c>
    </row>
    <row r="32" spans="3:25" x14ac:dyDescent="0.25">
      <c r="C32" s="34" t="s">
        <v>72</v>
      </c>
      <c r="D32" s="54" t="s">
        <v>51</v>
      </c>
      <c r="E32" s="34"/>
      <c r="F32" s="34"/>
      <c r="H32" s="35"/>
      <c r="I32" s="36"/>
      <c r="J32" s="37"/>
      <c r="K32" s="38"/>
      <c r="L32" s="29"/>
      <c r="M32" s="29"/>
      <c r="N32" s="29"/>
      <c r="O32" s="39"/>
      <c r="P32" s="40">
        <f t="shared" si="0"/>
        <v>0</v>
      </c>
      <c r="Q32" s="40">
        <f t="shared" si="2"/>
        <v>0</v>
      </c>
      <c r="R32" s="40">
        <f t="shared" si="3"/>
        <v>0</v>
      </c>
      <c r="S32" s="41"/>
      <c r="T32" s="41"/>
      <c r="U32" s="41"/>
      <c r="V32" s="41"/>
      <c r="W32" s="41"/>
      <c r="X32" s="41"/>
      <c r="Y32" s="33">
        <f t="shared" si="1"/>
        <v>0</v>
      </c>
    </row>
    <row r="33" spans="3:25" x14ac:dyDescent="0.25">
      <c r="C33" s="34" t="s">
        <v>72</v>
      </c>
      <c r="D33" s="54" t="s">
        <v>52</v>
      </c>
      <c r="E33" s="34"/>
      <c r="F33" s="34"/>
      <c r="H33" s="35"/>
      <c r="I33" s="36"/>
      <c r="J33" s="37"/>
      <c r="K33" s="38"/>
      <c r="L33" s="29"/>
      <c r="M33" s="29"/>
      <c r="N33" s="29"/>
      <c r="O33" s="39"/>
      <c r="P33" s="40">
        <f t="shared" si="0"/>
        <v>0</v>
      </c>
      <c r="Q33" s="40">
        <f t="shared" si="2"/>
        <v>0</v>
      </c>
      <c r="R33" s="40">
        <f t="shared" si="3"/>
        <v>0</v>
      </c>
      <c r="S33" s="41"/>
      <c r="T33" s="41"/>
      <c r="U33" s="41"/>
      <c r="V33" s="41"/>
      <c r="W33" s="41"/>
      <c r="X33" s="41"/>
      <c r="Y33" s="33">
        <f t="shared" si="1"/>
        <v>0</v>
      </c>
    </row>
    <row r="34" spans="3:25" x14ac:dyDescent="0.25">
      <c r="C34" s="34" t="s">
        <v>72</v>
      </c>
      <c r="D34" s="54" t="s">
        <v>14</v>
      </c>
      <c r="E34" s="34"/>
      <c r="F34" s="34"/>
      <c r="H34" s="35"/>
      <c r="I34" s="36"/>
      <c r="J34" s="37"/>
      <c r="K34" s="38"/>
      <c r="L34" s="29"/>
      <c r="M34" s="29"/>
      <c r="N34" s="29"/>
      <c r="O34" s="39"/>
      <c r="P34" s="40">
        <f t="shared" si="0"/>
        <v>0</v>
      </c>
      <c r="Q34" s="40">
        <f t="shared" si="2"/>
        <v>0</v>
      </c>
      <c r="R34" s="40">
        <f t="shared" si="3"/>
        <v>0</v>
      </c>
      <c r="S34" s="41"/>
      <c r="T34" s="41"/>
      <c r="U34" s="41"/>
      <c r="V34" s="41"/>
      <c r="W34" s="41"/>
      <c r="X34" s="41"/>
      <c r="Y34" s="33">
        <f t="shared" si="1"/>
        <v>0</v>
      </c>
    </row>
    <row r="35" spans="3:25" x14ac:dyDescent="0.25">
      <c r="C35" s="34" t="s">
        <v>72</v>
      </c>
      <c r="D35" s="54" t="s">
        <v>53</v>
      </c>
      <c r="E35" s="34"/>
      <c r="F35" s="34"/>
      <c r="H35" s="35"/>
      <c r="I35" s="36"/>
      <c r="J35" s="37"/>
      <c r="K35" s="38"/>
      <c r="L35" s="29"/>
      <c r="M35" s="29"/>
      <c r="N35" s="29"/>
      <c r="O35" s="39"/>
      <c r="P35" s="40">
        <f t="shared" si="0"/>
        <v>0</v>
      </c>
      <c r="Q35" s="40">
        <f t="shared" si="2"/>
        <v>0</v>
      </c>
      <c r="R35" s="40">
        <f t="shared" si="3"/>
        <v>0</v>
      </c>
      <c r="S35" s="41"/>
      <c r="T35" s="41"/>
      <c r="U35" s="41"/>
      <c r="V35" s="41"/>
      <c r="W35" s="41"/>
      <c r="X35" s="41"/>
      <c r="Y35" s="33">
        <f t="shared" si="1"/>
        <v>0</v>
      </c>
    </row>
    <row r="36" spans="3:25" x14ac:dyDescent="0.25">
      <c r="C36" s="34" t="s">
        <v>72</v>
      </c>
      <c r="D36" s="54" t="s">
        <v>54</v>
      </c>
      <c r="E36" s="34"/>
      <c r="F36" s="34"/>
      <c r="H36" s="35"/>
      <c r="I36" s="36"/>
      <c r="J36" s="37"/>
      <c r="K36" s="38"/>
      <c r="L36" s="29"/>
      <c r="M36" s="29"/>
      <c r="N36" s="29"/>
      <c r="O36" s="39"/>
      <c r="P36" s="40">
        <f t="shared" si="0"/>
        <v>0</v>
      </c>
      <c r="Q36" s="40">
        <f t="shared" si="2"/>
        <v>0</v>
      </c>
      <c r="R36" s="40">
        <f t="shared" si="3"/>
        <v>0</v>
      </c>
      <c r="S36" s="41"/>
      <c r="T36" s="41"/>
      <c r="U36" s="41"/>
      <c r="V36" s="41"/>
      <c r="W36" s="41"/>
      <c r="X36" s="41"/>
      <c r="Y36" s="33">
        <f t="shared" si="1"/>
        <v>0</v>
      </c>
    </row>
    <row r="37" spans="3:25" x14ac:dyDescent="0.25">
      <c r="C37" s="34" t="s">
        <v>72</v>
      </c>
      <c r="D37" s="54" t="s">
        <v>55</v>
      </c>
      <c r="E37" s="34"/>
      <c r="F37" s="34"/>
      <c r="H37" s="35"/>
      <c r="I37" s="36"/>
      <c r="J37" s="37"/>
      <c r="K37" s="38"/>
      <c r="L37" s="29"/>
      <c r="M37" s="29"/>
      <c r="N37" s="29"/>
      <c r="O37" s="39"/>
      <c r="P37" s="40">
        <f t="shared" si="0"/>
        <v>0</v>
      </c>
      <c r="Q37" s="40">
        <f t="shared" si="2"/>
        <v>0</v>
      </c>
      <c r="R37" s="40">
        <f t="shared" si="3"/>
        <v>0</v>
      </c>
      <c r="S37" s="41"/>
      <c r="T37" s="41"/>
      <c r="U37" s="41"/>
      <c r="V37" s="41"/>
      <c r="W37" s="41"/>
      <c r="X37" s="41"/>
      <c r="Y37" s="33">
        <f t="shared" si="1"/>
        <v>0</v>
      </c>
    </row>
    <row r="38" spans="3:25" x14ac:dyDescent="0.25">
      <c r="C38" s="34" t="s">
        <v>72</v>
      </c>
      <c r="D38" s="54" t="s">
        <v>56</v>
      </c>
      <c r="E38" s="34"/>
      <c r="F38" s="34"/>
      <c r="H38" s="35"/>
      <c r="I38" s="36"/>
      <c r="J38" s="37"/>
      <c r="K38" s="38"/>
      <c r="L38" s="29"/>
      <c r="M38" s="29"/>
      <c r="N38" s="29"/>
      <c r="O38" s="39"/>
      <c r="P38" s="40">
        <f t="shared" si="0"/>
        <v>0</v>
      </c>
      <c r="Q38" s="40">
        <f t="shared" si="2"/>
        <v>0</v>
      </c>
      <c r="R38" s="40">
        <f t="shared" si="3"/>
        <v>0</v>
      </c>
      <c r="S38" s="41"/>
      <c r="T38" s="41"/>
      <c r="U38" s="41"/>
      <c r="V38" s="41"/>
      <c r="W38" s="41"/>
      <c r="X38" s="41"/>
      <c r="Y38" s="33">
        <f t="shared" si="1"/>
        <v>0</v>
      </c>
    </row>
    <row r="39" spans="3:25" x14ac:dyDescent="0.25">
      <c r="D39" s="69"/>
      <c r="E39" s="34"/>
      <c r="F39" s="34"/>
      <c r="H39" s="35"/>
      <c r="I39" s="36"/>
      <c r="J39" s="37"/>
      <c r="K39" s="38"/>
      <c r="L39" s="29"/>
      <c r="M39" s="29"/>
      <c r="N39" s="29"/>
      <c r="O39" s="39"/>
      <c r="P39" s="40">
        <f t="shared" si="0"/>
        <v>0</v>
      </c>
      <c r="Q39" s="40">
        <f t="shared" si="2"/>
        <v>0</v>
      </c>
      <c r="R39" s="40">
        <f t="shared" si="3"/>
        <v>0</v>
      </c>
      <c r="S39" s="41"/>
      <c r="T39" s="41"/>
      <c r="U39" s="41"/>
      <c r="V39" s="41"/>
      <c r="W39" s="41"/>
      <c r="X39" s="41"/>
      <c r="Y39" s="33">
        <f t="shared" si="1"/>
        <v>0</v>
      </c>
    </row>
    <row r="40" spans="3:25" x14ac:dyDescent="0.25">
      <c r="D40" s="69"/>
      <c r="E40" s="34"/>
      <c r="F40" s="34"/>
      <c r="H40" s="35"/>
      <c r="I40" s="36"/>
      <c r="J40" s="37"/>
      <c r="K40" s="38"/>
      <c r="L40" s="29"/>
      <c r="M40" s="29"/>
      <c r="N40" s="29"/>
      <c r="O40" s="39"/>
      <c r="P40" s="40">
        <f t="shared" si="0"/>
        <v>0</v>
      </c>
      <c r="Q40" s="40">
        <f t="shared" si="2"/>
        <v>0</v>
      </c>
      <c r="R40" s="40">
        <f t="shared" si="3"/>
        <v>0</v>
      </c>
      <c r="S40" s="41"/>
      <c r="T40" s="41"/>
      <c r="U40" s="41"/>
      <c r="V40" s="41"/>
      <c r="W40" s="41"/>
      <c r="X40" s="41"/>
      <c r="Y40" s="33">
        <f t="shared" si="1"/>
        <v>0</v>
      </c>
    </row>
    <row r="41" spans="3:25" x14ac:dyDescent="0.25">
      <c r="D41" s="69"/>
      <c r="E41" s="34"/>
      <c r="F41" s="34"/>
      <c r="H41" s="35"/>
      <c r="I41" s="36"/>
      <c r="J41" s="37"/>
      <c r="K41" s="38"/>
      <c r="L41" s="29"/>
      <c r="M41" s="29"/>
      <c r="N41" s="29"/>
      <c r="O41" s="39"/>
      <c r="P41" s="40">
        <f t="shared" si="0"/>
        <v>0</v>
      </c>
      <c r="Q41" s="40">
        <f t="shared" si="2"/>
        <v>0</v>
      </c>
      <c r="R41" s="40">
        <f t="shared" si="3"/>
        <v>0</v>
      </c>
      <c r="S41" s="41"/>
      <c r="T41" s="41"/>
      <c r="U41" s="41"/>
      <c r="V41" s="41"/>
      <c r="W41" s="41"/>
      <c r="X41" s="41"/>
      <c r="Y41" s="33">
        <f t="shared" si="1"/>
        <v>0</v>
      </c>
    </row>
    <row r="42" spans="3:25" x14ac:dyDescent="0.25">
      <c r="D42" s="69"/>
      <c r="E42" s="34"/>
      <c r="F42" s="34"/>
      <c r="H42" s="35"/>
      <c r="I42" s="36"/>
      <c r="J42" s="37"/>
      <c r="K42" s="38"/>
      <c r="L42" s="29"/>
      <c r="M42" s="29"/>
      <c r="N42" s="29"/>
      <c r="O42" s="39"/>
      <c r="P42" s="40">
        <f t="shared" si="0"/>
        <v>0</v>
      </c>
      <c r="Q42" s="40">
        <f t="shared" si="2"/>
        <v>0</v>
      </c>
      <c r="R42" s="40">
        <f t="shared" si="3"/>
        <v>0</v>
      </c>
      <c r="S42" s="41"/>
      <c r="T42" s="41"/>
      <c r="U42" s="41"/>
      <c r="V42" s="41"/>
      <c r="W42" s="41"/>
      <c r="X42" s="41"/>
      <c r="Y42" s="33">
        <f t="shared" si="1"/>
        <v>0</v>
      </c>
    </row>
    <row r="43" spans="3:25" x14ac:dyDescent="0.25">
      <c r="D43" s="69"/>
      <c r="E43" s="34"/>
      <c r="F43" s="34"/>
      <c r="H43" s="35"/>
      <c r="I43" s="36"/>
      <c r="J43" s="37"/>
      <c r="K43" s="38"/>
      <c r="L43" s="29"/>
      <c r="M43" s="29"/>
      <c r="N43" s="29"/>
      <c r="O43" s="39"/>
      <c r="P43" s="40">
        <f t="shared" si="0"/>
        <v>0</v>
      </c>
      <c r="Q43" s="40">
        <f t="shared" si="2"/>
        <v>0</v>
      </c>
      <c r="R43" s="40">
        <f t="shared" si="3"/>
        <v>0</v>
      </c>
      <c r="S43" s="41"/>
      <c r="T43" s="41"/>
      <c r="U43" s="41"/>
      <c r="V43" s="41"/>
      <c r="W43" s="41"/>
      <c r="X43" s="41"/>
      <c r="Y43" s="33">
        <f t="shared" si="1"/>
        <v>0</v>
      </c>
    </row>
    <row r="44" spans="3:25" x14ac:dyDescent="0.25">
      <c r="D44" s="69"/>
      <c r="E44" s="34"/>
      <c r="F44" s="34"/>
      <c r="H44" s="35"/>
      <c r="I44" s="36"/>
      <c r="J44" s="37"/>
      <c r="K44" s="38"/>
      <c r="L44" s="29"/>
      <c r="M44" s="29"/>
      <c r="N44" s="29"/>
      <c r="O44" s="39"/>
      <c r="P44" s="40">
        <f t="shared" si="0"/>
        <v>0</v>
      </c>
      <c r="Q44" s="40">
        <f t="shared" si="2"/>
        <v>0</v>
      </c>
      <c r="R44" s="40">
        <f t="shared" si="3"/>
        <v>0</v>
      </c>
      <c r="S44" s="41"/>
      <c r="T44" s="41"/>
      <c r="U44" s="41"/>
      <c r="V44" s="41"/>
      <c r="W44" s="41"/>
      <c r="X44" s="41"/>
      <c r="Y44" s="33">
        <f t="shared" si="1"/>
        <v>0</v>
      </c>
    </row>
    <row r="45" spans="3:25" x14ac:dyDescent="0.25">
      <c r="D45" s="69"/>
      <c r="E45" s="34"/>
      <c r="F45" s="34"/>
      <c r="H45" s="35"/>
      <c r="I45" s="36"/>
      <c r="J45" s="37"/>
      <c r="K45" s="38"/>
      <c r="L45" s="29"/>
      <c r="M45" s="29"/>
      <c r="N45" s="29"/>
      <c r="O45" s="39"/>
      <c r="P45" s="40">
        <f t="shared" si="0"/>
        <v>0</v>
      </c>
      <c r="Q45" s="40">
        <f t="shared" si="2"/>
        <v>0</v>
      </c>
      <c r="R45" s="40">
        <f t="shared" si="3"/>
        <v>0</v>
      </c>
      <c r="S45" s="41"/>
      <c r="T45" s="41"/>
      <c r="U45" s="41"/>
      <c r="V45" s="41"/>
      <c r="W45" s="41"/>
      <c r="X45" s="41"/>
      <c r="Y45" s="33">
        <f t="shared" si="1"/>
        <v>0</v>
      </c>
    </row>
    <row r="46" spans="3:25" x14ac:dyDescent="0.25">
      <c r="D46" s="69"/>
      <c r="E46" s="34"/>
      <c r="F46" s="34"/>
      <c r="H46" s="35"/>
      <c r="I46" s="36"/>
      <c r="J46" s="37"/>
      <c r="K46" s="38"/>
      <c r="L46" s="29"/>
      <c r="M46" s="29"/>
      <c r="N46" s="29"/>
      <c r="O46" s="39"/>
      <c r="P46" s="40">
        <f t="shared" si="0"/>
        <v>0</v>
      </c>
      <c r="Q46" s="40">
        <f t="shared" si="2"/>
        <v>0</v>
      </c>
      <c r="R46" s="40">
        <f t="shared" si="3"/>
        <v>0</v>
      </c>
      <c r="S46" s="41"/>
      <c r="T46" s="41"/>
      <c r="U46" s="41"/>
      <c r="V46" s="41"/>
      <c r="W46" s="41"/>
      <c r="X46" s="41"/>
      <c r="Y46" s="33">
        <f t="shared" si="1"/>
        <v>0</v>
      </c>
    </row>
    <row r="47" spans="3:25" x14ac:dyDescent="0.25">
      <c r="D47" s="69"/>
      <c r="E47" s="34"/>
      <c r="F47" s="34"/>
      <c r="H47" s="35"/>
      <c r="I47" s="36"/>
      <c r="J47" s="37"/>
      <c r="K47" s="38"/>
      <c r="L47" s="29"/>
      <c r="M47" s="29"/>
      <c r="N47" s="29"/>
      <c r="O47" s="39"/>
      <c r="P47" s="40">
        <f t="shared" si="0"/>
        <v>0</v>
      </c>
      <c r="Q47" s="40">
        <f t="shared" si="2"/>
        <v>0</v>
      </c>
      <c r="R47" s="40">
        <f t="shared" si="3"/>
        <v>0</v>
      </c>
      <c r="S47" s="41"/>
      <c r="T47" s="41"/>
      <c r="U47" s="41"/>
      <c r="V47" s="41"/>
      <c r="W47" s="41"/>
      <c r="X47" s="41"/>
      <c r="Y47" s="33">
        <f t="shared" si="1"/>
        <v>0</v>
      </c>
    </row>
    <row r="48" spans="3:25" x14ac:dyDescent="0.25">
      <c r="D48" s="69"/>
      <c r="E48" s="34"/>
      <c r="F48" s="34"/>
      <c r="H48" s="35"/>
      <c r="I48" s="36"/>
      <c r="J48" s="37"/>
      <c r="K48" s="38"/>
      <c r="L48" s="29"/>
      <c r="M48" s="29"/>
      <c r="N48" s="29"/>
      <c r="O48" s="39"/>
      <c r="P48" s="40">
        <f t="shared" si="0"/>
        <v>0</v>
      </c>
      <c r="Q48" s="40">
        <f t="shared" si="2"/>
        <v>0</v>
      </c>
      <c r="R48" s="40">
        <f t="shared" si="3"/>
        <v>0</v>
      </c>
      <c r="S48" s="41"/>
      <c r="T48" s="41"/>
      <c r="U48" s="41"/>
      <c r="V48" s="41"/>
      <c r="W48" s="41"/>
      <c r="X48" s="41"/>
      <c r="Y48" s="33">
        <f t="shared" si="1"/>
        <v>0</v>
      </c>
    </row>
    <row r="49" spans="4:25" x14ac:dyDescent="0.25">
      <c r="D49" s="69"/>
      <c r="E49" s="34"/>
      <c r="F49" s="34"/>
      <c r="H49" s="35"/>
      <c r="I49" s="36"/>
      <c r="J49" s="37"/>
      <c r="K49" s="38"/>
      <c r="L49" s="29"/>
      <c r="M49" s="29"/>
      <c r="N49" s="29"/>
      <c r="O49" s="39"/>
      <c r="P49" s="40">
        <f t="shared" si="0"/>
        <v>0</v>
      </c>
      <c r="Q49" s="40">
        <f t="shared" si="2"/>
        <v>0</v>
      </c>
      <c r="R49" s="40">
        <f t="shared" si="3"/>
        <v>0</v>
      </c>
      <c r="S49" s="41"/>
      <c r="T49" s="41"/>
      <c r="U49" s="41"/>
      <c r="V49" s="41"/>
      <c r="W49" s="41"/>
      <c r="X49" s="41"/>
      <c r="Y49" s="33">
        <f t="shared" si="1"/>
        <v>0</v>
      </c>
    </row>
    <row r="50" spans="4:25" x14ac:dyDescent="0.25">
      <c r="D50" s="69"/>
      <c r="E50" s="34"/>
      <c r="F50" s="34"/>
      <c r="H50" s="35"/>
      <c r="I50" s="36"/>
      <c r="J50" s="37"/>
      <c r="K50" s="38"/>
      <c r="L50" s="29"/>
      <c r="M50" s="29"/>
      <c r="N50" s="29"/>
      <c r="O50" s="39"/>
      <c r="P50" s="40">
        <f t="shared" si="0"/>
        <v>0</v>
      </c>
      <c r="Q50" s="40">
        <f t="shared" si="2"/>
        <v>0</v>
      </c>
      <c r="R50" s="40">
        <f t="shared" si="3"/>
        <v>0</v>
      </c>
      <c r="S50" s="41"/>
      <c r="T50" s="41"/>
      <c r="U50" s="41"/>
      <c r="V50" s="41"/>
      <c r="W50" s="41"/>
      <c r="X50" s="41"/>
      <c r="Y50" s="33">
        <f t="shared" si="1"/>
        <v>0</v>
      </c>
    </row>
    <row r="51" spans="4:25" x14ac:dyDescent="0.25">
      <c r="D51" s="69"/>
      <c r="E51" s="34"/>
      <c r="F51" s="34"/>
      <c r="H51" s="35"/>
      <c r="I51" s="36"/>
      <c r="J51" s="37"/>
      <c r="K51" s="38"/>
      <c r="L51" s="29"/>
      <c r="M51" s="29"/>
      <c r="N51" s="29"/>
      <c r="O51" s="39"/>
      <c r="P51" s="40">
        <f t="shared" si="0"/>
        <v>0</v>
      </c>
      <c r="Q51" s="40">
        <f t="shared" si="2"/>
        <v>0</v>
      </c>
      <c r="R51" s="40">
        <f t="shared" si="3"/>
        <v>0</v>
      </c>
      <c r="S51" s="41"/>
      <c r="T51" s="41"/>
      <c r="U51" s="41"/>
      <c r="V51" s="41"/>
      <c r="W51" s="41"/>
      <c r="X51" s="41"/>
      <c r="Y51" s="33">
        <f t="shared" si="1"/>
        <v>0</v>
      </c>
    </row>
    <row r="52" spans="4:25" x14ac:dyDescent="0.25">
      <c r="D52" s="69"/>
      <c r="E52" s="34"/>
      <c r="F52" s="34"/>
      <c r="H52" s="35"/>
      <c r="I52" s="36"/>
      <c r="J52" s="37"/>
      <c r="K52" s="38"/>
      <c r="L52" s="29"/>
      <c r="M52" s="29"/>
      <c r="N52" s="29"/>
      <c r="O52" s="39"/>
      <c r="P52" s="40">
        <f t="shared" si="0"/>
        <v>0</v>
      </c>
      <c r="Q52" s="40">
        <f t="shared" si="2"/>
        <v>0</v>
      </c>
      <c r="R52" s="40">
        <f t="shared" si="3"/>
        <v>0</v>
      </c>
      <c r="S52" s="41"/>
      <c r="T52" s="41"/>
      <c r="U52" s="41"/>
      <c r="V52" s="41"/>
      <c r="W52" s="41"/>
      <c r="X52" s="41"/>
      <c r="Y52" s="33">
        <f t="shared" si="1"/>
        <v>0</v>
      </c>
    </row>
    <row r="53" spans="4:25" x14ac:dyDescent="0.25">
      <c r="D53" s="69"/>
      <c r="E53" s="34"/>
      <c r="F53" s="34"/>
      <c r="H53" s="35"/>
      <c r="I53" s="36"/>
      <c r="J53" s="37"/>
      <c r="K53" s="38"/>
      <c r="L53" s="29"/>
      <c r="M53" s="29"/>
      <c r="N53" s="29"/>
      <c r="O53" s="39"/>
      <c r="P53" s="40">
        <f t="shared" si="0"/>
        <v>0</v>
      </c>
      <c r="Q53" s="40">
        <f t="shared" si="2"/>
        <v>0</v>
      </c>
      <c r="R53" s="40">
        <f t="shared" si="3"/>
        <v>0</v>
      </c>
      <c r="S53" s="41"/>
      <c r="T53" s="41"/>
      <c r="U53" s="41"/>
      <c r="V53" s="41"/>
      <c r="W53" s="41"/>
      <c r="X53" s="41"/>
      <c r="Y53" s="33">
        <f t="shared" si="1"/>
        <v>0</v>
      </c>
    </row>
    <row r="54" spans="4:25" x14ac:dyDescent="0.25">
      <c r="D54" s="69"/>
      <c r="E54" s="34"/>
      <c r="F54" s="34"/>
      <c r="H54" s="35"/>
      <c r="I54" s="36"/>
      <c r="J54" s="37"/>
      <c r="K54" s="38"/>
      <c r="L54" s="29"/>
      <c r="M54" s="29"/>
      <c r="N54" s="29"/>
      <c r="O54" s="39"/>
      <c r="P54" s="40">
        <f t="shared" si="0"/>
        <v>0</v>
      </c>
      <c r="Q54" s="40">
        <f t="shared" si="2"/>
        <v>0</v>
      </c>
      <c r="R54" s="40">
        <f t="shared" si="3"/>
        <v>0</v>
      </c>
      <c r="S54" s="41"/>
      <c r="T54" s="41"/>
      <c r="U54" s="41"/>
      <c r="V54" s="41"/>
      <c r="W54" s="41"/>
      <c r="X54" s="41"/>
      <c r="Y54" s="33">
        <f t="shared" si="1"/>
        <v>0</v>
      </c>
    </row>
    <row r="55" spans="4:25" x14ac:dyDescent="0.25">
      <c r="D55" s="69"/>
      <c r="E55" s="34"/>
      <c r="F55" s="34"/>
      <c r="H55" s="35"/>
      <c r="I55" s="36"/>
      <c r="J55" s="37"/>
      <c r="K55" s="38"/>
      <c r="L55" s="29"/>
      <c r="M55" s="29"/>
      <c r="N55" s="29"/>
      <c r="O55" s="39"/>
      <c r="P55" s="40">
        <f t="shared" si="0"/>
        <v>0</v>
      </c>
      <c r="Q55" s="40">
        <f t="shared" si="2"/>
        <v>0</v>
      </c>
      <c r="R55" s="40">
        <f t="shared" si="3"/>
        <v>0</v>
      </c>
      <c r="S55" s="41"/>
      <c r="T55" s="41"/>
      <c r="U55" s="41"/>
      <c r="V55" s="41"/>
      <c r="W55" s="41"/>
      <c r="X55" s="41"/>
      <c r="Y55" s="33">
        <f t="shared" si="1"/>
        <v>0</v>
      </c>
    </row>
    <row r="56" spans="4:25" x14ac:dyDescent="0.25">
      <c r="D56" s="69"/>
      <c r="E56" s="34"/>
      <c r="F56" s="34"/>
      <c r="H56" s="35"/>
      <c r="I56" s="36"/>
      <c r="J56" s="37"/>
      <c r="K56" s="38"/>
      <c r="L56" s="29"/>
      <c r="M56" s="29"/>
      <c r="N56" s="29"/>
      <c r="O56" s="39"/>
      <c r="P56" s="40">
        <f t="shared" si="0"/>
        <v>0</v>
      </c>
      <c r="Q56" s="40">
        <f t="shared" si="2"/>
        <v>0</v>
      </c>
      <c r="R56" s="40">
        <f t="shared" si="3"/>
        <v>0</v>
      </c>
      <c r="S56" s="41"/>
      <c r="T56" s="41"/>
      <c r="U56" s="41"/>
      <c r="V56" s="41"/>
      <c r="W56" s="41"/>
      <c r="X56" s="41"/>
      <c r="Y56" s="33">
        <f t="shared" si="1"/>
        <v>0</v>
      </c>
    </row>
    <row r="57" spans="4:25" x14ac:dyDescent="0.25">
      <c r="D57" s="69"/>
      <c r="E57" s="34"/>
      <c r="F57" s="34"/>
      <c r="H57" s="35"/>
      <c r="I57" s="36"/>
      <c r="J57" s="37"/>
      <c r="K57" s="38"/>
      <c r="L57" s="29"/>
      <c r="M57" s="29"/>
      <c r="N57" s="29"/>
      <c r="O57" s="39"/>
      <c r="P57" s="40">
        <f t="shared" si="0"/>
        <v>0</v>
      </c>
      <c r="Q57" s="40">
        <f t="shared" si="2"/>
        <v>0</v>
      </c>
      <c r="R57" s="40">
        <f t="shared" si="3"/>
        <v>0</v>
      </c>
      <c r="S57" s="41"/>
      <c r="T57" s="41"/>
      <c r="U57" s="41"/>
      <c r="V57" s="41"/>
      <c r="W57" s="41"/>
      <c r="X57" s="41"/>
      <c r="Y57" s="33">
        <f t="shared" si="1"/>
        <v>0</v>
      </c>
    </row>
    <row r="58" spans="4:25" x14ac:dyDescent="0.25">
      <c r="D58" s="69"/>
      <c r="E58" s="34"/>
      <c r="F58" s="34"/>
      <c r="H58" s="35"/>
      <c r="I58" s="36"/>
      <c r="J58" s="37"/>
      <c r="K58" s="38"/>
      <c r="L58" s="29"/>
      <c r="M58" s="29"/>
      <c r="N58" s="29"/>
      <c r="O58" s="39"/>
      <c r="P58" s="40">
        <f t="shared" si="0"/>
        <v>0</v>
      </c>
      <c r="Q58" s="40">
        <f t="shared" si="2"/>
        <v>0</v>
      </c>
      <c r="R58" s="40">
        <f t="shared" si="3"/>
        <v>0</v>
      </c>
      <c r="S58" s="41"/>
      <c r="T58" s="41"/>
      <c r="U58" s="41"/>
      <c r="V58" s="41"/>
      <c r="W58" s="41"/>
      <c r="X58" s="41"/>
      <c r="Y58" s="33">
        <f t="shared" si="1"/>
        <v>0</v>
      </c>
    </row>
    <row r="59" spans="4:25" x14ac:dyDescent="0.25">
      <c r="D59" s="69"/>
      <c r="E59" s="34"/>
      <c r="F59" s="34"/>
      <c r="H59" s="35"/>
      <c r="I59" s="36"/>
      <c r="J59" s="37"/>
      <c r="K59" s="38"/>
      <c r="L59" s="29"/>
      <c r="M59" s="29"/>
      <c r="N59" s="29"/>
      <c r="O59" s="39"/>
      <c r="P59" s="40">
        <f t="shared" si="0"/>
        <v>0</v>
      </c>
      <c r="Q59" s="40">
        <f t="shared" si="2"/>
        <v>0</v>
      </c>
      <c r="R59" s="40">
        <f t="shared" si="3"/>
        <v>0</v>
      </c>
      <c r="S59" s="41"/>
      <c r="T59" s="41"/>
      <c r="U59" s="41"/>
      <c r="V59" s="41"/>
      <c r="W59" s="41"/>
      <c r="X59" s="41"/>
      <c r="Y59" s="33">
        <f t="shared" si="1"/>
        <v>0</v>
      </c>
    </row>
    <row r="60" spans="4:25" x14ac:dyDescent="0.25">
      <c r="D60" s="69"/>
      <c r="E60" s="34"/>
      <c r="F60" s="34"/>
      <c r="H60" s="35"/>
      <c r="I60" s="36"/>
      <c r="J60" s="37"/>
      <c r="K60" s="38"/>
      <c r="L60" s="29"/>
      <c r="M60" s="29"/>
      <c r="N60" s="29"/>
      <c r="O60" s="39"/>
      <c r="P60" s="40">
        <f t="shared" si="0"/>
        <v>0</v>
      </c>
      <c r="Q60" s="40">
        <f t="shared" si="2"/>
        <v>0</v>
      </c>
      <c r="R60" s="40">
        <f t="shared" si="3"/>
        <v>0</v>
      </c>
      <c r="S60" s="41"/>
      <c r="T60" s="41"/>
      <c r="U60" s="41"/>
      <c r="V60" s="41"/>
      <c r="W60" s="41"/>
      <c r="X60" s="41"/>
      <c r="Y60" s="33">
        <f t="shared" si="1"/>
        <v>0</v>
      </c>
    </row>
    <row r="61" spans="4:25" x14ac:dyDescent="0.25">
      <c r="D61" s="69"/>
      <c r="E61" s="34"/>
      <c r="F61" s="34"/>
      <c r="H61" s="35"/>
      <c r="I61" s="36"/>
      <c r="J61" s="37"/>
      <c r="K61" s="38"/>
      <c r="L61" s="29"/>
      <c r="M61" s="29"/>
      <c r="N61" s="29"/>
      <c r="O61" s="39"/>
      <c r="P61" s="40">
        <f t="shared" si="0"/>
        <v>0</v>
      </c>
      <c r="Q61" s="40">
        <f t="shared" si="2"/>
        <v>0</v>
      </c>
      <c r="R61" s="40">
        <f t="shared" si="3"/>
        <v>0</v>
      </c>
      <c r="S61" s="41"/>
      <c r="T61" s="41"/>
      <c r="U61" s="41"/>
      <c r="V61" s="41"/>
      <c r="W61" s="41"/>
      <c r="X61" s="41"/>
      <c r="Y61" s="33">
        <f t="shared" si="1"/>
        <v>0</v>
      </c>
    </row>
    <row r="62" spans="4:25" x14ac:dyDescent="0.25">
      <c r="D62" s="69"/>
      <c r="E62" s="34"/>
      <c r="F62" s="34"/>
      <c r="H62" s="35"/>
      <c r="I62" s="36"/>
      <c r="J62" s="37"/>
      <c r="K62" s="38"/>
      <c r="L62" s="29"/>
      <c r="M62" s="29"/>
      <c r="N62" s="29"/>
      <c r="O62" s="39"/>
      <c r="P62" s="40">
        <f t="shared" si="0"/>
        <v>0</v>
      </c>
      <c r="Q62" s="40">
        <f t="shared" si="2"/>
        <v>0</v>
      </c>
      <c r="R62" s="40">
        <f t="shared" si="3"/>
        <v>0</v>
      </c>
      <c r="S62" s="41"/>
      <c r="T62" s="41"/>
      <c r="U62" s="41"/>
      <c r="V62" s="41"/>
      <c r="W62" s="41"/>
      <c r="X62" s="41"/>
      <c r="Y62" s="33">
        <f t="shared" si="1"/>
        <v>0</v>
      </c>
    </row>
    <row r="63" spans="4:25" x14ac:dyDescent="0.25">
      <c r="D63" s="69"/>
      <c r="E63" s="34"/>
      <c r="F63" s="34"/>
      <c r="H63" s="35"/>
      <c r="I63" s="36"/>
      <c r="J63" s="37"/>
      <c r="K63" s="38"/>
      <c r="L63" s="29"/>
      <c r="M63" s="29"/>
      <c r="N63" s="29"/>
      <c r="O63" s="39"/>
      <c r="P63" s="40">
        <f t="shared" si="0"/>
        <v>0</v>
      </c>
      <c r="Q63" s="40">
        <f t="shared" si="2"/>
        <v>0</v>
      </c>
      <c r="R63" s="40">
        <f t="shared" si="3"/>
        <v>0</v>
      </c>
      <c r="S63" s="41"/>
      <c r="T63" s="41"/>
      <c r="U63" s="41"/>
      <c r="V63" s="41"/>
      <c r="W63" s="41"/>
      <c r="X63" s="41"/>
      <c r="Y63" s="33">
        <f t="shared" si="1"/>
        <v>0</v>
      </c>
    </row>
    <row r="64" spans="4:25" x14ac:dyDescent="0.25">
      <c r="D64" s="69"/>
      <c r="E64" s="34"/>
      <c r="F64" s="34"/>
      <c r="H64" s="35"/>
      <c r="I64" s="36"/>
      <c r="J64" s="37"/>
      <c r="K64" s="38"/>
      <c r="L64" s="29"/>
      <c r="M64" s="29"/>
      <c r="N64" s="29"/>
      <c r="O64" s="39"/>
      <c r="P64" s="40">
        <f t="shared" si="0"/>
        <v>0</v>
      </c>
      <c r="Q64" s="40">
        <f t="shared" si="2"/>
        <v>0</v>
      </c>
      <c r="R64" s="40">
        <f t="shared" si="3"/>
        <v>0</v>
      </c>
      <c r="S64" s="41"/>
      <c r="T64" s="41"/>
      <c r="U64" s="41"/>
      <c r="V64" s="41"/>
      <c r="W64" s="41"/>
      <c r="X64" s="41"/>
      <c r="Y64" s="33">
        <f t="shared" si="1"/>
        <v>0</v>
      </c>
    </row>
    <row r="65" spans="4:25" x14ac:dyDescent="0.25">
      <c r="D65" s="69"/>
      <c r="E65" s="34"/>
      <c r="F65" s="34"/>
      <c r="H65" s="35"/>
      <c r="I65" s="36"/>
      <c r="J65" s="37"/>
      <c r="K65" s="38"/>
      <c r="L65" s="29"/>
      <c r="M65" s="29"/>
      <c r="N65" s="29"/>
      <c r="O65" s="39"/>
      <c r="P65" s="40">
        <f t="shared" si="0"/>
        <v>0</v>
      </c>
      <c r="Q65" s="40">
        <f t="shared" si="2"/>
        <v>0</v>
      </c>
      <c r="R65" s="40">
        <f t="shared" si="3"/>
        <v>0</v>
      </c>
      <c r="S65" s="41"/>
      <c r="T65" s="41"/>
      <c r="U65" s="41"/>
      <c r="V65" s="41"/>
      <c r="W65" s="41"/>
      <c r="X65" s="41"/>
      <c r="Y65" s="33">
        <f t="shared" si="1"/>
        <v>0</v>
      </c>
    </row>
    <row r="66" spans="4:25" x14ac:dyDescent="0.25">
      <c r="D66" s="69"/>
      <c r="E66" s="34"/>
      <c r="F66" s="34"/>
      <c r="H66" s="35"/>
      <c r="I66" s="36"/>
      <c r="J66" s="37"/>
      <c r="K66" s="38"/>
      <c r="L66" s="29"/>
      <c r="M66" s="29"/>
      <c r="N66" s="29"/>
      <c r="O66" s="39"/>
      <c r="P66" s="40">
        <f t="shared" si="0"/>
        <v>0</v>
      </c>
      <c r="Q66" s="40">
        <f t="shared" si="2"/>
        <v>0</v>
      </c>
      <c r="R66" s="40">
        <f t="shared" si="3"/>
        <v>0</v>
      </c>
      <c r="S66" s="41"/>
      <c r="T66" s="41"/>
      <c r="U66" s="41"/>
      <c r="V66" s="41"/>
      <c r="W66" s="41"/>
      <c r="X66" s="41"/>
      <c r="Y66" s="33">
        <f t="shared" si="1"/>
        <v>0</v>
      </c>
    </row>
    <row r="67" spans="4:25" x14ac:dyDescent="0.25">
      <c r="D67" s="69"/>
      <c r="E67" s="34"/>
      <c r="F67" s="34"/>
      <c r="H67" s="35"/>
      <c r="I67" s="36"/>
      <c r="J67" s="37"/>
      <c r="K67" s="38"/>
      <c r="L67" s="29"/>
      <c r="M67" s="29"/>
      <c r="N67" s="29"/>
      <c r="O67" s="39"/>
      <c r="P67" s="40">
        <f t="shared" ref="P67:P130" si="4">$L67*$O67</f>
        <v>0</v>
      </c>
      <c r="Q67" s="40">
        <f t="shared" si="2"/>
        <v>0</v>
      </c>
      <c r="R67" s="40">
        <f t="shared" si="3"/>
        <v>0</v>
      </c>
      <c r="S67" s="41"/>
      <c r="T67" s="41"/>
      <c r="U67" s="41"/>
      <c r="V67" s="41"/>
      <c r="W67" s="41"/>
      <c r="X67" s="41"/>
      <c r="Y67" s="33">
        <f t="shared" ref="Y67:Y130" si="5">SUM(R67:X67)</f>
        <v>0</v>
      </c>
    </row>
    <row r="68" spans="4:25" x14ac:dyDescent="0.25">
      <c r="D68" s="69"/>
      <c r="E68" s="34"/>
      <c r="F68" s="34"/>
      <c r="H68" s="35"/>
      <c r="I68" s="36"/>
      <c r="J68" s="37"/>
      <c r="K68" s="38"/>
      <c r="L68" s="29"/>
      <c r="M68" s="29"/>
      <c r="N68" s="29"/>
      <c r="O68" s="39"/>
      <c r="P68" s="40">
        <f t="shared" si="4"/>
        <v>0</v>
      </c>
      <c r="Q68" s="40">
        <f t="shared" ref="Q68:Q131" si="6">IF(E68="NE",(M68*O68*1.5),(M68*O68))</f>
        <v>0</v>
      </c>
      <c r="R68" s="40">
        <f t="shared" ref="R68:R131" si="7">P68+Q68</f>
        <v>0</v>
      </c>
      <c r="S68" s="41"/>
      <c r="T68" s="41"/>
      <c r="U68" s="41"/>
      <c r="V68" s="41"/>
      <c r="W68" s="41"/>
      <c r="X68" s="41"/>
      <c r="Y68" s="33">
        <f t="shared" si="5"/>
        <v>0</v>
      </c>
    </row>
    <row r="69" spans="4:25" x14ac:dyDescent="0.25">
      <c r="D69" s="69"/>
      <c r="E69" s="34"/>
      <c r="F69" s="34"/>
      <c r="H69" s="35"/>
      <c r="I69" s="36"/>
      <c r="J69" s="37"/>
      <c r="K69" s="38"/>
      <c r="L69" s="29"/>
      <c r="M69" s="29"/>
      <c r="N69" s="29"/>
      <c r="O69" s="39"/>
      <c r="P69" s="40">
        <f t="shared" si="4"/>
        <v>0</v>
      </c>
      <c r="Q69" s="40">
        <f t="shared" si="6"/>
        <v>0</v>
      </c>
      <c r="R69" s="40">
        <f t="shared" si="7"/>
        <v>0</v>
      </c>
      <c r="S69" s="41"/>
      <c r="T69" s="41"/>
      <c r="U69" s="41"/>
      <c r="V69" s="41"/>
      <c r="W69" s="41"/>
      <c r="X69" s="41"/>
      <c r="Y69" s="33">
        <f t="shared" si="5"/>
        <v>0</v>
      </c>
    </row>
    <row r="70" spans="4:25" x14ac:dyDescent="0.25">
      <c r="D70" s="69"/>
      <c r="E70" s="34"/>
      <c r="F70" s="34"/>
      <c r="H70" s="35"/>
      <c r="I70" s="36"/>
      <c r="J70" s="37"/>
      <c r="K70" s="38"/>
      <c r="L70" s="29"/>
      <c r="M70" s="29"/>
      <c r="N70" s="29"/>
      <c r="O70" s="39"/>
      <c r="P70" s="40">
        <f t="shared" si="4"/>
        <v>0</v>
      </c>
      <c r="Q70" s="40">
        <f t="shared" si="6"/>
        <v>0</v>
      </c>
      <c r="R70" s="40">
        <f t="shared" si="7"/>
        <v>0</v>
      </c>
      <c r="S70" s="41"/>
      <c r="T70" s="41"/>
      <c r="U70" s="41"/>
      <c r="V70" s="41"/>
      <c r="W70" s="41"/>
      <c r="X70" s="41"/>
      <c r="Y70" s="33">
        <f t="shared" si="5"/>
        <v>0</v>
      </c>
    </row>
    <row r="71" spans="4:25" x14ac:dyDescent="0.25">
      <c r="D71" s="69"/>
      <c r="E71" s="34"/>
      <c r="F71" s="34"/>
      <c r="H71" s="35"/>
      <c r="I71" s="36"/>
      <c r="J71" s="37"/>
      <c r="K71" s="38"/>
      <c r="L71" s="29"/>
      <c r="M71" s="29"/>
      <c r="N71" s="29"/>
      <c r="O71" s="39"/>
      <c r="P71" s="40">
        <f t="shared" si="4"/>
        <v>0</v>
      </c>
      <c r="Q71" s="40">
        <f t="shared" si="6"/>
        <v>0</v>
      </c>
      <c r="R71" s="40">
        <f t="shared" si="7"/>
        <v>0</v>
      </c>
      <c r="S71" s="41"/>
      <c r="T71" s="41"/>
      <c r="U71" s="41"/>
      <c r="V71" s="41"/>
      <c r="W71" s="41"/>
      <c r="X71" s="41"/>
      <c r="Y71" s="33">
        <f t="shared" si="5"/>
        <v>0</v>
      </c>
    </row>
    <row r="72" spans="4:25" x14ac:dyDescent="0.25">
      <c r="D72" s="69"/>
      <c r="E72" s="34"/>
      <c r="F72" s="34"/>
      <c r="H72" s="35"/>
      <c r="I72" s="36"/>
      <c r="J72" s="37"/>
      <c r="K72" s="38"/>
      <c r="L72" s="29"/>
      <c r="M72" s="29"/>
      <c r="N72" s="29"/>
      <c r="O72" s="39"/>
      <c r="P72" s="40">
        <f t="shared" si="4"/>
        <v>0</v>
      </c>
      <c r="Q72" s="40">
        <f t="shared" si="6"/>
        <v>0</v>
      </c>
      <c r="R72" s="40">
        <f t="shared" si="7"/>
        <v>0</v>
      </c>
      <c r="S72" s="41"/>
      <c r="T72" s="41"/>
      <c r="U72" s="41"/>
      <c r="V72" s="41"/>
      <c r="W72" s="41"/>
      <c r="X72" s="41"/>
      <c r="Y72" s="33">
        <f t="shared" si="5"/>
        <v>0</v>
      </c>
    </row>
    <row r="73" spans="4:25" x14ac:dyDescent="0.25">
      <c r="D73" s="69"/>
      <c r="E73" s="34"/>
      <c r="F73" s="34"/>
      <c r="H73" s="35"/>
      <c r="I73" s="36"/>
      <c r="J73" s="37"/>
      <c r="K73" s="38"/>
      <c r="L73" s="29"/>
      <c r="M73" s="29"/>
      <c r="N73" s="29"/>
      <c r="O73" s="39"/>
      <c r="P73" s="40">
        <f t="shared" si="4"/>
        <v>0</v>
      </c>
      <c r="Q73" s="40">
        <f t="shared" si="6"/>
        <v>0</v>
      </c>
      <c r="R73" s="40">
        <f t="shared" si="7"/>
        <v>0</v>
      </c>
      <c r="S73" s="41"/>
      <c r="T73" s="41"/>
      <c r="U73" s="41"/>
      <c r="V73" s="41"/>
      <c r="W73" s="41"/>
      <c r="X73" s="41"/>
      <c r="Y73" s="33">
        <f t="shared" si="5"/>
        <v>0</v>
      </c>
    </row>
    <row r="74" spans="4:25" x14ac:dyDescent="0.25">
      <c r="D74" s="69"/>
      <c r="E74" s="34"/>
      <c r="F74" s="34"/>
      <c r="H74" s="35"/>
      <c r="I74" s="36"/>
      <c r="J74" s="37"/>
      <c r="K74" s="38"/>
      <c r="L74" s="29"/>
      <c r="M74" s="29"/>
      <c r="N74" s="29"/>
      <c r="O74" s="39"/>
      <c r="P74" s="40">
        <f t="shared" si="4"/>
        <v>0</v>
      </c>
      <c r="Q74" s="40">
        <f t="shared" si="6"/>
        <v>0</v>
      </c>
      <c r="R74" s="40">
        <f t="shared" si="7"/>
        <v>0</v>
      </c>
      <c r="S74" s="41"/>
      <c r="T74" s="41"/>
      <c r="U74" s="41"/>
      <c r="V74" s="41"/>
      <c r="W74" s="41"/>
      <c r="X74" s="41"/>
      <c r="Y74" s="33">
        <f t="shared" si="5"/>
        <v>0</v>
      </c>
    </row>
    <row r="75" spans="4:25" x14ac:dyDescent="0.25">
      <c r="D75" s="69"/>
      <c r="E75" s="34"/>
      <c r="F75" s="34"/>
      <c r="H75" s="35"/>
      <c r="I75" s="36"/>
      <c r="J75" s="37"/>
      <c r="K75" s="38"/>
      <c r="L75" s="29"/>
      <c r="M75" s="29"/>
      <c r="N75" s="29"/>
      <c r="O75" s="39"/>
      <c r="P75" s="40">
        <f t="shared" si="4"/>
        <v>0</v>
      </c>
      <c r="Q75" s="40">
        <f t="shared" si="6"/>
        <v>0</v>
      </c>
      <c r="R75" s="40">
        <f t="shared" si="7"/>
        <v>0</v>
      </c>
      <c r="S75" s="41"/>
      <c r="T75" s="41"/>
      <c r="U75" s="41"/>
      <c r="V75" s="41"/>
      <c r="W75" s="41"/>
      <c r="X75" s="41"/>
      <c r="Y75" s="33">
        <f t="shared" si="5"/>
        <v>0</v>
      </c>
    </row>
    <row r="76" spans="4:25" x14ac:dyDescent="0.25">
      <c r="D76" s="69"/>
      <c r="E76" s="34"/>
      <c r="F76" s="34"/>
      <c r="H76" s="35"/>
      <c r="I76" s="36"/>
      <c r="J76" s="37"/>
      <c r="K76" s="38"/>
      <c r="L76" s="29"/>
      <c r="M76" s="29"/>
      <c r="N76" s="29"/>
      <c r="O76" s="39"/>
      <c r="P76" s="40">
        <f t="shared" si="4"/>
        <v>0</v>
      </c>
      <c r="Q76" s="40">
        <f t="shared" si="6"/>
        <v>0</v>
      </c>
      <c r="R76" s="40">
        <f t="shared" si="7"/>
        <v>0</v>
      </c>
      <c r="S76" s="41"/>
      <c r="T76" s="41"/>
      <c r="U76" s="41"/>
      <c r="V76" s="41"/>
      <c r="W76" s="41"/>
      <c r="X76" s="41"/>
      <c r="Y76" s="33">
        <f t="shared" si="5"/>
        <v>0</v>
      </c>
    </row>
    <row r="77" spans="4:25" x14ac:dyDescent="0.25">
      <c r="D77" s="69"/>
      <c r="E77" s="34"/>
      <c r="F77" s="34"/>
      <c r="H77" s="35"/>
      <c r="I77" s="36"/>
      <c r="J77" s="37"/>
      <c r="K77" s="38"/>
      <c r="L77" s="29"/>
      <c r="M77" s="29"/>
      <c r="N77" s="29"/>
      <c r="O77" s="39"/>
      <c r="P77" s="40">
        <f t="shared" si="4"/>
        <v>0</v>
      </c>
      <c r="Q77" s="40">
        <f t="shared" si="6"/>
        <v>0</v>
      </c>
      <c r="R77" s="40">
        <f t="shared" si="7"/>
        <v>0</v>
      </c>
      <c r="S77" s="41"/>
      <c r="T77" s="41"/>
      <c r="U77" s="41"/>
      <c r="V77" s="41"/>
      <c r="W77" s="41"/>
      <c r="X77" s="41"/>
      <c r="Y77" s="33">
        <f t="shared" si="5"/>
        <v>0</v>
      </c>
    </row>
    <row r="78" spans="4:25" x14ac:dyDescent="0.25">
      <c r="D78" s="69"/>
      <c r="E78" s="34"/>
      <c r="F78" s="34"/>
      <c r="H78" s="35"/>
      <c r="I78" s="36"/>
      <c r="J78" s="37"/>
      <c r="K78" s="38"/>
      <c r="L78" s="29"/>
      <c r="M78" s="29"/>
      <c r="N78" s="29"/>
      <c r="O78" s="39"/>
      <c r="P78" s="40">
        <f t="shared" si="4"/>
        <v>0</v>
      </c>
      <c r="Q78" s="40">
        <f t="shared" si="6"/>
        <v>0</v>
      </c>
      <c r="R78" s="40">
        <f t="shared" si="7"/>
        <v>0</v>
      </c>
      <c r="S78" s="41"/>
      <c r="T78" s="41"/>
      <c r="U78" s="41"/>
      <c r="V78" s="41"/>
      <c r="W78" s="41"/>
      <c r="X78" s="41"/>
      <c r="Y78" s="33">
        <f t="shared" si="5"/>
        <v>0</v>
      </c>
    </row>
    <row r="79" spans="4:25" x14ac:dyDescent="0.25">
      <c r="D79" s="69"/>
      <c r="E79" s="34"/>
      <c r="F79" s="34"/>
      <c r="H79" s="35"/>
      <c r="I79" s="36"/>
      <c r="J79" s="37"/>
      <c r="K79" s="38"/>
      <c r="L79" s="29"/>
      <c r="M79" s="29"/>
      <c r="N79" s="29"/>
      <c r="O79" s="39"/>
      <c r="P79" s="40">
        <f t="shared" si="4"/>
        <v>0</v>
      </c>
      <c r="Q79" s="40">
        <f t="shared" si="6"/>
        <v>0</v>
      </c>
      <c r="R79" s="40">
        <f t="shared" si="7"/>
        <v>0</v>
      </c>
      <c r="S79" s="41"/>
      <c r="T79" s="41"/>
      <c r="U79" s="41"/>
      <c r="V79" s="41"/>
      <c r="W79" s="41"/>
      <c r="X79" s="41"/>
      <c r="Y79" s="33">
        <f t="shared" si="5"/>
        <v>0</v>
      </c>
    </row>
    <row r="80" spans="4:25" x14ac:dyDescent="0.25">
      <c r="D80" s="69"/>
      <c r="E80" s="34"/>
      <c r="F80" s="34"/>
      <c r="H80" s="35"/>
      <c r="I80" s="36"/>
      <c r="J80" s="37"/>
      <c r="K80" s="38"/>
      <c r="L80" s="29"/>
      <c r="M80" s="29"/>
      <c r="N80" s="29"/>
      <c r="O80" s="39"/>
      <c r="P80" s="40">
        <f t="shared" si="4"/>
        <v>0</v>
      </c>
      <c r="Q80" s="40">
        <f t="shared" si="6"/>
        <v>0</v>
      </c>
      <c r="R80" s="40">
        <f t="shared" si="7"/>
        <v>0</v>
      </c>
      <c r="S80" s="41"/>
      <c r="T80" s="41"/>
      <c r="U80" s="41"/>
      <c r="V80" s="41"/>
      <c r="W80" s="41"/>
      <c r="X80" s="41"/>
      <c r="Y80" s="33">
        <f t="shared" si="5"/>
        <v>0</v>
      </c>
    </row>
    <row r="81" spans="4:25" x14ac:dyDescent="0.25">
      <c r="D81" s="69"/>
      <c r="E81" s="34"/>
      <c r="F81" s="34"/>
      <c r="H81" s="35"/>
      <c r="I81" s="36"/>
      <c r="J81" s="37"/>
      <c r="K81" s="38"/>
      <c r="L81" s="29"/>
      <c r="M81" s="29"/>
      <c r="N81" s="29"/>
      <c r="O81" s="39"/>
      <c r="P81" s="40">
        <f t="shared" si="4"/>
        <v>0</v>
      </c>
      <c r="Q81" s="40">
        <f t="shared" si="6"/>
        <v>0</v>
      </c>
      <c r="R81" s="40">
        <f t="shared" si="7"/>
        <v>0</v>
      </c>
      <c r="S81" s="41"/>
      <c r="T81" s="41"/>
      <c r="U81" s="41"/>
      <c r="V81" s="41"/>
      <c r="W81" s="41"/>
      <c r="X81" s="41"/>
      <c r="Y81" s="33">
        <f t="shared" si="5"/>
        <v>0</v>
      </c>
    </row>
    <row r="82" spans="4:25" x14ac:dyDescent="0.25">
      <c r="D82" s="69"/>
      <c r="E82" s="34"/>
      <c r="F82" s="34"/>
      <c r="G82" s="38"/>
      <c r="H82" s="35"/>
      <c r="I82" s="36"/>
      <c r="J82" s="37"/>
      <c r="K82" s="38"/>
      <c r="L82" s="29"/>
      <c r="M82" s="29"/>
      <c r="N82" s="29"/>
      <c r="O82" s="39"/>
      <c r="P82" s="40">
        <f t="shared" si="4"/>
        <v>0</v>
      </c>
      <c r="Q82" s="40">
        <f t="shared" si="6"/>
        <v>0</v>
      </c>
      <c r="R82" s="40">
        <f t="shared" si="7"/>
        <v>0</v>
      </c>
      <c r="S82" s="41"/>
      <c r="T82" s="41"/>
      <c r="U82" s="41"/>
      <c r="V82" s="41"/>
      <c r="W82" s="41"/>
      <c r="X82" s="41"/>
      <c r="Y82" s="33">
        <f t="shared" si="5"/>
        <v>0</v>
      </c>
    </row>
    <row r="83" spans="4:25" x14ac:dyDescent="0.25">
      <c r="D83" s="69"/>
      <c r="E83" s="34"/>
      <c r="F83" s="34"/>
      <c r="G83" s="38"/>
      <c r="H83" s="35"/>
      <c r="I83" s="36"/>
      <c r="J83" s="37"/>
      <c r="K83" s="38"/>
      <c r="L83" s="29"/>
      <c r="M83" s="29"/>
      <c r="N83" s="29"/>
      <c r="O83" s="39"/>
      <c r="P83" s="40">
        <f t="shared" si="4"/>
        <v>0</v>
      </c>
      <c r="Q83" s="40">
        <f t="shared" si="6"/>
        <v>0</v>
      </c>
      <c r="R83" s="40">
        <f t="shared" si="7"/>
        <v>0</v>
      </c>
      <c r="S83" s="41"/>
      <c r="T83" s="41"/>
      <c r="U83" s="41"/>
      <c r="V83" s="41"/>
      <c r="W83" s="41"/>
      <c r="X83" s="41"/>
      <c r="Y83" s="33">
        <f t="shared" si="5"/>
        <v>0</v>
      </c>
    </row>
    <row r="84" spans="4:25" x14ac:dyDescent="0.25">
      <c r="D84" s="69"/>
      <c r="E84" s="34"/>
      <c r="F84" s="34"/>
      <c r="H84" s="35"/>
      <c r="I84" s="36"/>
      <c r="J84" s="37"/>
      <c r="K84" s="38"/>
      <c r="L84" s="29"/>
      <c r="M84" s="29"/>
      <c r="N84" s="29"/>
      <c r="O84" s="39"/>
      <c r="P84" s="40">
        <f t="shared" si="4"/>
        <v>0</v>
      </c>
      <c r="Q84" s="40">
        <f t="shared" si="6"/>
        <v>0</v>
      </c>
      <c r="R84" s="40">
        <f t="shared" si="7"/>
        <v>0</v>
      </c>
      <c r="S84" s="41"/>
      <c r="T84" s="41"/>
      <c r="U84" s="41"/>
      <c r="V84" s="41"/>
      <c r="W84" s="41"/>
      <c r="X84" s="41"/>
      <c r="Y84" s="33">
        <f t="shared" si="5"/>
        <v>0</v>
      </c>
    </row>
    <row r="85" spans="4:25" x14ac:dyDescent="0.25">
      <c r="D85" s="69"/>
      <c r="E85" s="34"/>
      <c r="F85" s="34"/>
      <c r="H85" s="35"/>
      <c r="I85" s="36"/>
      <c r="J85" s="37"/>
      <c r="K85" s="38"/>
      <c r="L85" s="29"/>
      <c r="M85" s="29"/>
      <c r="N85" s="29"/>
      <c r="O85" s="39"/>
      <c r="P85" s="40">
        <f t="shared" si="4"/>
        <v>0</v>
      </c>
      <c r="Q85" s="40">
        <f t="shared" si="6"/>
        <v>0</v>
      </c>
      <c r="R85" s="40">
        <f t="shared" si="7"/>
        <v>0</v>
      </c>
      <c r="S85" s="41"/>
      <c r="T85" s="41"/>
      <c r="U85" s="41"/>
      <c r="V85" s="41"/>
      <c r="W85" s="41"/>
      <c r="X85" s="41"/>
      <c r="Y85" s="33">
        <f t="shared" si="5"/>
        <v>0</v>
      </c>
    </row>
    <row r="86" spans="4:25" x14ac:dyDescent="0.25">
      <c r="D86" s="69"/>
      <c r="E86" s="34"/>
      <c r="F86" s="34"/>
      <c r="H86" s="35"/>
      <c r="I86" s="36"/>
      <c r="J86" s="37"/>
      <c r="K86" s="38"/>
      <c r="L86" s="29"/>
      <c r="M86" s="29"/>
      <c r="N86" s="29"/>
      <c r="O86" s="39"/>
      <c r="P86" s="40">
        <f t="shared" si="4"/>
        <v>0</v>
      </c>
      <c r="Q86" s="40">
        <f t="shared" si="6"/>
        <v>0</v>
      </c>
      <c r="R86" s="40">
        <f t="shared" si="7"/>
        <v>0</v>
      </c>
      <c r="S86" s="41"/>
      <c r="T86" s="41"/>
      <c r="U86" s="41"/>
      <c r="V86" s="41"/>
      <c r="W86" s="41"/>
      <c r="X86" s="41"/>
      <c r="Y86" s="33">
        <f t="shared" si="5"/>
        <v>0</v>
      </c>
    </row>
    <row r="87" spans="4:25" x14ac:dyDescent="0.25">
      <c r="D87" s="69"/>
      <c r="E87" s="34"/>
      <c r="F87" s="34"/>
      <c r="H87" s="35"/>
      <c r="I87" s="36"/>
      <c r="J87" s="37"/>
      <c r="K87" s="38"/>
      <c r="L87" s="29"/>
      <c r="M87" s="29"/>
      <c r="N87" s="29"/>
      <c r="O87" s="39"/>
      <c r="P87" s="40">
        <f t="shared" si="4"/>
        <v>0</v>
      </c>
      <c r="Q87" s="40">
        <f t="shared" si="6"/>
        <v>0</v>
      </c>
      <c r="R87" s="40">
        <f t="shared" si="7"/>
        <v>0</v>
      </c>
      <c r="S87" s="41"/>
      <c r="T87" s="41"/>
      <c r="U87" s="41"/>
      <c r="V87" s="41"/>
      <c r="W87" s="41"/>
      <c r="X87" s="41"/>
      <c r="Y87" s="33">
        <f t="shared" si="5"/>
        <v>0</v>
      </c>
    </row>
    <row r="88" spans="4:25" x14ac:dyDescent="0.25">
      <c r="D88" s="69"/>
      <c r="E88" s="34"/>
      <c r="F88" s="34"/>
      <c r="H88" s="35"/>
      <c r="I88" s="36"/>
      <c r="J88" s="37"/>
      <c r="K88" s="38"/>
      <c r="L88" s="29"/>
      <c r="M88" s="29"/>
      <c r="N88" s="29"/>
      <c r="O88" s="39"/>
      <c r="P88" s="40">
        <f t="shared" si="4"/>
        <v>0</v>
      </c>
      <c r="Q88" s="40">
        <f t="shared" si="6"/>
        <v>0</v>
      </c>
      <c r="R88" s="40">
        <f t="shared" si="7"/>
        <v>0</v>
      </c>
      <c r="S88" s="41"/>
      <c r="T88" s="41"/>
      <c r="U88" s="41"/>
      <c r="V88" s="41"/>
      <c r="W88" s="41"/>
      <c r="X88" s="41"/>
      <c r="Y88" s="33">
        <f t="shared" si="5"/>
        <v>0</v>
      </c>
    </row>
    <row r="89" spans="4:25" x14ac:dyDescent="0.25">
      <c r="D89" s="69"/>
      <c r="E89" s="34"/>
      <c r="F89" s="34"/>
      <c r="H89" s="35"/>
      <c r="I89" s="36"/>
      <c r="J89" s="37"/>
      <c r="K89" s="38"/>
      <c r="L89" s="29"/>
      <c r="M89" s="29"/>
      <c r="N89" s="29"/>
      <c r="O89" s="39"/>
      <c r="P89" s="40">
        <f t="shared" si="4"/>
        <v>0</v>
      </c>
      <c r="Q89" s="40">
        <f t="shared" si="6"/>
        <v>0</v>
      </c>
      <c r="R89" s="40">
        <f t="shared" si="7"/>
        <v>0</v>
      </c>
      <c r="S89" s="41"/>
      <c r="T89" s="41"/>
      <c r="U89" s="41"/>
      <c r="V89" s="41"/>
      <c r="W89" s="41"/>
      <c r="X89" s="41"/>
      <c r="Y89" s="33">
        <f t="shared" si="5"/>
        <v>0</v>
      </c>
    </row>
    <row r="90" spans="4:25" x14ac:dyDescent="0.25">
      <c r="D90" s="69"/>
      <c r="E90" s="34"/>
      <c r="F90" s="34"/>
      <c r="H90" s="35"/>
      <c r="I90" s="36"/>
      <c r="J90" s="37"/>
      <c r="K90" s="38"/>
      <c r="L90" s="29"/>
      <c r="M90" s="29"/>
      <c r="N90" s="29"/>
      <c r="O90" s="39"/>
      <c r="P90" s="40">
        <f t="shared" si="4"/>
        <v>0</v>
      </c>
      <c r="Q90" s="40">
        <f t="shared" si="6"/>
        <v>0</v>
      </c>
      <c r="R90" s="40">
        <f t="shared" si="7"/>
        <v>0</v>
      </c>
      <c r="S90" s="41"/>
      <c r="T90" s="41"/>
      <c r="U90" s="41"/>
      <c r="V90" s="41"/>
      <c r="W90" s="41"/>
      <c r="X90" s="41"/>
      <c r="Y90" s="33">
        <f t="shared" si="5"/>
        <v>0</v>
      </c>
    </row>
    <row r="91" spans="4:25" x14ac:dyDescent="0.25">
      <c r="D91" s="69"/>
      <c r="E91" s="34"/>
      <c r="F91" s="34"/>
      <c r="H91" s="35"/>
      <c r="I91" s="36"/>
      <c r="J91" s="37"/>
      <c r="K91" s="38"/>
      <c r="L91" s="29"/>
      <c r="M91" s="29"/>
      <c r="N91" s="29"/>
      <c r="O91" s="39"/>
      <c r="P91" s="40">
        <f t="shared" si="4"/>
        <v>0</v>
      </c>
      <c r="Q91" s="40">
        <f t="shared" si="6"/>
        <v>0</v>
      </c>
      <c r="R91" s="40">
        <f t="shared" si="7"/>
        <v>0</v>
      </c>
      <c r="S91" s="41"/>
      <c r="T91" s="41"/>
      <c r="U91" s="41"/>
      <c r="V91" s="41"/>
      <c r="W91" s="41"/>
      <c r="X91" s="41"/>
      <c r="Y91" s="33">
        <f t="shared" si="5"/>
        <v>0</v>
      </c>
    </row>
    <row r="92" spans="4:25" x14ac:dyDescent="0.25">
      <c r="D92" s="69"/>
      <c r="E92" s="34"/>
      <c r="F92" s="34"/>
      <c r="H92" s="35"/>
      <c r="I92" s="36"/>
      <c r="J92" s="37"/>
      <c r="K92" s="38"/>
      <c r="L92" s="29"/>
      <c r="M92" s="29"/>
      <c r="N92" s="29"/>
      <c r="O92" s="39"/>
      <c r="P92" s="40">
        <f t="shared" si="4"/>
        <v>0</v>
      </c>
      <c r="Q92" s="40">
        <f t="shared" si="6"/>
        <v>0</v>
      </c>
      <c r="R92" s="40">
        <f t="shared" si="7"/>
        <v>0</v>
      </c>
      <c r="S92" s="41"/>
      <c r="T92" s="41"/>
      <c r="U92" s="41"/>
      <c r="V92" s="41"/>
      <c r="W92" s="41"/>
      <c r="X92" s="41"/>
      <c r="Y92" s="33">
        <f t="shared" si="5"/>
        <v>0</v>
      </c>
    </row>
    <row r="93" spans="4:25" x14ac:dyDescent="0.25">
      <c r="D93" s="69"/>
      <c r="E93" s="34"/>
      <c r="F93" s="34"/>
      <c r="H93" s="35"/>
      <c r="I93" s="36"/>
      <c r="J93" s="37"/>
      <c r="K93" s="38"/>
      <c r="L93" s="29"/>
      <c r="M93" s="29"/>
      <c r="N93" s="29"/>
      <c r="O93" s="39"/>
      <c r="P93" s="40">
        <f t="shared" si="4"/>
        <v>0</v>
      </c>
      <c r="Q93" s="40">
        <f t="shared" si="6"/>
        <v>0</v>
      </c>
      <c r="R93" s="40">
        <f t="shared" si="7"/>
        <v>0</v>
      </c>
      <c r="S93" s="41"/>
      <c r="T93" s="41"/>
      <c r="U93" s="41"/>
      <c r="V93" s="41"/>
      <c r="W93" s="41"/>
      <c r="X93" s="41"/>
      <c r="Y93" s="33">
        <f t="shared" si="5"/>
        <v>0</v>
      </c>
    </row>
    <row r="94" spans="4:25" x14ac:dyDescent="0.25">
      <c r="D94" s="69"/>
      <c r="E94" s="34"/>
      <c r="F94" s="34"/>
      <c r="H94" s="35"/>
      <c r="I94" s="36"/>
      <c r="J94" s="37"/>
      <c r="K94" s="38"/>
      <c r="L94" s="29"/>
      <c r="M94" s="29"/>
      <c r="N94" s="29"/>
      <c r="O94" s="39"/>
      <c r="P94" s="40">
        <f t="shared" si="4"/>
        <v>0</v>
      </c>
      <c r="Q94" s="40">
        <f t="shared" si="6"/>
        <v>0</v>
      </c>
      <c r="R94" s="40">
        <f t="shared" si="7"/>
        <v>0</v>
      </c>
      <c r="S94" s="41"/>
      <c r="T94" s="41"/>
      <c r="U94" s="41"/>
      <c r="V94" s="41"/>
      <c r="W94" s="41"/>
      <c r="X94" s="41"/>
      <c r="Y94" s="33">
        <f t="shared" si="5"/>
        <v>0</v>
      </c>
    </row>
    <row r="95" spans="4:25" x14ac:dyDescent="0.25">
      <c r="D95" s="69"/>
      <c r="E95" s="34"/>
      <c r="F95" s="34"/>
      <c r="H95" s="35"/>
      <c r="I95" s="36"/>
      <c r="J95" s="37"/>
      <c r="K95" s="38"/>
      <c r="L95" s="29"/>
      <c r="M95" s="29"/>
      <c r="N95" s="29"/>
      <c r="O95" s="39"/>
      <c r="P95" s="40">
        <f t="shared" si="4"/>
        <v>0</v>
      </c>
      <c r="Q95" s="40">
        <f t="shared" si="6"/>
        <v>0</v>
      </c>
      <c r="R95" s="40">
        <f t="shared" si="7"/>
        <v>0</v>
      </c>
      <c r="S95" s="41"/>
      <c r="T95" s="41"/>
      <c r="U95" s="41"/>
      <c r="V95" s="41"/>
      <c r="W95" s="41"/>
      <c r="X95" s="41"/>
      <c r="Y95" s="33">
        <f t="shared" si="5"/>
        <v>0</v>
      </c>
    </row>
    <row r="96" spans="4:25" x14ac:dyDescent="0.25">
      <c r="D96" s="69"/>
      <c r="E96" s="34"/>
      <c r="F96" s="34"/>
      <c r="H96" s="35"/>
      <c r="I96" s="36"/>
      <c r="J96" s="37"/>
      <c r="K96" s="38"/>
      <c r="L96" s="29"/>
      <c r="M96" s="29"/>
      <c r="N96" s="29"/>
      <c r="O96" s="39"/>
      <c r="P96" s="40">
        <f t="shared" si="4"/>
        <v>0</v>
      </c>
      <c r="Q96" s="40">
        <f t="shared" si="6"/>
        <v>0</v>
      </c>
      <c r="R96" s="40">
        <f t="shared" si="7"/>
        <v>0</v>
      </c>
      <c r="S96" s="41"/>
      <c r="T96" s="41"/>
      <c r="U96" s="41"/>
      <c r="V96" s="41"/>
      <c r="W96" s="41"/>
      <c r="X96" s="41"/>
      <c r="Y96" s="33">
        <f t="shared" si="5"/>
        <v>0</v>
      </c>
    </row>
    <row r="97" spans="4:25" x14ac:dyDescent="0.25">
      <c r="D97" s="69"/>
      <c r="E97" s="34"/>
      <c r="F97" s="34"/>
      <c r="H97" s="35"/>
      <c r="I97" s="36"/>
      <c r="J97" s="37"/>
      <c r="K97" s="38"/>
      <c r="L97" s="29"/>
      <c r="M97" s="29"/>
      <c r="N97" s="29"/>
      <c r="O97" s="39"/>
      <c r="P97" s="40">
        <f t="shared" si="4"/>
        <v>0</v>
      </c>
      <c r="Q97" s="40">
        <f t="shared" si="6"/>
        <v>0</v>
      </c>
      <c r="R97" s="40">
        <f t="shared" si="7"/>
        <v>0</v>
      </c>
      <c r="S97" s="41"/>
      <c r="T97" s="41"/>
      <c r="U97" s="41"/>
      <c r="V97" s="41"/>
      <c r="W97" s="41"/>
      <c r="X97" s="41"/>
      <c r="Y97" s="33">
        <f t="shared" si="5"/>
        <v>0</v>
      </c>
    </row>
    <row r="98" spans="4:25" x14ac:dyDescent="0.25">
      <c r="D98" s="69"/>
      <c r="E98" s="34"/>
      <c r="F98" s="34"/>
      <c r="H98" s="35"/>
      <c r="I98" s="36"/>
      <c r="J98" s="37"/>
      <c r="K98" s="38"/>
      <c r="L98" s="29"/>
      <c r="M98" s="29"/>
      <c r="N98" s="29"/>
      <c r="O98" s="39"/>
      <c r="P98" s="40">
        <f t="shared" si="4"/>
        <v>0</v>
      </c>
      <c r="Q98" s="40">
        <f t="shared" si="6"/>
        <v>0</v>
      </c>
      <c r="R98" s="40">
        <f t="shared" si="7"/>
        <v>0</v>
      </c>
      <c r="S98" s="41"/>
      <c r="T98" s="41"/>
      <c r="U98" s="41"/>
      <c r="V98" s="41"/>
      <c r="W98" s="41"/>
      <c r="X98" s="41"/>
      <c r="Y98" s="33">
        <f t="shared" si="5"/>
        <v>0</v>
      </c>
    </row>
    <row r="99" spans="4:25" x14ac:dyDescent="0.25">
      <c r="D99" s="69"/>
      <c r="E99" s="34"/>
      <c r="F99" s="34"/>
      <c r="H99" s="35"/>
      <c r="I99" s="36"/>
      <c r="J99" s="37"/>
      <c r="K99" s="38"/>
      <c r="L99" s="29"/>
      <c r="M99" s="29"/>
      <c r="N99" s="29"/>
      <c r="O99" s="39"/>
      <c r="P99" s="40">
        <f t="shared" si="4"/>
        <v>0</v>
      </c>
      <c r="Q99" s="40">
        <f t="shared" si="6"/>
        <v>0</v>
      </c>
      <c r="R99" s="40">
        <f t="shared" si="7"/>
        <v>0</v>
      </c>
      <c r="S99" s="41"/>
      <c r="T99" s="41"/>
      <c r="U99" s="41"/>
      <c r="V99" s="41"/>
      <c r="W99" s="41"/>
      <c r="X99" s="41"/>
      <c r="Y99" s="33">
        <f t="shared" si="5"/>
        <v>0</v>
      </c>
    </row>
    <row r="100" spans="4:25" x14ac:dyDescent="0.25">
      <c r="D100" s="69"/>
      <c r="E100" s="34"/>
      <c r="F100" s="34"/>
      <c r="H100" s="35"/>
      <c r="I100" s="36"/>
      <c r="J100" s="37"/>
      <c r="K100" s="38"/>
      <c r="L100" s="29"/>
      <c r="M100" s="29"/>
      <c r="N100" s="29"/>
      <c r="O100" s="39"/>
      <c r="P100" s="40">
        <f t="shared" si="4"/>
        <v>0</v>
      </c>
      <c r="Q100" s="40">
        <f t="shared" si="6"/>
        <v>0</v>
      </c>
      <c r="R100" s="40">
        <f t="shared" si="7"/>
        <v>0</v>
      </c>
      <c r="S100" s="41"/>
      <c r="T100" s="41"/>
      <c r="U100" s="41"/>
      <c r="V100" s="41"/>
      <c r="W100" s="41"/>
      <c r="X100" s="41"/>
      <c r="Y100" s="33">
        <f t="shared" si="5"/>
        <v>0</v>
      </c>
    </row>
    <row r="101" spans="4:25" x14ac:dyDescent="0.25">
      <c r="D101" s="69"/>
      <c r="E101" s="34"/>
      <c r="F101" s="34"/>
      <c r="H101" s="35"/>
      <c r="I101" s="36"/>
      <c r="J101" s="37"/>
      <c r="K101" s="38"/>
      <c r="L101" s="29"/>
      <c r="M101" s="29"/>
      <c r="N101" s="29"/>
      <c r="O101" s="39"/>
      <c r="P101" s="40">
        <f t="shared" si="4"/>
        <v>0</v>
      </c>
      <c r="Q101" s="40">
        <f t="shared" si="6"/>
        <v>0</v>
      </c>
      <c r="R101" s="40">
        <f t="shared" si="7"/>
        <v>0</v>
      </c>
      <c r="S101" s="41"/>
      <c r="T101" s="41"/>
      <c r="U101" s="41"/>
      <c r="V101" s="41"/>
      <c r="W101" s="41"/>
      <c r="X101" s="41"/>
      <c r="Y101" s="33">
        <f t="shared" si="5"/>
        <v>0</v>
      </c>
    </row>
    <row r="102" spans="4:25" x14ac:dyDescent="0.25">
      <c r="D102" s="69"/>
      <c r="E102" s="34"/>
      <c r="F102" s="34"/>
      <c r="H102" s="35"/>
      <c r="I102" s="36"/>
      <c r="J102" s="37"/>
      <c r="K102" s="38"/>
      <c r="L102" s="29"/>
      <c r="M102" s="29"/>
      <c r="N102" s="29"/>
      <c r="O102" s="39"/>
      <c r="P102" s="40">
        <f t="shared" si="4"/>
        <v>0</v>
      </c>
      <c r="Q102" s="40">
        <f t="shared" si="6"/>
        <v>0</v>
      </c>
      <c r="R102" s="40">
        <f t="shared" si="7"/>
        <v>0</v>
      </c>
      <c r="S102" s="41"/>
      <c r="T102" s="41"/>
      <c r="U102" s="41"/>
      <c r="V102" s="41"/>
      <c r="W102" s="41"/>
      <c r="X102" s="41"/>
      <c r="Y102" s="33">
        <f t="shared" si="5"/>
        <v>0</v>
      </c>
    </row>
    <row r="103" spans="4:25" x14ac:dyDescent="0.25">
      <c r="D103" s="69"/>
      <c r="E103" s="34"/>
      <c r="F103" s="34"/>
      <c r="H103" s="35"/>
      <c r="I103" s="36"/>
      <c r="J103" s="37"/>
      <c r="K103" s="38"/>
      <c r="L103" s="29"/>
      <c r="M103" s="29"/>
      <c r="N103" s="29"/>
      <c r="O103" s="39"/>
      <c r="P103" s="40">
        <f t="shared" si="4"/>
        <v>0</v>
      </c>
      <c r="Q103" s="40">
        <f t="shared" si="6"/>
        <v>0</v>
      </c>
      <c r="R103" s="40">
        <f t="shared" si="7"/>
        <v>0</v>
      </c>
      <c r="S103" s="41"/>
      <c r="T103" s="41"/>
      <c r="U103" s="41"/>
      <c r="V103" s="41"/>
      <c r="W103" s="41"/>
      <c r="X103" s="41"/>
      <c r="Y103" s="33">
        <f t="shared" si="5"/>
        <v>0</v>
      </c>
    </row>
    <row r="104" spans="4:25" x14ac:dyDescent="0.25">
      <c r="D104" s="69"/>
      <c r="E104" s="34"/>
      <c r="F104" s="34"/>
      <c r="H104" s="35"/>
      <c r="I104" s="36"/>
      <c r="J104" s="37"/>
      <c r="K104" s="38"/>
      <c r="L104" s="29"/>
      <c r="M104" s="29"/>
      <c r="N104" s="29"/>
      <c r="O104" s="39"/>
      <c r="P104" s="40">
        <f t="shared" si="4"/>
        <v>0</v>
      </c>
      <c r="Q104" s="40">
        <f t="shared" si="6"/>
        <v>0</v>
      </c>
      <c r="R104" s="40">
        <f t="shared" si="7"/>
        <v>0</v>
      </c>
      <c r="S104" s="41"/>
      <c r="T104" s="41"/>
      <c r="U104" s="41"/>
      <c r="V104" s="41"/>
      <c r="W104" s="41"/>
      <c r="X104" s="41"/>
      <c r="Y104" s="33">
        <f t="shared" si="5"/>
        <v>0</v>
      </c>
    </row>
    <row r="105" spans="4:25" x14ac:dyDescent="0.25">
      <c r="D105" s="69"/>
      <c r="E105" s="34"/>
      <c r="F105" s="34"/>
      <c r="H105" s="35"/>
      <c r="I105" s="36"/>
      <c r="J105" s="37"/>
      <c r="K105" s="38"/>
      <c r="L105" s="29"/>
      <c r="M105" s="29"/>
      <c r="N105" s="29"/>
      <c r="O105" s="39"/>
      <c r="P105" s="40">
        <f t="shared" si="4"/>
        <v>0</v>
      </c>
      <c r="Q105" s="40">
        <f t="shared" si="6"/>
        <v>0</v>
      </c>
      <c r="R105" s="40">
        <f t="shared" si="7"/>
        <v>0</v>
      </c>
      <c r="S105" s="41"/>
      <c r="T105" s="41"/>
      <c r="U105" s="41"/>
      <c r="V105" s="41"/>
      <c r="W105" s="41"/>
      <c r="X105" s="41"/>
      <c r="Y105" s="33">
        <f t="shared" si="5"/>
        <v>0</v>
      </c>
    </row>
    <row r="106" spans="4:25" x14ac:dyDescent="0.25">
      <c r="D106" s="69"/>
      <c r="E106" s="34"/>
      <c r="F106" s="34"/>
      <c r="H106" s="35"/>
      <c r="I106" s="36"/>
      <c r="J106" s="37"/>
      <c r="K106" s="38"/>
      <c r="L106" s="29"/>
      <c r="M106" s="29"/>
      <c r="N106" s="29"/>
      <c r="O106" s="39"/>
      <c r="P106" s="40">
        <f t="shared" si="4"/>
        <v>0</v>
      </c>
      <c r="Q106" s="40">
        <f t="shared" si="6"/>
        <v>0</v>
      </c>
      <c r="R106" s="40">
        <f t="shared" si="7"/>
        <v>0</v>
      </c>
      <c r="S106" s="41"/>
      <c r="T106" s="41"/>
      <c r="U106" s="41"/>
      <c r="V106" s="41"/>
      <c r="W106" s="41"/>
      <c r="X106" s="41"/>
      <c r="Y106" s="33">
        <f t="shared" si="5"/>
        <v>0</v>
      </c>
    </row>
    <row r="107" spans="4:25" x14ac:dyDescent="0.25">
      <c r="D107" s="69"/>
      <c r="E107" s="34"/>
      <c r="F107" s="34"/>
      <c r="H107" s="35"/>
      <c r="I107" s="36"/>
      <c r="J107" s="37"/>
      <c r="K107" s="38"/>
      <c r="L107" s="29"/>
      <c r="M107" s="29"/>
      <c r="N107" s="29"/>
      <c r="O107" s="39"/>
      <c r="P107" s="40">
        <f t="shared" si="4"/>
        <v>0</v>
      </c>
      <c r="Q107" s="40">
        <f t="shared" si="6"/>
        <v>0</v>
      </c>
      <c r="R107" s="40">
        <f t="shared" si="7"/>
        <v>0</v>
      </c>
      <c r="S107" s="41"/>
      <c r="T107" s="41"/>
      <c r="U107" s="41"/>
      <c r="V107" s="41"/>
      <c r="W107" s="41"/>
      <c r="X107" s="41"/>
      <c r="Y107" s="33">
        <f t="shared" si="5"/>
        <v>0</v>
      </c>
    </row>
    <row r="108" spans="4:25" x14ac:dyDescent="0.25">
      <c r="D108" s="69"/>
      <c r="E108" s="34"/>
      <c r="F108" s="34"/>
      <c r="H108" s="35"/>
      <c r="I108" s="36"/>
      <c r="J108" s="37"/>
      <c r="K108" s="38"/>
      <c r="L108" s="29"/>
      <c r="M108" s="29"/>
      <c r="N108" s="29"/>
      <c r="O108" s="39"/>
      <c r="P108" s="40">
        <f t="shared" si="4"/>
        <v>0</v>
      </c>
      <c r="Q108" s="40">
        <f t="shared" si="6"/>
        <v>0</v>
      </c>
      <c r="R108" s="40">
        <f t="shared" si="7"/>
        <v>0</v>
      </c>
      <c r="S108" s="41"/>
      <c r="T108" s="41"/>
      <c r="U108" s="41"/>
      <c r="V108" s="41"/>
      <c r="W108" s="41"/>
      <c r="X108" s="41"/>
      <c r="Y108" s="33">
        <f t="shared" si="5"/>
        <v>0</v>
      </c>
    </row>
    <row r="109" spans="4:25" x14ac:dyDescent="0.25">
      <c r="D109" s="69"/>
      <c r="E109" s="34"/>
      <c r="F109" s="34"/>
      <c r="H109" s="35"/>
      <c r="I109" s="36"/>
      <c r="J109" s="37"/>
      <c r="K109" s="38"/>
      <c r="L109" s="29"/>
      <c r="M109" s="29"/>
      <c r="N109" s="29"/>
      <c r="O109" s="39"/>
      <c r="P109" s="40">
        <f t="shared" si="4"/>
        <v>0</v>
      </c>
      <c r="Q109" s="40">
        <f t="shared" si="6"/>
        <v>0</v>
      </c>
      <c r="R109" s="40">
        <f t="shared" si="7"/>
        <v>0</v>
      </c>
      <c r="S109" s="41"/>
      <c r="T109" s="41"/>
      <c r="U109" s="41"/>
      <c r="V109" s="41"/>
      <c r="W109" s="41"/>
      <c r="X109" s="41"/>
      <c r="Y109" s="33">
        <f t="shared" si="5"/>
        <v>0</v>
      </c>
    </row>
    <row r="110" spans="4:25" x14ac:dyDescent="0.25">
      <c r="D110" s="69"/>
      <c r="E110" s="34"/>
      <c r="F110" s="34"/>
      <c r="H110" s="35"/>
      <c r="I110" s="36"/>
      <c r="J110" s="37"/>
      <c r="K110" s="38"/>
      <c r="L110" s="29"/>
      <c r="M110" s="29"/>
      <c r="N110" s="29"/>
      <c r="O110" s="39"/>
      <c r="P110" s="40">
        <f t="shared" si="4"/>
        <v>0</v>
      </c>
      <c r="Q110" s="40">
        <f t="shared" si="6"/>
        <v>0</v>
      </c>
      <c r="R110" s="40">
        <f t="shared" si="7"/>
        <v>0</v>
      </c>
      <c r="S110" s="41"/>
      <c r="T110" s="41"/>
      <c r="U110" s="41"/>
      <c r="V110" s="41"/>
      <c r="W110" s="41"/>
      <c r="X110" s="41"/>
      <c r="Y110" s="33">
        <f t="shared" si="5"/>
        <v>0</v>
      </c>
    </row>
    <row r="111" spans="4:25" x14ac:dyDescent="0.25">
      <c r="D111" s="69"/>
      <c r="E111" s="34"/>
      <c r="F111" s="34"/>
      <c r="H111" s="35"/>
      <c r="I111" s="36"/>
      <c r="J111" s="37"/>
      <c r="K111" s="38"/>
      <c r="L111" s="29"/>
      <c r="M111" s="29"/>
      <c r="N111" s="29"/>
      <c r="O111" s="39"/>
      <c r="P111" s="40">
        <f t="shared" si="4"/>
        <v>0</v>
      </c>
      <c r="Q111" s="40">
        <f t="shared" si="6"/>
        <v>0</v>
      </c>
      <c r="R111" s="40">
        <f t="shared" si="7"/>
        <v>0</v>
      </c>
      <c r="S111" s="41"/>
      <c r="T111" s="41"/>
      <c r="U111" s="41"/>
      <c r="V111" s="41"/>
      <c r="W111" s="41"/>
      <c r="X111" s="41"/>
      <c r="Y111" s="33">
        <f t="shared" si="5"/>
        <v>0</v>
      </c>
    </row>
    <row r="112" spans="4:25" x14ac:dyDescent="0.25">
      <c r="D112" s="69"/>
      <c r="E112" s="34"/>
      <c r="F112" s="34"/>
      <c r="H112" s="35"/>
      <c r="I112" s="36"/>
      <c r="J112" s="37"/>
      <c r="K112" s="38"/>
      <c r="L112" s="29"/>
      <c r="M112" s="29"/>
      <c r="N112" s="29"/>
      <c r="O112" s="39"/>
      <c r="P112" s="40">
        <f t="shared" si="4"/>
        <v>0</v>
      </c>
      <c r="Q112" s="40">
        <f t="shared" si="6"/>
        <v>0</v>
      </c>
      <c r="R112" s="40">
        <f t="shared" si="7"/>
        <v>0</v>
      </c>
      <c r="S112" s="41"/>
      <c r="T112" s="41"/>
      <c r="U112" s="41"/>
      <c r="V112" s="41"/>
      <c r="W112" s="41"/>
      <c r="X112" s="41"/>
      <c r="Y112" s="33">
        <f t="shared" si="5"/>
        <v>0</v>
      </c>
    </row>
    <row r="113" spans="4:25" x14ac:dyDescent="0.25">
      <c r="D113" s="69"/>
      <c r="E113" s="34"/>
      <c r="F113" s="34"/>
      <c r="H113" s="35"/>
      <c r="I113" s="36"/>
      <c r="J113" s="37"/>
      <c r="K113" s="38"/>
      <c r="L113" s="29"/>
      <c r="M113" s="29"/>
      <c r="N113" s="29"/>
      <c r="O113" s="39"/>
      <c r="P113" s="40">
        <f t="shared" si="4"/>
        <v>0</v>
      </c>
      <c r="Q113" s="40">
        <f t="shared" si="6"/>
        <v>0</v>
      </c>
      <c r="R113" s="40">
        <f t="shared" si="7"/>
        <v>0</v>
      </c>
      <c r="S113" s="41"/>
      <c r="T113" s="41"/>
      <c r="U113" s="41"/>
      <c r="V113" s="41"/>
      <c r="W113" s="41"/>
      <c r="X113" s="41"/>
      <c r="Y113" s="33">
        <f t="shared" si="5"/>
        <v>0</v>
      </c>
    </row>
    <row r="114" spans="4:25" x14ac:dyDescent="0.25">
      <c r="D114" s="69"/>
      <c r="E114" s="34"/>
      <c r="F114" s="34"/>
      <c r="H114" s="35"/>
      <c r="I114" s="36"/>
      <c r="J114" s="37"/>
      <c r="K114" s="38"/>
      <c r="L114" s="29"/>
      <c r="M114" s="29"/>
      <c r="N114" s="29"/>
      <c r="O114" s="39"/>
      <c r="P114" s="40">
        <f t="shared" si="4"/>
        <v>0</v>
      </c>
      <c r="Q114" s="40">
        <f t="shared" si="6"/>
        <v>0</v>
      </c>
      <c r="R114" s="40">
        <f t="shared" si="7"/>
        <v>0</v>
      </c>
      <c r="S114" s="41"/>
      <c r="T114" s="41"/>
      <c r="U114" s="41"/>
      <c r="V114" s="41"/>
      <c r="W114" s="41"/>
      <c r="X114" s="41"/>
      <c r="Y114" s="33">
        <f t="shared" si="5"/>
        <v>0</v>
      </c>
    </row>
    <row r="115" spans="4:25" x14ac:dyDescent="0.25">
      <c r="D115" s="69"/>
      <c r="E115" s="34"/>
      <c r="F115" s="34"/>
      <c r="H115" s="35"/>
      <c r="I115" s="36"/>
      <c r="J115" s="37"/>
      <c r="K115" s="38"/>
      <c r="L115" s="29"/>
      <c r="M115" s="29"/>
      <c r="N115" s="29"/>
      <c r="O115" s="39"/>
      <c r="P115" s="40">
        <f t="shared" si="4"/>
        <v>0</v>
      </c>
      <c r="Q115" s="40">
        <f t="shared" si="6"/>
        <v>0</v>
      </c>
      <c r="R115" s="40">
        <f t="shared" si="7"/>
        <v>0</v>
      </c>
      <c r="S115" s="41"/>
      <c r="T115" s="41"/>
      <c r="U115" s="41"/>
      <c r="V115" s="41"/>
      <c r="W115" s="41"/>
      <c r="X115" s="41"/>
      <c r="Y115" s="33">
        <f t="shared" si="5"/>
        <v>0</v>
      </c>
    </row>
    <row r="116" spans="4:25" x14ac:dyDescent="0.25">
      <c r="D116" s="69"/>
      <c r="E116" s="34"/>
      <c r="F116" s="34"/>
      <c r="H116" s="35"/>
      <c r="I116" s="36"/>
      <c r="J116" s="37"/>
      <c r="K116" s="38"/>
      <c r="L116" s="29"/>
      <c r="M116" s="29"/>
      <c r="N116" s="29"/>
      <c r="O116" s="39"/>
      <c r="P116" s="40">
        <f t="shared" si="4"/>
        <v>0</v>
      </c>
      <c r="Q116" s="40">
        <f t="shared" si="6"/>
        <v>0</v>
      </c>
      <c r="R116" s="40">
        <f t="shared" si="7"/>
        <v>0</v>
      </c>
      <c r="S116" s="41"/>
      <c r="T116" s="41"/>
      <c r="U116" s="41"/>
      <c r="V116" s="41"/>
      <c r="W116" s="41"/>
      <c r="X116" s="41"/>
      <c r="Y116" s="33">
        <f t="shared" si="5"/>
        <v>0</v>
      </c>
    </row>
    <row r="117" spans="4:25" x14ac:dyDescent="0.25">
      <c r="D117" s="69"/>
      <c r="E117" s="34"/>
      <c r="F117" s="34"/>
      <c r="H117" s="35"/>
      <c r="I117" s="36"/>
      <c r="J117" s="37"/>
      <c r="K117" s="38"/>
      <c r="L117" s="29"/>
      <c r="M117" s="29"/>
      <c r="N117" s="29"/>
      <c r="O117" s="39"/>
      <c r="P117" s="40">
        <f t="shared" si="4"/>
        <v>0</v>
      </c>
      <c r="Q117" s="40">
        <f t="shared" si="6"/>
        <v>0</v>
      </c>
      <c r="R117" s="40">
        <f t="shared" si="7"/>
        <v>0</v>
      </c>
      <c r="S117" s="41"/>
      <c r="T117" s="41"/>
      <c r="U117" s="41"/>
      <c r="V117" s="41"/>
      <c r="W117" s="41"/>
      <c r="X117" s="41"/>
      <c r="Y117" s="33">
        <f t="shared" si="5"/>
        <v>0</v>
      </c>
    </row>
    <row r="118" spans="4:25" x14ac:dyDescent="0.25">
      <c r="D118" s="69"/>
      <c r="E118" s="34"/>
      <c r="F118" s="34"/>
      <c r="H118" s="35"/>
      <c r="I118" s="36"/>
      <c r="J118" s="37"/>
      <c r="K118" s="38"/>
      <c r="L118" s="29"/>
      <c r="M118" s="29"/>
      <c r="N118" s="29"/>
      <c r="O118" s="39"/>
      <c r="P118" s="40">
        <f t="shared" si="4"/>
        <v>0</v>
      </c>
      <c r="Q118" s="40">
        <f t="shared" si="6"/>
        <v>0</v>
      </c>
      <c r="R118" s="40">
        <f t="shared" si="7"/>
        <v>0</v>
      </c>
      <c r="S118" s="41"/>
      <c r="T118" s="41"/>
      <c r="U118" s="41"/>
      <c r="V118" s="41"/>
      <c r="W118" s="41"/>
      <c r="X118" s="41"/>
      <c r="Y118" s="33">
        <f t="shared" si="5"/>
        <v>0</v>
      </c>
    </row>
    <row r="119" spans="4:25" x14ac:dyDescent="0.25">
      <c r="D119" s="69"/>
      <c r="E119" s="34"/>
      <c r="F119" s="34"/>
      <c r="H119" s="35"/>
      <c r="I119" s="36"/>
      <c r="J119" s="37"/>
      <c r="K119" s="38"/>
      <c r="L119" s="29"/>
      <c r="M119" s="29"/>
      <c r="N119" s="29"/>
      <c r="O119" s="39"/>
      <c r="P119" s="40">
        <f t="shared" si="4"/>
        <v>0</v>
      </c>
      <c r="Q119" s="40">
        <f t="shared" si="6"/>
        <v>0</v>
      </c>
      <c r="R119" s="40">
        <f t="shared" si="7"/>
        <v>0</v>
      </c>
      <c r="S119" s="41"/>
      <c r="T119" s="41"/>
      <c r="U119" s="41"/>
      <c r="V119" s="41"/>
      <c r="W119" s="41"/>
      <c r="X119" s="41"/>
      <c r="Y119" s="33">
        <f t="shared" si="5"/>
        <v>0</v>
      </c>
    </row>
    <row r="120" spans="4:25" x14ac:dyDescent="0.25">
      <c r="D120" s="69"/>
      <c r="E120" s="34"/>
      <c r="F120" s="34"/>
      <c r="H120" s="35"/>
      <c r="I120" s="36"/>
      <c r="J120" s="37"/>
      <c r="K120" s="38"/>
      <c r="L120" s="29"/>
      <c r="M120" s="29"/>
      <c r="N120" s="29"/>
      <c r="O120" s="39"/>
      <c r="P120" s="40">
        <f t="shared" si="4"/>
        <v>0</v>
      </c>
      <c r="Q120" s="40">
        <f t="shared" si="6"/>
        <v>0</v>
      </c>
      <c r="R120" s="40">
        <f t="shared" si="7"/>
        <v>0</v>
      </c>
      <c r="S120" s="41"/>
      <c r="T120" s="41"/>
      <c r="U120" s="41"/>
      <c r="V120" s="41"/>
      <c r="W120" s="41"/>
      <c r="X120" s="41"/>
      <c r="Y120" s="33">
        <f t="shared" si="5"/>
        <v>0</v>
      </c>
    </row>
    <row r="121" spans="4:25" x14ac:dyDescent="0.25">
      <c r="D121" s="69"/>
      <c r="E121" s="34"/>
      <c r="F121" s="34"/>
      <c r="H121" s="35"/>
      <c r="I121" s="36"/>
      <c r="J121" s="37"/>
      <c r="K121" s="38"/>
      <c r="L121" s="29"/>
      <c r="M121" s="29"/>
      <c r="N121" s="29"/>
      <c r="O121" s="39"/>
      <c r="P121" s="40">
        <f t="shared" si="4"/>
        <v>0</v>
      </c>
      <c r="Q121" s="40">
        <f t="shared" si="6"/>
        <v>0</v>
      </c>
      <c r="R121" s="40">
        <f t="shared" si="7"/>
        <v>0</v>
      </c>
      <c r="S121" s="41"/>
      <c r="T121" s="41"/>
      <c r="U121" s="41"/>
      <c r="V121" s="41"/>
      <c r="W121" s="41"/>
      <c r="X121" s="41"/>
      <c r="Y121" s="33">
        <f t="shared" si="5"/>
        <v>0</v>
      </c>
    </row>
    <row r="122" spans="4:25" x14ac:dyDescent="0.25">
      <c r="D122" s="69"/>
      <c r="E122" s="34"/>
      <c r="F122" s="34"/>
      <c r="H122" s="35"/>
      <c r="I122" s="36"/>
      <c r="J122" s="37"/>
      <c r="K122" s="38"/>
      <c r="L122" s="29"/>
      <c r="M122" s="29"/>
      <c r="N122" s="29"/>
      <c r="O122" s="39"/>
      <c r="P122" s="40">
        <f t="shared" si="4"/>
        <v>0</v>
      </c>
      <c r="Q122" s="40">
        <f t="shared" si="6"/>
        <v>0</v>
      </c>
      <c r="R122" s="40">
        <f t="shared" si="7"/>
        <v>0</v>
      </c>
      <c r="S122" s="41"/>
      <c r="T122" s="41"/>
      <c r="U122" s="41"/>
      <c r="V122" s="41"/>
      <c r="W122" s="41"/>
      <c r="X122" s="41"/>
      <c r="Y122" s="33">
        <f t="shared" si="5"/>
        <v>0</v>
      </c>
    </row>
    <row r="123" spans="4:25" x14ac:dyDescent="0.25">
      <c r="D123" s="69"/>
      <c r="E123" s="34"/>
      <c r="F123" s="34"/>
      <c r="H123" s="35"/>
      <c r="I123" s="36"/>
      <c r="J123" s="37"/>
      <c r="K123" s="38"/>
      <c r="L123" s="29"/>
      <c r="M123" s="29"/>
      <c r="N123" s="29"/>
      <c r="O123" s="39"/>
      <c r="P123" s="40">
        <f t="shared" si="4"/>
        <v>0</v>
      </c>
      <c r="Q123" s="40">
        <f t="shared" si="6"/>
        <v>0</v>
      </c>
      <c r="R123" s="40">
        <f t="shared" si="7"/>
        <v>0</v>
      </c>
      <c r="S123" s="41"/>
      <c r="T123" s="41"/>
      <c r="U123" s="41"/>
      <c r="V123" s="41"/>
      <c r="W123" s="41"/>
      <c r="X123" s="41"/>
      <c r="Y123" s="33">
        <f t="shared" si="5"/>
        <v>0</v>
      </c>
    </row>
    <row r="124" spans="4:25" x14ac:dyDescent="0.25">
      <c r="D124" s="69"/>
      <c r="E124" s="34"/>
      <c r="F124" s="34"/>
      <c r="H124" s="35"/>
      <c r="I124" s="36"/>
      <c r="J124" s="37"/>
      <c r="K124" s="38"/>
      <c r="L124" s="29"/>
      <c r="M124" s="29"/>
      <c r="N124" s="29"/>
      <c r="O124" s="39"/>
      <c r="P124" s="40">
        <f t="shared" si="4"/>
        <v>0</v>
      </c>
      <c r="Q124" s="40">
        <f t="shared" si="6"/>
        <v>0</v>
      </c>
      <c r="R124" s="40">
        <f t="shared" si="7"/>
        <v>0</v>
      </c>
      <c r="S124" s="41"/>
      <c r="T124" s="41"/>
      <c r="U124" s="41"/>
      <c r="V124" s="41"/>
      <c r="W124" s="41"/>
      <c r="X124" s="41"/>
      <c r="Y124" s="33">
        <f t="shared" si="5"/>
        <v>0</v>
      </c>
    </row>
    <row r="125" spans="4:25" x14ac:dyDescent="0.25">
      <c r="D125" s="69"/>
      <c r="E125" s="34"/>
      <c r="F125" s="34"/>
      <c r="H125" s="35"/>
      <c r="I125" s="36"/>
      <c r="J125" s="37"/>
      <c r="K125" s="38"/>
      <c r="L125" s="29"/>
      <c r="M125" s="29"/>
      <c r="N125" s="29"/>
      <c r="O125" s="39"/>
      <c r="P125" s="40">
        <f t="shared" si="4"/>
        <v>0</v>
      </c>
      <c r="Q125" s="40">
        <f t="shared" si="6"/>
        <v>0</v>
      </c>
      <c r="R125" s="40">
        <f t="shared" si="7"/>
        <v>0</v>
      </c>
      <c r="S125" s="41"/>
      <c r="T125" s="41"/>
      <c r="U125" s="41"/>
      <c r="V125" s="41"/>
      <c r="W125" s="41"/>
      <c r="X125" s="41"/>
      <c r="Y125" s="33">
        <f t="shared" si="5"/>
        <v>0</v>
      </c>
    </row>
    <row r="126" spans="4:25" x14ac:dyDescent="0.25">
      <c r="D126" s="69"/>
      <c r="E126" s="34"/>
      <c r="F126" s="34"/>
      <c r="H126" s="35"/>
      <c r="I126" s="36"/>
      <c r="J126" s="37"/>
      <c r="K126" s="38"/>
      <c r="L126" s="29"/>
      <c r="M126" s="29"/>
      <c r="N126" s="29"/>
      <c r="O126" s="39"/>
      <c r="P126" s="40">
        <f t="shared" si="4"/>
        <v>0</v>
      </c>
      <c r="Q126" s="40">
        <f t="shared" si="6"/>
        <v>0</v>
      </c>
      <c r="R126" s="40">
        <f t="shared" si="7"/>
        <v>0</v>
      </c>
      <c r="S126" s="41"/>
      <c r="T126" s="41"/>
      <c r="U126" s="41"/>
      <c r="V126" s="41"/>
      <c r="W126" s="41"/>
      <c r="X126" s="41"/>
      <c r="Y126" s="33">
        <f t="shared" si="5"/>
        <v>0</v>
      </c>
    </row>
    <row r="127" spans="4:25" x14ac:dyDescent="0.25">
      <c r="D127" s="69"/>
      <c r="E127" s="34"/>
      <c r="F127" s="34"/>
      <c r="H127" s="35"/>
      <c r="I127" s="36"/>
      <c r="J127" s="37"/>
      <c r="K127" s="38"/>
      <c r="L127" s="29"/>
      <c r="M127" s="29"/>
      <c r="N127" s="29"/>
      <c r="O127" s="39"/>
      <c r="P127" s="40">
        <f t="shared" si="4"/>
        <v>0</v>
      </c>
      <c r="Q127" s="40">
        <f t="shared" si="6"/>
        <v>0</v>
      </c>
      <c r="R127" s="40">
        <f t="shared" si="7"/>
        <v>0</v>
      </c>
      <c r="S127" s="41"/>
      <c r="T127" s="41"/>
      <c r="U127" s="41"/>
      <c r="V127" s="41"/>
      <c r="W127" s="41"/>
      <c r="X127" s="41"/>
      <c r="Y127" s="33">
        <f t="shared" si="5"/>
        <v>0</v>
      </c>
    </row>
    <row r="128" spans="4:25" x14ac:dyDescent="0.25">
      <c r="D128" s="69"/>
      <c r="E128" s="34"/>
      <c r="F128" s="34"/>
      <c r="H128" s="35"/>
      <c r="I128" s="36"/>
      <c r="J128" s="37"/>
      <c r="K128" s="38"/>
      <c r="L128" s="29"/>
      <c r="M128" s="29"/>
      <c r="N128" s="29"/>
      <c r="O128" s="39"/>
      <c r="P128" s="40">
        <f t="shared" si="4"/>
        <v>0</v>
      </c>
      <c r="Q128" s="40">
        <f t="shared" si="6"/>
        <v>0</v>
      </c>
      <c r="R128" s="40">
        <f t="shared" si="7"/>
        <v>0</v>
      </c>
      <c r="S128" s="41"/>
      <c r="T128" s="41"/>
      <c r="U128" s="41"/>
      <c r="V128" s="41"/>
      <c r="W128" s="41"/>
      <c r="X128" s="41"/>
      <c r="Y128" s="33">
        <f t="shared" si="5"/>
        <v>0</v>
      </c>
    </row>
    <row r="129" spans="4:25" x14ac:dyDescent="0.25">
      <c r="D129" s="69"/>
      <c r="E129" s="34"/>
      <c r="F129" s="34"/>
      <c r="H129" s="35"/>
      <c r="I129" s="36"/>
      <c r="J129" s="37"/>
      <c r="K129" s="38"/>
      <c r="L129" s="29"/>
      <c r="M129" s="29"/>
      <c r="N129" s="29"/>
      <c r="O129" s="39"/>
      <c r="P129" s="40">
        <f t="shared" si="4"/>
        <v>0</v>
      </c>
      <c r="Q129" s="40">
        <f t="shared" si="6"/>
        <v>0</v>
      </c>
      <c r="R129" s="40">
        <f t="shared" si="7"/>
        <v>0</v>
      </c>
      <c r="S129" s="41"/>
      <c r="T129" s="41"/>
      <c r="U129" s="41"/>
      <c r="V129" s="41"/>
      <c r="W129" s="41"/>
      <c r="X129" s="41"/>
      <c r="Y129" s="33">
        <f t="shared" si="5"/>
        <v>0</v>
      </c>
    </row>
    <row r="130" spans="4:25" x14ac:dyDescent="0.25">
      <c r="D130" s="69"/>
      <c r="E130" s="34"/>
      <c r="F130" s="34"/>
      <c r="H130" s="35"/>
      <c r="I130" s="36"/>
      <c r="J130" s="37"/>
      <c r="K130" s="38"/>
      <c r="L130" s="29"/>
      <c r="M130" s="29"/>
      <c r="N130" s="29"/>
      <c r="O130" s="39"/>
      <c r="P130" s="40">
        <f t="shared" si="4"/>
        <v>0</v>
      </c>
      <c r="Q130" s="40">
        <f t="shared" si="6"/>
        <v>0</v>
      </c>
      <c r="R130" s="40">
        <f t="shared" si="7"/>
        <v>0</v>
      </c>
      <c r="S130" s="41"/>
      <c r="T130" s="41"/>
      <c r="U130" s="41"/>
      <c r="V130" s="41"/>
      <c r="W130" s="41"/>
      <c r="X130" s="41"/>
      <c r="Y130" s="33">
        <f t="shared" si="5"/>
        <v>0</v>
      </c>
    </row>
    <row r="131" spans="4:25" x14ac:dyDescent="0.25">
      <c r="D131" s="69"/>
      <c r="E131" s="34"/>
      <c r="F131" s="34"/>
      <c r="H131" s="35"/>
      <c r="I131" s="36"/>
      <c r="J131" s="37"/>
      <c r="K131" s="38"/>
      <c r="L131" s="29"/>
      <c r="M131" s="29"/>
      <c r="N131" s="29"/>
      <c r="O131" s="39"/>
      <c r="P131" s="40">
        <f t="shared" ref="P131:P194" si="8">$L131*$O131</f>
        <v>0</v>
      </c>
      <c r="Q131" s="40">
        <f t="shared" si="6"/>
        <v>0</v>
      </c>
      <c r="R131" s="40">
        <f t="shared" si="7"/>
        <v>0</v>
      </c>
      <c r="S131" s="41"/>
      <c r="T131" s="41"/>
      <c r="U131" s="41"/>
      <c r="V131" s="41"/>
      <c r="W131" s="41"/>
      <c r="X131" s="41"/>
      <c r="Y131" s="33">
        <f t="shared" ref="Y131:Y194" si="9">SUM(R131:X131)</f>
        <v>0</v>
      </c>
    </row>
    <row r="132" spans="4:25" x14ac:dyDescent="0.25">
      <c r="D132" s="69"/>
      <c r="E132" s="34"/>
      <c r="F132" s="34"/>
      <c r="H132" s="35"/>
      <c r="I132" s="36"/>
      <c r="J132" s="37"/>
      <c r="K132" s="38"/>
      <c r="L132" s="29"/>
      <c r="M132" s="29"/>
      <c r="N132" s="29"/>
      <c r="O132" s="39"/>
      <c r="P132" s="40">
        <f t="shared" si="8"/>
        <v>0</v>
      </c>
      <c r="Q132" s="40">
        <f t="shared" ref="Q132:Q195" si="10">IF(E132="NE",(M132*O132*1.5),(M132*O132))</f>
        <v>0</v>
      </c>
      <c r="R132" s="40">
        <f t="shared" ref="R132:R195" si="11">P132+Q132</f>
        <v>0</v>
      </c>
      <c r="S132" s="41"/>
      <c r="T132" s="41"/>
      <c r="U132" s="41"/>
      <c r="V132" s="41"/>
      <c r="W132" s="41"/>
      <c r="X132" s="41"/>
      <c r="Y132" s="33">
        <f t="shared" si="9"/>
        <v>0</v>
      </c>
    </row>
    <row r="133" spans="4:25" x14ac:dyDescent="0.25">
      <c r="D133" s="69"/>
      <c r="E133" s="34"/>
      <c r="F133" s="34"/>
      <c r="H133" s="35"/>
      <c r="I133" s="36"/>
      <c r="J133" s="37"/>
      <c r="K133" s="38"/>
      <c r="L133" s="29"/>
      <c r="M133" s="29"/>
      <c r="N133" s="29"/>
      <c r="O133" s="39"/>
      <c r="P133" s="40">
        <f t="shared" si="8"/>
        <v>0</v>
      </c>
      <c r="Q133" s="40">
        <f t="shared" si="10"/>
        <v>0</v>
      </c>
      <c r="R133" s="40">
        <f t="shared" si="11"/>
        <v>0</v>
      </c>
      <c r="S133" s="41"/>
      <c r="T133" s="41"/>
      <c r="U133" s="41"/>
      <c r="V133" s="41"/>
      <c r="W133" s="41"/>
      <c r="X133" s="41"/>
      <c r="Y133" s="33">
        <f t="shared" si="9"/>
        <v>0</v>
      </c>
    </row>
    <row r="134" spans="4:25" x14ac:dyDescent="0.25">
      <c r="D134" s="69"/>
      <c r="E134" s="34"/>
      <c r="F134" s="34"/>
      <c r="H134" s="35"/>
      <c r="I134" s="36"/>
      <c r="J134" s="37"/>
      <c r="K134" s="38"/>
      <c r="L134" s="29"/>
      <c r="M134" s="29"/>
      <c r="N134" s="29"/>
      <c r="O134" s="39"/>
      <c r="P134" s="40">
        <f t="shared" si="8"/>
        <v>0</v>
      </c>
      <c r="Q134" s="40">
        <f t="shared" si="10"/>
        <v>0</v>
      </c>
      <c r="R134" s="40">
        <f t="shared" si="11"/>
        <v>0</v>
      </c>
      <c r="S134" s="41"/>
      <c r="T134" s="41"/>
      <c r="U134" s="41"/>
      <c r="V134" s="41"/>
      <c r="W134" s="41"/>
      <c r="X134" s="41"/>
      <c r="Y134" s="33">
        <f t="shared" si="9"/>
        <v>0</v>
      </c>
    </row>
    <row r="135" spans="4:25" x14ac:dyDescent="0.25">
      <c r="D135" s="69"/>
      <c r="E135" s="34"/>
      <c r="F135" s="34"/>
      <c r="H135" s="35"/>
      <c r="I135" s="36"/>
      <c r="J135" s="37"/>
      <c r="K135" s="38"/>
      <c r="L135" s="29"/>
      <c r="M135" s="29"/>
      <c r="N135" s="29"/>
      <c r="O135" s="39"/>
      <c r="P135" s="40">
        <f t="shared" si="8"/>
        <v>0</v>
      </c>
      <c r="Q135" s="40">
        <f t="shared" si="10"/>
        <v>0</v>
      </c>
      <c r="R135" s="40">
        <f t="shared" si="11"/>
        <v>0</v>
      </c>
      <c r="S135" s="41"/>
      <c r="T135" s="41"/>
      <c r="U135" s="41"/>
      <c r="V135" s="41"/>
      <c r="W135" s="41"/>
      <c r="X135" s="41"/>
      <c r="Y135" s="33">
        <f t="shared" si="9"/>
        <v>0</v>
      </c>
    </row>
    <row r="136" spans="4:25" x14ac:dyDescent="0.25">
      <c r="D136" s="69"/>
      <c r="E136" s="34"/>
      <c r="F136" s="34"/>
      <c r="H136" s="35"/>
      <c r="I136" s="36"/>
      <c r="J136" s="37"/>
      <c r="K136" s="38"/>
      <c r="L136" s="29"/>
      <c r="M136" s="29"/>
      <c r="N136" s="29"/>
      <c r="O136" s="39"/>
      <c r="P136" s="40">
        <f t="shared" si="8"/>
        <v>0</v>
      </c>
      <c r="Q136" s="40">
        <f t="shared" si="10"/>
        <v>0</v>
      </c>
      <c r="R136" s="40">
        <f t="shared" si="11"/>
        <v>0</v>
      </c>
      <c r="S136" s="41"/>
      <c r="T136" s="41"/>
      <c r="U136" s="41"/>
      <c r="V136" s="41"/>
      <c r="W136" s="41"/>
      <c r="X136" s="41"/>
      <c r="Y136" s="33">
        <f t="shared" si="9"/>
        <v>0</v>
      </c>
    </row>
    <row r="137" spans="4:25" x14ac:dyDescent="0.25">
      <c r="D137" s="69"/>
      <c r="E137" s="34"/>
      <c r="F137" s="34"/>
      <c r="H137" s="35"/>
      <c r="I137" s="36"/>
      <c r="J137" s="37"/>
      <c r="K137" s="38"/>
      <c r="L137" s="29"/>
      <c r="M137" s="29"/>
      <c r="N137" s="29"/>
      <c r="O137" s="39"/>
      <c r="P137" s="40">
        <f t="shared" si="8"/>
        <v>0</v>
      </c>
      <c r="Q137" s="40">
        <f t="shared" si="10"/>
        <v>0</v>
      </c>
      <c r="R137" s="40">
        <f t="shared" si="11"/>
        <v>0</v>
      </c>
      <c r="S137" s="41"/>
      <c r="T137" s="41"/>
      <c r="U137" s="41"/>
      <c r="V137" s="41"/>
      <c r="W137" s="41"/>
      <c r="X137" s="41"/>
      <c r="Y137" s="33">
        <f t="shared" si="9"/>
        <v>0</v>
      </c>
    </row>
    <row r="138" spans="4:25" x14ac:dyDescent="0.25">
      <c r="D138" s="69"/>
      <c r="E138" s="34"/>
      <c r="F138" s="34"/>
      <c r="H138" s="35"/>
      <c r="I138" s="36"/>
      <c r="J138" s="37"/>
      <c r="K138" s="38"/>
      <c r="L138" s="29"/>
      <c r="M138" s="29"/>
      <c r="N138" s="29"/>
      <c r="O138" s="39"/>
      <c r="P138" s="40">
        <f t="shared" si="8"/>
        <v>0</v>
      </c>
      <c r="Q138" s="40">
        <f t="shared" si="10"/>
        <v>0</v>
      </c>
      <c r="R138" s="40">
        <f t="shared" si="11"/>
        <v>0</v>
      </c>
      <c r="S138" s="41"/>
      <c r="T138" s="41"/>
      <c r="U138" s="41"/>
      <c r="V138" s="41"/>
      <c r="W138" s="41"/>
      <c r="X138" s="41"/>
      <c r="Y138" s="33">
        <f t="shared" si="9"/>
        <v>0</v>
      </c>
    </row>
    <row r="139" spans="4:25" x14ac:dyDescent="0.25">
      <c r="D139" s="69"/>
      <c r="E139" s="34"/>
      <c r="F139" s="34"/>
      <c r="H139" s="35"/>
      <c r="I139" s="36"/>
      <c r="J139" s="37"/>
      <c r="K139" s="38"/>
      <c r="L139" s="29"/>
      <c r="M139" s="29"/>
      <c r="N139" s="29"/>
      <c r="O139" s="39"/>
      <c r="P139" s="40">
        <f t="shared" si="8"/>
        <v>0</v>
      </c>
      <c r="Q139" s="40">
        <f t="shared" si="10"/>
        <v>0</v>
      </c>
      <c r="R139" s="40">
        <f t="shared" si="11"/>
        <v>0</v>
      </c>
      <c r="S139" s="41"/>
      <c r="T139" s="41"/>
      <c r="U139" s="41"/>
      <c r="V139" s="41"/>
      <c r="W139" s="41"/>
      <c r="X139" s="41"/>
      <c r="Y139" s="33">
        <f t="shared" si="9"/>
        <v>0</v>
      </c>
    </row>
    <row r="140" spans="4:25" x14ac:dyDescent="0.25">
      <c r="D140" s="69"/>
      <c r="E140" s="34"/>
      <c r="F140" s="34"/>
      <c r="H140" s="35"/>
      <c r="I140" s="36"/>
      <c r="J140" s="37"/>
      <c r="K140" s="38"/>
      <c r="L140" s="29"/>
      <c r="M140" s="29"/>
      <c r="N140" s="29"/>
      <c r="O140" s="39"/>
      <c r="P140" s="40">
        <f t="shared" si="8"/>
        <v>0</v>
      </c>
      <c r="Q140" s="40">
        <f t="shared" si="10"/>
        <v>0</v>
      </c>
      <c r="R140" s="40">
        <f t="shared" si="11"/>
        <v>0</v>
      </c>
      <c r="S140" s="41"/>
      <c r="T140" s="41"/>
      <c r="U140" s="41"/>
      <c r="V140" s="41"/>
      <c r="W140" s="41"/>
      <c r="X140" s="41"/>
      <c r="Y140" s="33">
        <f t="shared" si="9"/>
        <v>0</v>
      </c>
    </row>
    <row r="141" spans="4:25" x14ac:dyDescent="0.25">
      <c r="D141" s="69"/>
      <c r="E141" s="34"/>
      <c r="F141" s="34"/>
      <c r="H141" s="35"/>
      <c r="I141" s="36"/>
      <c r="J141" s="37"/>
      <c r="K141" s="38"/>
      <c r="L141" s="29"/>
      <c r="M141" s="29"/>
      <c r="N141" s="29"/>
      <c r="O141" s="39"/>
      <c r="P141" s="40">
        <f t="shared" si="8"/>
        <v>0</v>
      </c>
      <c r="Q141" s="40">
        <f t="shared" si="10"/>
        <v>0</v>
      </c>
      <c r="R141" s="40">
        <f t="shared" si="11"/>
        <v>0</v>
      </c>
      <c r="S141" s="41"/>
      <c r="T141" s="41"/>
      <c r="U141" s="41"/>
      <c r="V141" s="41"/>
      <c r="W141" s="41"/>
      <c r="X141" s="41"/>
      <c r="Y141" s="33">
        <f t="shared" si="9"/>
        <v>0</v>
      </c>
    </row>
    <row r="142" spans="4:25" x14ac:dyDescent="0.25">
      <c r="D142" s="69"/>
      <c r="E142" s="34"/>
      <c r="F142" s="34"/>
      <c r="G142" s="38"/>
      <c r="H142" s="35"/>
      <c r="I142" s="36"/>
      <c r="J142" s="37"/>
      <c r="K142" s="38"/>
      <c r="L142" s="29"/>
      <c r="M142" s="29"/>
      <c r="N142" s="29"/>
      <c r="O142" s="39"/>
      <c r="P142" s="40">
        <f t="shared" si="8"/>
        <v>0</v>
      </c>
      <c r="Q142" s="40">
        <f t="shared" si="10"/>
        <v>0</v>
      </c>
      <c r="R142" s="40">
        <f t="shared" si="11"/>
        <v>0</v>
      </c>
      <c r="S142" s="41"/>
      <c r="T142" s="41"/>
      <c r="U142" s="41"/>
      <c r="V142" s="41"/>
      <c r="W142" s="41"/>
      <c r="X142" s="41"/>
      <c r="Y142" s="33">
        <f t="shared" si="9"/>
        <v>0</v>
      </c>
    </row>
    <row r="143" spans="4:25" x14ac:dyDescent="0.25">
      <c r="D143" s="69"/>
      <c r="E143" s="34"/>
      <c r="F143" s="34"/>
      <c r="G143" s="38"/>
      <c r="H143" s="35"/>
      <c r="I143" s="36"/>
      <c r="J143" s="37"/>
      <c r="K143" s="38"/>
      <c r="L143" s="29"/>
      <c r="M143" s="29"/>
      <c r="N143" s="29"/>
      <c r="O143" s="39"/>
      <c r="P143" s="40">
        <f t="shared" si="8"/>
        <v>0</v>
      </c>
      <c r="Q143" s="40">
        <f t="shared" si="10"/>
        <v>0</v>
      </c>
      <c r="R143" s="40">
        <f t="shared" si="11"/>
        <v>0</v>
      </c>
      <c r="S143" s="41"/>
      <c r="T143" s="41"/>
      <c r="U143" s="41"/>
      <c r="V143" s="41"/>
      <c r="W143" s="41"/>
      <c r="X143" s="41"/>
      <c r="Y143" s="33">
        <f t="shared" si="9"/>
        <v>0</v>
      </c>
    </row>
    <row r="144" spans="4:25" x14ac:dyDescent="0.25">
      <c r="D144" s="69"/>
      <c r="E144" s="34"/>
      <c r="F144" s="34"/>
      <c r="H144" s="35"/>
      <c r="I144" s="36"/>
      <c r="J144" s="37"/>
      <c r="K144" s="38"/>
      <c r="L144" s="29"/>
      <c r="M144" s="29"/>
      <c r="N144" s="29"/>
      <c r="O144" s="39"/>
      <c r="P144" s="40">
        <f t="shared" si="8"/>
        <v>0</v>
      </c>
      <c r="Q144" s="40">
        <f t="shared" si="10"/>
        <v>0</v>
      </c>
      <c r="R144" s="40">
        <f t="shared" si="11"/>
        <v>0</v>
      </c>
      <c r="S144" s="41"/>
      <c r="T144" s="41"/>
      <c r="U144" s="41"/>
      <c r="V144" s="41"/>
      <c r="W144" s="41"/>
      <c r="X144" s="41"/>
      <c r="Y144" s="33">
        <f t="shared" si="9"/>
        <v>0</v>
      </c>
    </row>
    <row r="145" spans="4:25" x14ac:dyDescent="0.25">
      <c r="D145" s="69"/>
      <c r="E145" s="34"/>
      <c r="F145" s="34"/>
      <c r="H145" s="35"/>
      <c r="I145" s="36"/>
      <c r="J145" s="37"/>
      <c r="K145" s="38"/>
      <c r="L145" s="29"/>
      <c r="M145" s="29"/>
      <c r="N145" s="29"/>
      <c r="O145" s="39"/>
      <c r="P145" s="40">
        <f t="shared" si="8"/>
        <v>0</v>
      </c>
      <c r="Q145" s="40">
        <f t="shared" si="10"/>
        <v>0</v>
      </c>
      <c r="R145" s="40">
        <f t="shared" si="11"/>
        <v>0</v>
      </c>
      <c r="S145" s="41"/>
      <c r="T145" s="41"/>
      <c r="U145" s="41"/>
      <c r="V145" s="41"/>
      <c r="W145" s="41"/>
      <c r="X145" s="41"/>
      <c r="Y145" s="33">
        <f t="shared" si="9"/>
        <v>0</v>
      </c>
    </row>
    <row r="146" spans="4:25" x14ac:dyDescent="0.25">
      <c r="D146" s="69"/>
      <c r="E146" s="34"/>
      <c r="F146" s="34"/>
      <c r="H146" s="35"/>
      <c r="I146" s="36"/>
      <c r="J146" s="37"/>
      <c r="K146" s="38"/>
      <c r="L146" s="29"/>
      <c r="M146" s="29"/>
      <c r="N146" s="29"/>
      <c r="O146" s="39"/>
      <c r="P146" s="40">
        <f t="shared" si="8"/>
        <v>0</v>
      </c>
      <c r="Q146" s="40">
        <f t="shared" si="10"/>
        <v>0</v>
      </c>
      <c r="R146" s="40">
        <f t="shared" si="11"/>
        <v>0</v>
      </c>
      <c r="S146" s="41"/>
      <c r="T146" s="41"/>
      <c r="U146" s="41"/>
      <c r="V146" s="41"/>
      <c r="W146" s="41"/>
      <c r="X146" s="41"/>
      <c r="Y146" s="33">
        <f t="shared" si="9"/>
        <v>0</v>
      </c>
    </row>
    <row r="147" spans="4:25" x14ac:dyDescent="0.25">
      <c r="D147" s="69"/>
      <c r="E147" s="34"/>
      <c r="F147" s="34"/>
      <c r="H147" s="35"/>
      <c r="I147" s="36"/>
      <c r="J147" s="37"/>
      <c r="K147" s="38"/>
      <c r="L147" s="29"/>
      <c r="M147" s="29"/>
      <c r="N147" s="29"/>
      <c r="O147" s="39"/>
      <c r="P147" s="40">
        <f t="shared" si="8"/>
        <v>0</v>
      </c>
      <c r="Q147" s="40">
        <f t="shared" si="10"/>
        <v>0</v>
      </c>
      <c r="R147" s="40">
        <f t="shared" si="11"/>
        <v>0</v>
      </c>
      <c r="S147" s="41"/>
      <c r="T147" s="41"/>
      <c r="U147" s="41"/>
      <c r="V147" s="41"/>
      <c r="W147" s="41"/>
      <c r="X147" s="41"/>
      <c r="Y147" s="33">
        <f t="shared" si="9"/>
        <v>0</v>
      </c>
    </row>
    <row r="148" spans="4:25" x14ac:dyDescent="0.25">
      <c r="D148" s="69"/>
      <c r="E148" s="34"/>
      <c r="F148" s="34"/>
      <c r="H148" s="35"/>
      <c r="I148" s="36"/>
      <c r="J148" s="37"/>
      <c r="K148" s="38"/>
      <c r="L148" s="29"/>
      <c r="M148" s="29"/>
      <c r="N148" s="29"/>
      <c r="O148" s="39"/>
      <c r="P148" s="40">
        <f t="shared" si="8"/>
        <v>0</v>
      </c>
      <c r="Q148" s="40">
        <f t="shared" si="10"/>
        <v>0</v>
      </c>
      <c r="R148" s="40">
        <f t="shared" si="11"/>
        <v>0</v>
      </c>
      <c r="S148" s="41"/>
      <c r="T148" s="41"/>
      <c r="U148" s="41"/>
      <c r="V148" s="41"/>
      <c r="W148" s="41"/>
      <c r="X148" s="41"/>
      <c r="Y148" s="33">
        <f t="shared" si="9"/>
        <v>0</v>
      </c>
    </row>
    <row r="149" spans="4:25" x14ac:dyDescent="0.25">
      <c r="D149" s="69"/>
      <c r="E149" s="34"/>
      <c r="F149" s="34"/>
      <c r="H149" s="35"/>
      <c r="I149" s="36"/>
      <c r="J149" s="37"/>
      <c r="K149" s="38"/>
      <c r="L149" s="29"/>
      <c r="M149" s="29"/>
      <c r="N149" s="29"/>
      <c r="O149" s="39"/>
      <c r="P149" s="40">
        <f t="shared" si="8"/>
        <v>0</v>
      </c>
      <c r="Q149" s="40">
        <f t="shared" si="10"/>
        <v>0</v>
      </c>
      <c r="R149" s="40">
        <f t="shared" si="11"/>
        <v>0</v>
      </c>
      <c r="S149" s="41"/>
      <c r="T149" s="41"/>
      <c r="U149" s="41"/>
      <c r="V149" s="41"/>
      <c r="W149" s="41"/>
      <c r="X149" s="41"/>
      <c r="Y149" s="33">
        <f t="shared" si="9"/>
        <v>0</v>
      </c>
    </row>
    <row r="150" spans="4:25" x14ac:dyDescent="0.25">
      <c r="D150" s="69"/>
      <c r="E150" s="34"/>
      <c r="F150" s="34"/>
      <c r="H150" s="35"/>
      <c r="I150" s="36"/>
      <c r="J150" s="37"/>
      <c r="K150" s="38"/>
      <c r="L150" s="29"/>
      <c r="M150" s="29"/>
      <c r="N150" s="29"/>
      <c r="O150" s="39"/>
      <c r="P150" s="40">
        <f t="shared" si="8"/>
        <v>0</v>
      </c>
      <c r="Q150" s="40">
        <f t="shared" si="10"/>
        <v>0</v>
      </c>
      <c r="R150" s="40">
        <f t="shared" si="11"/>
        <v>0</v>
      </c>
      <c r="S150" s="41"/>
      <c r="T150" s="41"/>
      <c r="U150" s="41"/>
      <c r="V150" s="41"/>
      <c r="W150" s="41"/>
      <c r="X150" s="41"/>
      <c r="Y150" s="33">
        <f t="shared" si="9"/>
        <v>0</v>
      </c>
    </row>
    <row r="151" spans="4:25" x14ac:dyDescent="0.25">
      <c r="D151" s="69"/>
      <c r="E151" s="34"/>
      <c r="F151" s="34"/>
      <c r="H151" s="35"/>
      <c r="I151" s="36"/>
      <c r="J151" s="37"/>
      <c r="K151" s="38"/>
      <c r="L151" s="29"/>
      <c r="M151" s="29"/>
      <c r="N151" s="29"/>
      <c r="O151" s="39"/>
      <c r="P151" s="40">
        <f t="shared" si="8"/>
        <v>0</v>
      </c>
      <c r="Q151" s="40">
        <f t="shared" si="10"/>
        <v>0</v>
      </c>
      <c r="R151" s="40">
        <f t="shared" si="11"/>
        <v>0</v>
      </c>
      <c r="S151" s="41"/>
      <c r="T151" s="41"/>
      <c r="U151" s="41"/>
      <c r="V151" s="41"/>
      <c r="W151" s="41"/>
      <c r="X151" s="41"/>
      <c r="Y151" s="33">
        <f t="shared" si="9"/>
        <v>0</v>
      </c>
    </row>
    <row r="152" spans="4:25" x14ac:dyDescent="0.25">
      <c r="D152" s="69"/>
      <c r="E152" s="34"/>
      <c r="F152" s="34"/>
      <c r="H152" s="35"/>
      <c r="I152" s="36"/>
      <c r="J152" s="37"/>
      <c r="K152" s="38"/>
      <c r="L152" s="29"/>
      <c r="M152" s="29"/>
      <c r="N152" s="29"/>
      <c r="O152" s="39"/>
      <c r="P152" s="40">
        <f t="shared" si="8"/>
        <v>0</v>
      </c>
      <c r="Q152" s="40">
        <f t="shared" si="10"/>
        <v>0</v>
      </c>
      <c r="R152" s="40">
        <f t="shared" si="11"/>
        <v>0</v>
      </c>
      <c r="S152" s="41"/>
      <c r="T152" s="41"/>
      <c r="U152" s="41"/>
      <c r="V152" s="41"/>
      <c r="W152" s="41"/>
      <c r="X152" s="41"/>
      <c r="Y152" s="33">
        <f t="shared" si="9"/>
        <v>0</v>
      </c>
    </row>
    <row r="153" spans="4:25" x14ac:dyDescent="0.25">
      <c r="D153" s="69"/>
      <c r="E153" s="34"/>
      <c r="F153" s="34"/>
      <c r="H153" s="35"/>
      <c r="I153" s="36"/>
      <c r="J153" s="37"/>
      <c r="K153" s="38"/>
      <c r="L153" s="29"/>
      <c r="M153" s="29"/>
      <c r="N153" s="29"/>
      <c r="O153" s="39"/>
      <c r="P153" s="40">
        <f t="shared" si="8"/>
        <v>0</v>
      </c>
      <c r="Q153" s="40">
        <f t="shared" si="10"/>
        <v>0</v>
      </c>
      <c r="R153" s="40">
        <f t="shared" si="11"/>
        <v>0</v>
      </c>
      <c r="S153" s="41"/>
      <c r="T153" s="41"/>
      <c r="U153" s="41"/>
      <c r="V153" s="41"/>
      <c r="W153" s="41"/>
      <c r="X153" s="41"/>
      <c r="Y153" s="33">
        <f t="shared" si="9"/>
        <v>0</v>
      </c>
    </row>
    <row r="154" spans="4:25" x14ac:dyDescent="0.25">
      <c r="D154" s="69"/>
      <c r="E154" s="34"/>
      <c r="F154" s="34"/>
      <c r="H154" s="35"/>
      <c r="I154" s="36"/>
      <c r="J154" s="37"/>
      <c r="K154" s="38"/>
      <c r="L154" s="29"/>
      <c r="M154" s="29"/>
      <c r="N154" s="29"/>
      <c r="O154" s="39"/>
      <c r="P154" s="40">
        <f t="shared" si="8"/>
        <v>0</v>
      </c>
      <c r="Q154" s="40">
        <f t="shared" si="10"/>
        <v>0</v>
      </c>
      <c r="R154" s="40">
        <f t="shared" si="11"/>
        <v>0</v>
      </c>
      <c r="S154" s="41"/>
      <c r="T154" s="41"/>
      <c r="U154" s="41"/>
      <c r="V154" s="41"/>
      <c r="W154" s="41"/>
      <c r="X154" s="41"/>
      <c r="Y154" s="33">
        <f t="shared" si="9"/>
        <v>0</v>
      </c>
    </row>
    <row r="155" spans="4:25" x14ac:dyDescent="0.25">
      <c r="D155" s="69"/>
      <c r="E155" s="34"/>
      <c r="F155" s="34"/>
      <c r="H155" s="35"/>
      <c r="I155" s="36"/>
      <c r="J155" s="37"/>
      <c r="K155" s="38"/>
      <c r="L155" s="29"/>
      <c r="M155" s="29"/>
      <c r="N155" s="29"/>
      <c r="O155" s="39"/>
      <c r="P155" s="40">
        <f t="shared" si="8"/>
        <v>0</v>
      </c>
      <c r="Q155" s="40">
        <f t="shared" si="10"/>
        <v>0</v>
      </c>
      <c r="R155" s="40">
        <f t="shared" si="11"/>
        <v>0</v>
      </c>
      <c r="S155" s="41"/>
      <c r="T155" s="41"/>
      <c r="U155" s="41"/>
      <c r="V155" s="41"/>
      <c r="W155" s="41"/>
      <c r="X155" s="41"/>
      <c r="Y155" s="33">
        <f t="shared" si="9"/>
        <v>0</v>
      </c>
    </row>
    <row r="156" spans="4:25" x14ac:dyDescent="0.25">
      <c r="D156" s="69"/>
      <c r="E156" s="34"/>
      <c r="F156" s="34"/>
      <c r="H156" s="35"/>
      <c r="I156" s="36"/>
      <c r="J156" s="37"/>
      <c r="K156" s="38"/>
      <c r="L156" s="29"/>
      <c r="M156" s="29"/>
      <c r="N156" s="29"/>
      <c r="O156" s="39"/>
      <c r="P156" s="40">
        <f t="shared" si="8"/>
        <v>0</v>
      </c>
      <c r="Q156" s="40">
        <f t="shared" si="10"/>
        <v>0</v>
      </c>
      <c r="R156" s="40">
        <f t="shared" si="11"/>
        <v>0</v>
      </c>
      <c r="S156" s="41"/>
      <c r="T156" s="41"/>
      <c r="U156" s="41"/>
      <c r="V156" s="41"/>
      <c r="W156" s="41"/>
      <c r="X156" s="41"/>
      <c r="Y156" s="33">
        <f t="shared" si="9"/>
        <v>0</v>
      </c>
    </row>
    <row r="157" spans="4:25" x14ac:dyDescent="0.25">
      <c r="D157" s="69"/>
      <c r="E157" s="34"/>
      <c r="F157" s="34"/>
      <c r="H157" s="35"/>
      <c r="I157" s="36"/>
      <c r="J157" s="37"/>
      <c r="K157" s="38"/>
      <c r="L157" s="29"/>
      <c r="M157" s="29"/>
      <c r="N157" s="29"/>
      <c r="O157" s="39"/>
      <c r="P157" s="40">
        <f t="shared" si="8"/>
        <v>0</v>
      </c>
      <c r="Q157" s="40">
        <f t="shared" si="10"/>
        <v>0</v>
      </c>
      <c r="R157" s="40">
        <f t="shared" si="11"/>
        <v>0</v>
      </c>
      <c r="S157" s="41"/>
      <c r="T157" s="41"/>
      <c r="U157" s="41"/>
      <c r="V157" s="41"/>
      <c r="W157" s="41"/>
      <c r="X157" s="41"/>
      <c r="Y157" s="33">
        <f t="shared" si="9"/>
        <v>0</v>
      </c>
    </row>
    <row r="158" spans="4:25" x14ac:dyDescent="0.25">
      <c r="D158" s="69"/>
      <c r="E158" s="34"/>
      <c r="F158" s="34"/>
      <c r="H158" s="35"/>
      <c r="I158" s="36"/>
      <c r="J158" s="37"/>
      <c r="K158" s="38"/>
      <c r="L158" s="29"/>
      <c r="M158" s="29"/>
      <c r="N158" s="29"/>
      <c r="O158" s="39"/>
      <c r="P158" s="40">
        <f t="shared" si="8"/>
        <v>0</v>
      </c>
      <c r="Q158" s="40">
        <f t="shared" si="10"/>
        <v>0</v>
      </c>
      <c r="R158" s="40">
        <f t="shared" si="11"/>
        <v>0</v>
      </c>
      <c r="S158" s="41"/>
      <c r="T158" s="41"/>
      <c r="U158" s="41"/>
      <c r="V158" s="41"/>
      <c r="W158" s="41"/>
      <c r="X158" s="41"/>
      <c r="Y158" s="33">
        <f t="shared" si="9"/>
        <v>0</v>
      </c>
    </row>
    <row r="159" spans="4:25" x14ac:dyDescent="0.25">
      <c r="D159" s="69"/>
      <c r="E159" s="34"/>
      <c r="F159" s="34"/>
      <c r="H159" s="35"/>
      <c r="I159" s="36"/>
      <c r="J159" s="37"/>
      <c r="K159" s="38"/>
      <c r="L159" s="29"/>
      <c r="M159" s="29"/>
      <c r="N159" s="29"/>
      <c r="O159" s="39"/>
      <c r="P159" s="40">
        <f t="shared" si="8"/>
        <v>0</v>
      </c>
      <c r="Q159" s="40">
        <f t="shared" si="10"/>
        <v>0</v>
      </c>
      <c r="R159" s="40">
        <f t="shared" si="11"/>
        <v>0</v>
      </c>
      <c r="S159" s="41"/>
      <c r="T159" s="41"/>
      <c r="U159" s="41"/>
      <c r="V159" s="41"/>
      <c r="W159" s="41"/>
      <c r="X159" s="41"/>
      <c r="Y159" s="33">
        <f t="shared" si="9"/>
        <v>0</v>
      </c>
    </row>
    <row r="160" spans="4:25" x14ac:dyDescent="0.25">
      <c r="D160" s="69"/>
      <c r="E160" s="34"/>
      <c r="F160" s="34"/>
      <c r="H160" s="35"/>
      <c r="I160" s="36"/>
      <c r="J160" s="37"/>
      <c r="K160" s="38"/>
      <c r="L160" s="29"/>
      <c r="M160" s="29"/>
      <c r="N160" s="29"/>
      <c r="O160" s="39"/>
      <c r="P160" s="40">
        <f t="shared" si="8"/>
        <v>0</v>
      </c>
      <c r="Q160" s="40">
        <f t="shared" si="10"/>
        <v>0</v>
      </c>
      <c r="R160" s="40">
        <f t="shared" si="11"/>
        <v>0</v>
      </c>
      <c r="S160" s="41"/>
      <c r="T160" s="41"/>
      <c r="U160" s="41"/>
      <c r="V160" s="41"/>
      <c r="W160" s="41"/>
      <c r="X160" s="41"/>
      <c r="Y160" s="33">
        <f t="shared" si="9"/>
        <v>0</v>
      </c>
    </row>
    <row r="161" spans="4:25" x14ac:dyDescent="0.25">
      <c r="D161" s="69"/>
      <c r="E161" s="34"/>
      <c r="F161" s="34"/>
      <c r="H161" s="35"/>
      <c r="I161" s="36"/>
      <c r="J161" s="37"/>
      <c r="K161" s="38"/>
      <c r="L161" s="29"/>
      <c r="M161" s="29"/>
      <c r="N161" s="29"/>
      <c r="O161" s="39"/>
      <c r="P161" s="40">
        <f t="shared" si="8"/>
        <v>0</v>
      </c>
      <c r="Q161" s="40">
        <f t="shared" si="10"/>
        <v>0</v>
      </c>
      <c r="R161" s="40">
        <f t="shared" si="11"/>
        <v>0</v>
      </c>
      <c r="S161" s="41"/>
      <c r="T161" s="41"/>
      <c r="U161" s="41"/>
      <c r="V161" s="41"/>
      <c r="W161" s="41"/>
      <c r="X161" s="41"/>
      <c r="Y161" s="33">
        <f t="shared" si="9"/>
        <v>0</v>
      </c>
    </row>
    <row r="162" spans="4:25" x14ac:dyDescent="0.25">
      <c r="D162" s="69"/>
      <c r="E162" s="34"/>
      <c r="F162" s="34"/>
      <c r="H162" s="35"/>
      <c r="I162" s="36"/>
      <c r="J162" s="37"/>
      <c r="K162" s="38"/>
      <c r="L162" s="29"/>
      <c r="M162" s="29"/>
      <c r="N162" s="29"/>
      <c r="O162" s="39"/>
      <c r="P162" s="40">
        <f t="shared" si="8"/>
        <v>0</v>
      </c>
      <c r="Q162" s="40">
        <f t="shared" si="10"/>
        <v>0</v>
      </c>
      <c r="R162" s="40">
        <f t="shared" si="11"/>
        <v>0</v>
      </c>
      <c r="S162" s="41"/>
      <c r="T162" s="41"/>
      <c r="U162" s="41"/>
      <c r="V162" s="41"/>
      <c r="W162" s="41"/>
      <c r="X162" s="41"/>
      <c r="Y162" s="33">
        <f t="shared" si="9"/>
        <v>0</v>
      </c>
    </row>
    <row r="163" spans="4:25" x14ac:dyDescent="0.25">
      <c r="D163" s="69"/>
      <c r="E163" s="34"/>
      <c r="F163" s="34"/>
      <c r="H163" s="35"/>
      <c r="I163" s="36"/>
      <c r="J163" s="37"/>
      <c r="K163" s="38"/>
      <c r="L163" s="29"/>
      <c r="M163" s="29"/>
      <c r="N163" s="29"/>
      <c r="O163" s="39"/>
      <c r="P163" s="40">
        <f t="shared" si="8"/>
        <v>0</v>
      </c>
      <c r="Q163" s="40">
        <f t="shared" si="10"/>
        <v>0</v>
      </c>
      <c r="R163" s="40">
        <f t="shared" si="11"/>
        <v>0</v>
      </c>
      <c r="S163" s="41"/>
      <c r="T163" s="41"/>
      <c r="U163" s="41"/>
      <c r="V163" s="41"/>
      <c r="W163" s="41"/>
      <c r="X163" s="41"/>
      <c r="Y163" s="33">
        <f t="shared" si="9"/>
        <v>0</v>
      </c>
    </row>
    <row r="164" spans="4:25" x14ac:dyDescent="0.25">
      <c r="D164" s="69"/>
      <c r="E164" s="34"/>
      <c r="F164" s="34"/>
      <c r="H164" s="35"/>
      <c r="I164" s="36"/>
      <c r="J164" s="37"/>
      <c r="K164" s="38"/>
      <c r="L164" s="29"/>
      <c r="M164" s="29"/>
      <c r="N164" s="29"/>
      <c r="O164" s="39"/>
      <c r="P164" s="40">
        <f t="shared" si="8"/>
        <v>0</v>
      </c>
      <c r="Q164" s="40">
        <f t="shared" si="10"/>
        <v>0</v>
      </c>
      <c r="R164" s="40">
        <f t="shared" si="11"/>
        <v>0</v>
      </c>
      <c r="S164" s="41"/>
      <c r="T164" s="41"/>
      <c r="U164" s="41"/>
      <c r="V164" s="41"/>
      <c r="W164" s="41"/>
      <c r="X164" s="41"/>
      <c r="Y164" s="33">
        <f t="shared" si="9"/>
        <v>0</v>
      </c>
    </row>
    <row r="165" spans="4:25" x14ac:dyDescent="0.25">
      <c r="D165" s="69"/>
      <c r="E165" s="34"/>
      <c r="F165" s="34"/>
      <c r="H165" s="35"/>
      <c r="I165" s="36"/>
      <c r="J165" s="37"/>
      <c r="K165" s="38"/>
      <c r="L165" s="29"/>
      <c r="M165" s="29"/>
      <c r="N165" s="29"/>
      <c r="O165" s="39"/>
      <c r="P165" s="40">
        <f t="shared" si="8"/>
        <v>0</v>
      </c>
      <c r="Q165" s="40">
        <f t="shared" si="10"/>
        <v>0</v>
      </c>
      <c r="R165" s="40">
        <f t="shared" si="11"/>
        <v>0</v>
      </c>
      <c r="S165" s="41"/>
      <c r="T165" s="41"/>
      <c r="U165" s="41"/>
      <c r="V165" s="41"/>
      <c r="W165" s="41"/>
      <c r="X165" s="41"/>
      <c r="Y165" s="33">
        <f t="shared" si="9"/>
        <v>0</v>
      </c>
    </row>
    <row r="166" spans="4:25" x14ac:dyDescent="0.25">
      <c r="D166" s="69"/>
      <c r="E166" s="34"/>
      <c r="F166" s="34"/>
      <c r="H166" s="35"/>
      <c r="I166" s="36"/>
      <c r="J166" s="37"/>
      <c r="K166" s="38"/>
      <c r="L166" s="29"/>
      <c r="M166" s="29"/>
      <c r="N166" s="29"/>
      <c r="O166" s="39"/>
      <c r="P166" s="40">
        <f t="shared" si="8"/>
        <v>0</v>
      </c>
      <c r="Q166" s="40">
        <f t="shared" si="10"/>
        <v>0</v>
      </c>
      <c r="R166" s="40">
        <f t="shared" si="11"/>
        <v>0</v>
      </c>
      <c r="S166" s="41"/>
      <c r="T166" s="41"/>
      <c r="U166" s="41"/>
      <c r="V166" s="41"/>
      <c r="W166" s="41"/>
      <c r="X166" s="41"/>
      <c r="Y166" s="33">
        <f t="shared" si="9"/>
        <v>0</v>
      </c>
    </row>
    <row r="167" spans="4:25" x14ac:dyDescent="0.25">
      <c r="D167" s="69"/>
      <c r="E167" s="34"/>
      <c r="F167" s="34"/>
      <c r="H167" s="35"/>
      <c r="I167" s="36"/>
      <c r="J167" s="37"/>
      <c r="K167" s="38"/>
      <c r="L167" s="29"/>
      <c r="M167" s="29"/>
      <c r="N167" s="29"/>
      <c r="O167" s="39"/>
      <c r="P167" s="40">
        <f t="shared" si="8"/>
        <v>0</v>
      </c>
      <c r="Q167" s="40">
        <f t="shared" si="10"/>
        <v>0</v>
      </c>
      <c r="R167" s="40">
        <f t="shared" si="11"/>
        <v>0</v>
      </c>
      <c r="S167" s="41"/>
      <c r="T167" s="41"/>
      <c r="U167" s="41"/>
      <c r="V167" s="41"/>
      <c r="W167" s="41"/>
      <c r="X167" s="41"/>
      <c r="Y167" s="33">
        <f t="shared" si="9"/>
        <v>0</v>
      </c>
    </row>
    <row r="168" spans="4:25" x14ac:dyDescent="0.25">
      <c r="D168" s="69"/>
      <c r="E168" s="34"/>
      <c r="F168" s="34"/>
      <c r="H168" s="35"/>
      <c r="I168" s="36"/>
      <c r="J168" s="37"/>
      <c r="K168" s="38"/>
      <c r="L168" s="29"/>
      <c r="M168" s="29"/>
      <c r="N168" s="29"/>
      <c r="O168" s="39"/>
      <c r="P168" s="40">
        <f t="shared" si="8"/>
        <v>0</v>
      </c>
      <c r="Q168" s="40">
        <f t="shared" si="10"/>
        <v>0</v>
      </c>
      <c r="R168" s="40">
        <f t="shared" si="11"/>
        <v>0</v>
      </c>
      <c r="S168" s="41"/>
      <c r="T168" s="41"/>
      <c r="U168" s="41"/>
      <c r="V168" s="41"/>
      <c r="W168" s="41"/>
      <c r="X168" s="41"/>
      <c r="Y168" s="33">
        <f t="shared" si="9"/>
        <v>0</v>
      </c>
    </row>
    <row r="169" spans="4:25" x14ac:dyDescent="0.25">
      <c r="D169" s="69"/>
      <c r="E169" s="34"/>
      <c r="F169" s="34"/>
      <c r="H169" s="35"/>
      <c r="I169" s="36"/>
      <c r="J169" s="37"/>
      <c r="K169" s="38"/>
      <c r="L169" s="29"/>
      <c r="M169" s="29"/>
      <c r="N169" s="29"/>
      <c r="O169" s="39"/>
      <c r="P169" s="40">
        <f t="shared" si="8"/>
        <v>0</v>
      </c>
      <c r="Q169" s="40">
        <f t="shared" si="10"/>
        <v>0</v>
      </c>
      <c r="R169" s="40">
        <f t="shared" si="11"/>
        <v>0</v>
      </c>
      <c r="S169" s="41"/>
      <c r="T169" s="41"/>
      <c r="U169" s="41"/>
      <c r="V169" s="41"/>
      <c r="W169" s="41"/>
      <c r="X169" s="41"/>
      <c r="Y169" s="33">
        <f t="shared" si="9"/>
        <v>0</v>
      </c>
    </row>
    <row r="170" spans="4:25" x14ac:dyDescent="0.25">
      <c r="D170" s="69"/>
      <c r="E170" s="34"/>
      <c r="F170" s="34"/>
      <c r="H170" s="35"/>
      <c r="I170" s="36"/>
      <c r="J170" s="37"/>
      <c r="K170" s="38"/>
      <c r="L170" s="29"/>
      <c r="M170" s="29"/>
      <c r="N170" s="29"/>
      <c r="O170" s="39"/>
      <c r="P170" s="40">
        <f t="shared" si="8"/>
        <v>0</v>
      </c>
      <c r="Q170" s="40">
        <f t="shared" si="10"/>
        <v>0</v>
      </c>
      <c r="R170" s="40">
        <f t="shared" si="11"/>
        <v>0</v>
      </c>
      <c r="S170" s="41"/>
      <c r="T170" s="41"/>
      <c r="U170" s="41"/>
      <c r="V170" s="41"/>
      <c r="W170" s="41"/>
      <c r="X170" s="41"/>
      <c r="Y170" s="33">
        <f t="shared" si="9"/>
        <v>0</v>
      </c>
    </row>
    <row r="171" spans="4:25" x14ac:dyDescent="0.25">
      <c r="D171" s="69"/>
      <c r="E171" s="34"/>
      <c r="F171" s="34"/>
      <c r="H171" s="35"/>
      <c r="I171" s="36"/>
      <c r="J171" s="37"/>
      <c r="K171" s="38"/>
      <c r="L171" s="29"/>
      <c r="M171" s="29"/>
      <c r="N171" s="29"/>
      <c r="O171" s="39"/>
      <c r="P171" s="40">
        <f t="shared" si="8"/>
        <v>0</v>
      </c>
      <c r="Q171" s="40">
        <f t="shared" si="10"/>
        <v>0</v>
      </c>
      <c r="R171" s="40">
        <f t="shared" si="11"/>
        <v>0</v>
      </c>
      <c r="S171" s="41"/>
      <c r="T171" s="41"/>
      <c r="U171" s="41"/>
      <c r="V171" s="41"/>
      <c r="W171" s="41"/>
      <c r="X171" s="41"/>
      <c r="Y171" s="33">
        <f t="shared" si="9"/>
        <v>0</v>
      </c>
    </row>
    <row r="172" spans="4:25" x14ac:dyDescent="0.25">
      <c r="D172" s="69"/>
      <c r="E172" s="34"/>
      <c r="F172" s="34"/>
      <c r="H172" s="35"/>
      <c r="I172" s="36"/>
      <c r="J172" s="37"/>
      <c r="K172" s="38"/>
      <c r="L172" s="29"/>
      <c r="M172" s="29"/>
      <c r="N172" s="29"/>
      <c r="O172" s="39"/>
      <c r="P172" s="40">
        <f t="shared" si="8"/>
        <v>0</v>
      </c>
      <c r="Q172" s="40">
        <f t="shared" si="10"/>
        <v>0</v>
      </c>
      <c r="R172" s="40">
        <f t="shared" si="11"/>
        <v>0</v>
      </c>
      <c r="S172" s="41"/>
      <c r="T172" s="41"/>
      <c r="U172" s="41"/>
      <c r="V172" s="41"/>
      <c r="W172" s="41"/>
      <c r="X172" s="41"/>
      <c r="Y172" s="33">
        <f t="shared" si="9"/>
        <v>0</v>
      </c>
    </row>
    <row r="173" spans="4:25" x14ac:dyDescent="0.25">
      <c r="D173" s="69"/>
      <c r="E173" s="34"/>
      <c r="F173" s="34"/>
      <c r="H173" s="35"/>
      <c r="I173" s="36"/>
      <c r="J173" s="37"/>
      <c r="K173" s="38"/>
      <c r="L173" s="29"/>
      <c r="M173" s="29"/>
      <c r="N173" s="29"/>
      <c r="O173" s="39"/>
      <c r="P173" s="40">
        <f t="shared" si="8"/>
        <v>0</v>
      </c>
      <c r="Q173" s="40">
        <f t="shared" si="10"/>
        <v>0</v>
      </c>
      <c r="R173" s="40">
        <f t="shared" si="11"/>
        <v>0</v>
      </c>
      <c r="S173" s="41"/>
      <c r="T173" s="41"/>
      <c r="U173" s="41"/>
      <c r="V173" s="41"/>
      <c r="W173" s="41"/>
      <c r="X173" s="41"/>
      <c r="Y173" s="33">
        <f t="shared" si="9"/>
        <v>0</v>
      </c>
    </row>
    <row r="174" spans="4:25" x14ac:dyDescent="0.25">
      <c r="D174" s="69"/>
      <c r="E174" s="34"/>
      <c r="F174" s="34"/>
      <c r="H174" s="35"/>
      <c r="I174" s="36"/>
      <c r="J174" s="37"/>
      <c r="K174" s="38"/>
      <c r="L174" s="29"/>
      <c r="M174" s="29"/>
      <c r="N174" s="29"/>
      <c r="O174" s="39"/>
      <c r="P174" s="40">
        <f t="shared" si="8"/>
        <v>0</v>
      </c>
      <c r="Q174" s="40">
        <f t="shared" si="10"/>
        <v>0</v>
      </c>
      <c r="R174" s="40">
        <f t="shared" si="11"/>
        <v>0</v>
      </c>
      <c r="S174" s="41"/>
      <c r="T174" s="41"/>
      <c r="U174" s="41"/>
      <c r="V174" s="41"/>
      <c r="W174" s="41"/>
      <c r="X174" s="41"/>
      <c r="Y174" s="33">
        <f t="shared" si="9"/>
        <v>0</v>
      </c>
    </row>
    <row r="175" spans="4:25" x14ac:dyDescent="0.25">
      <c r="D175" s="69"/>
      <c r="E175" s="34"/>
      <c r="F175" s="34"/>
      <c r="H175" s="35"/>
      <c r="I175" s="36"/>
      <c r="J175" s="37"/>
      <c r="K175" s="38"/>
      <c r="L175" s="29"/>
      <c r="M175" s="29"/>
      <c r="N175" s="29"/>
      <c r="O175" s="39"/>
      <c r="P175" s="40">
        <f t="shared" si="8"/>
        <v>0</v>
      </c>
      <c r="Q175" s="40">
        <f t="shared" si="10"/>
        <v>0</v>
      </c>
      <c r="R175" s="40">
        <f t="shared" si="11"/>
        <v>0</v>
      </c>
      <c r="S175" s="41"/>
      <c r="T175" s="41"/>
      <c r="U175" s="41"/>
      <c r="V175" s="41"/>
      <c r="W175" s="41"/>
      <c r="X175" s="41"/>
      <c r="Y175" s="33">
        <f t="shared" si="9"/>
        <v>0</v>
      </c>
    </row>
    <row r="176" spans="4:25" x14ac:dyDescent="0.25">
      <c r="D176" s="69"/>
      <c r="E176" s="34"/>
      <c r="F176" s="34"/>
      <c r="H176" s="35"/>
      <c r="I176" s="36"/>
      <c r="J176" s="37"/>
      <c r="K176" s="38"/>
      <c r="L176" s="29"/>
      <c r="M176" s="29"/>
      <c r="N176" s="29"/>
      <c r="O176" s="39"/>
      <c r="P176" s="40">
        <f t="shared" si="8"/>
        <v>0</v>
      </c>
      <c r="Q176" s="40">
        <f t="shared" si="10"/>
        <v>0</v>
      </c>
      <c r="R176" s="40">
        <f t="shared" si="11"/>
        <v>0</v>
      </c>
      <c r="S176" s="41"/>
      <c r="T176" s="41"/>
      <c r="U176" s="41"/>
      <c r="V176" s="41"/>
      <c r="W176" s="41"/>
      <c r="X176" s="41"/>
      <c r="Y176" s="33">
        <f t="shared" si="9"/>
        <v>0</v>
      </c>
    </row>
    <row r="177" spans="4:25" x14ac:dyDescent="0.25">
      <c r="D177" s="69"/>
      <c r="E177" s="34"/>
      <c r="F177" s="34"/>
      <c r="H177" s="35"/>
      <c r="I177" s="36"/>
      <c r="J177" s="37"/>
      <c r="K177" s="38"/>
      <c r="L177" s="29"/>
      <c r="M177" s="29"/>
      <c r="N177" s="29"/>
      <c r="O177" s="39"/>
      <c r="P177" s="40">
        <f t="shared" si="8"/>
        <v>0</v>
      </c>
      <c r="Q177" s="40">
        <f t="shared" si="10"/>
        <v>0</v>
      </c>
      <c r="R177" s="40">
        <f t="shared" si="11"/>
        <v>0</v>
      </c>
      <c r="S177" s="41"/>
      <c r="T177" s="41"/>
      <c r="U177" s="41"/>
      <c r="V177" s="41"/>
      <c r="W177" s="41"/>
      <c r="X177" s="41"/>
      <c r="Y177" s="33">
        <f t="shared" si="9"/>
        <v>0</v>
      </c>
    </row>
    <row r="178" spans="4:25" x14ac:dyDescent="0.25">
      <c r="D178" s="69"/>
      <c r="E178" s="34"/>
      <c r="F178" s="34"/>
      <c r="H178" s="35"/>
      <c r="I178" s="36"/>
      <c r="J178" s="37"/>
      <c r="K178" s="38"/>
      <c r="L178" s="29"/>
      <c r="M178" s="29"/>
      <c r="N178" s="29"/>
      <c r="O178" s="39"/>
      <c r="P178" s="40">
        <f t="shared" si="8"/>
        <v>0</v>
      </c>
      <c r="Q178" s="40">
        <f t="shared" si="10"/>
        <v>0</v>
      </c>
      <c r="R178" s="40">
        <f t="shared" si="11"/>
        <v>0</v>
      </c>
      <c r="S178" s="41"/>
      <c r="T178" s="41"/>
      <c r="U178" s="41"/>
      <c r="V178" s="41"/>
      <c r="W178" s="41"/>
      <c r="X178" s="41"/>
      <c r="Y178" s="33">
        <f t="shared" si="9"/>
        <v>0</v>
      </c>
    </row>
    <row r="179" spans="4:25" x14ac:dyDescent="0.25">
      <c r="D179" s="69"/>
      <c r="E179" s="34"/>
      <c r="F179" s="34"/>
      <c r="H179" s="35"/>
      <c r="I179" s="36"/>
      <c r="J179" s="37"/>
      <c r="K179" s="38"/>
      <c r="L179" s="29"/>
      <c r="M179" s="29"/>
      <c r="N179" s="29"/>
      <c r="O179" s="39"/>
      <c r="P179" s="40">
        <f t="shared" si="8"/>
        <v>0</v>
      </c>
      <c r="Q179" s="40">
        <f t="shared" si="10"/>
        <v>0</v>
      </c>
      <c r="R179" s="40">
        <f t="shared" si="11"/>
        <v>0</v>
      </c>
      <c r="S179" s="41"/>
      <c r="T179" s="41"/>
      <c r="U179" s="41"/>
      <c r="V179" s="41"/>
      <c r="W179" s="41"/>
      <c r="X179" s="41"/>
      <c r="Y179" s="33">
        <f t="shared" si="9"/>
        <v>0</v>
      </c>
    </row>
    <row r="180" spans="4:25" x14ac:dyDescent="0.25">
      <c r="D180" s="69"/>
      <c r="E180" s="34"/>
      <c r="F180" s="34"/>
      <c r="H180" s="35"/>
      <c r="I180" s="36"/>
      <c r="J180" s="37"/>
      <c r="K180" s="38"/>
      <c r="L180" s="29"/>
      <c r="M180" s="29"/>
      <c r="N180" s="29"/>
      <c r="O180" s="39"/>
      <c r="P180" s="40">
        <f t="shared" si="8"/>
        <v>0</v>
      </c>
      <c r="Q180" s="40">
        <f t="shared" si="10"/>
        <v>0</v>
      </c>
      <c r="R180" s="40">
        <f t="shared" si="11"/>
        <v>0</v>
      </c>
      <c r="S180" s="41"/>
      <c r="T180" s="41"/>
      <c r="U180" s="41"/>
      <c r="V180" s="41"/>
      <c r="W180" s="41"/>
      <c r="X180" s="41"/>
      <c r="Y180" s="33">
        <f t="shared" si="9"/>
        <v>0</v>
      </c>
    </row>
    <row r="181" spans="4:25" x14ac:dyDescent="0.25">
      <c r="D181" s="69"/>
      <c r="E181" s="34"/>
      <c r="F181" s="34"/>
      <c r="H181" s="35"/>
      <c r="I181" s="36"/>
      <c r="J181" s="37"/>
      <c r="K181" s="38"/>
      <c r="L181" s="29"/>
      <c r="M181" s="29"/>
      <c r="N181" s="29"/>
      <c r="O181" s="39"/>
      <c r="P181" s="40">
        <f t="shared" si="8"/>
        <v>0</v>
      </c>
      <c r="Q181" s="40">
        <f t="shared" si="10"/>
        <v>0</v>
      </c>
      <c r="R181" s="40">
        <f t="shared" si="11"/>
        <v>0</v>
      </c>
      <c r="S181" s="41"/>
      <c r="T181" s="41"/>
      <c r="U181" s="41"/>
      <c r="V181" s="41"/>
      <c r="W181" s="41"/>
      <c r="X181" s="41"/>
      <c r="Y181" s="33">
        <f t="shared" si="9"/>
        <v>0</v>
      </c>
    </row>
    <row r="182" spans="4:25" x14ac:dyDescent="0.25">
      <c r="D182" s="69"/>
      <c r="E182" s="34"/>
      <c r="F182" s="34"/>
      <c r="H182" s="35"/>
      <c r="I182" s="36"/>
      <c r="J182" s="37"/>
      <c r="K182" s="38"/>
      <c r="L182" s="29"/>
      <c r="M182" s="29"/>
      <c r="N182" s="29"/>
      <c r="O182" s="39"/>
      <c r="P182" s="40">
        <f t="shared" si="8"/>
        <v>0</v>
      </c>
      <c r="Q182" s="40">
        <f t="shared" si="10"/>
        <v>0</v>
      </c>
      <c r="R182" s="40">
        <f t="shared" si="11"/>
        <v>0</v>
      </c>
      <c r="S182" s="41"/>
      <c r="T182" s="41"/>
      <c r="U182" s="41"/>
      <c r="V182" s="41"/>
      <c r="W182" s="41"/>
      <c r="X182" s="41"/>
      <c r="Y182" s="33">
        <f t="shared" si="9"/>
        <v>0</v>
      </c>
    </row>
    <row r="183" spans="4:25" x14ac:dyDescent="0.25">
      <c r="D183" s="69"/>
      <c r="E183" s="34"/>
      <c r="F183" s="34"/>
      <c r="H183" s="35"/>
      <c r="I183" s="36"/>
      <c r="J183" s="37"/>
      <c r="K183" s="38"/>
      <c r="L183" s="29"/>
      <c r="M183" s="29"/>
      <c r="N183" s="29"/>
      <c r="O183" s="39"/>
      <c r="P183" s="40">
        <f t="shared" si="8"/>
        <v>0</v>
      </c>
      <c r="Q183" s="40">
        <f t="shared" si="10"/>
        <v>0</v>
      </c>
      <c r="R183" s="40">
        <f t="shared" si="11"/>
        <v>0</v>
      </c>
      <c r="S183" s="41"/>
      <c r="T183" s="41"/>
      <c r="U183" s="41"/>
      <c r="V183" s="41"/>
      <c r="W183" s="41"/>
      <c r="X183" s="41"/>
      <c r="Y183" s="33">
        <f t="shared" si="9"/>
        <v>0</v>
      </c>
    </row>
    <row r="184" spans="4:25" x14ac:dyDescent="0.25">
      <c r="D184" s="69"/>
      <c r="E184" s="34"/>
      <c r="F184" s="34"/>
      <c r="H184" s="35"/>
      <c r="I184" s="36"/>
      <c r="J184" s="37"/>
      <c r="K184" s="38"/>
      <c r="L184" s="29"/>
      <c r="M184" s="29"/>
      <c r="N184" s="29"/>
      <c r="O184" s="39"/>
      <c r="P184" s="40">
        <f t="shared" si="8"/>
        <v>0</v>
      </c>
      <c r="Q184" s="40">
        <f t="shared" si="10"/>
        <v>0</v>
      </c>
      <c r="R184" s="40">
        <f t="shared" si="11"/>
        <v>0</v>
      </c>
      <c r="S184" s="41"/>
      <c r="T184" s="41"/>
      <c r="U184" s="41"/>
      <c r="V184" s="41"/>
      <c r="W184" s="41"/>
      <c r="X184" s="41"/>
      <c r="Y184" s="33">
        <f t="shared" si="9"/>
        <v>0</v>
      </c>
    </row>
    <row r="185" spans="4:25" x14ac:dyDescent="0.25">
      <c r="D185" s="69"/>
      <c r="E185" s="34"/>
      <c r="F185" s="34"/>
      <c r="H185" s="35"/>
      <c r="I185" s="36"/>
      <c r="J185" s="37"/>
      <c r="K185" s="38"/>
      <c r="L185" s="29"/>
      <c r="M185" s="29"/>
      <c r="N185" s="29"/>
      <c r="O185" s="39"/>
      <c r="P185" s="40">
        <f t="shared" si="8"/>
        <v>0</v>
      </c>
      <c r="Q185" s="40">
        <f t="shared" si="10"/>
        <v>0</v>
      </c>
      <c r="R185" s="40">
        <f t="shared" si="11"/>
        <v>0</v>
      </c>
      <c r="S185" s="41"/>
      <c r="T185" s="41"/>
      <c r="U185" s="41"/>
      <c r="V185" s="41"/>
      <c r="W185" s="41"/>
      <c r="X185" s="41"/>
      <c r="Y185" s="33">
        <f t="shared" si="9"/>
        <v>0</v>
      </c>
    </row>
    <row r="186" spans="4:25" x14ac:dyDescent="0.25">
      <c r="D186" s="69"/>
      <c r="E186" s="34"/>
      <c r="F186" s="34"/>
      <c r="H186" s="35"/>
      <c r="I186" s="36"/>
      <c r="J186" s="37"/>
      <c r="K186" s="38"/>
      <c r="L186" s="29"/>
      <c r="M186" s="29"/>
      <c r="N186" s="29"/>
      <c r="O186" s="39"/>
      <c r="P186" s="40">
        <f t="shared" si="8"/>
        <v>0</v>
      </c>
      <c r="Q186" s="40">
        <f t="shared" si="10"/>
        <v>0</v>
      </c>
      <c r="R186" s="40">
        <f t="shared" si="11"/>
        <v>0</v>
      </c>
      <c r="S186" s="41"/>
      <c r="T186" s="41"/>
      <c r="U186" s="41"/>
      <c r="V186" s="41"/>
      <c r="W186" s="41"/>
      <c r="X186" s="41"/>
      <c r="Y186" s="33">
        <f t="shared" si="9"/>
        <v>0</v>
      </c>
    </row>
    <row r="187" spans="4:25" x14ac:dyDescent="0.25">
      <c r="D187" s="69"/>
      <c r="E187" s="34"/>
      <c r="F187" s="34"/>
      <c r="H187" s="35"/>
      <c r="I187" s="36"/>
      <c r="J187" s="37"/>
      <c r="K187" s="38"/>
      <c r="L187" s="29"/>
      <c r="M187" s="29"/>
      <c r="N187" s="29"/>
      <c r="O187" s="39"/>
      <c r="P187" s="40">
        <f t="shared" si="8"/>
        <v>0</v>
      </c>
      <c r="Q187" s="40">
        <f t="shared" si="10"/>
        <v>0</v>
      </c>
      <c r="R187" s="40">
        <f t="shared" si="11"/>
        <v>0</v>
      </c>
      <c r="S187" s="41"/>
      <c r="T187" s="41"/>
      <c r="U187" s="41"/>
      <c r="V187" s="41"/>
      <c r="W187" s="41"/>
      <c r="X187" s="41"/>
      <c r="Y187" s="33">
        <f t="shared" si="9"/>
        <v>0</v>
      </c>
    </row>
    <row r="188" spans="4:25" x14ac:dyDescent="0.25">
      <c r="D188" s="69"/>
      <c r="E188" s="34"/>
      <c r="F188" s="34"/>
      <c r="H188" s="35"/>
      <c r="I188" s="36"/>
      <c r="J188" s="37"/>
      <c r="K188" s="38"/>
      <c r="L188" s="29"/>
      <c r="M188" s="29"/>
      <c r="N188" s="29"/>
      <c r="O188" s="39"/>
      <c r="P188" s="40">
        <f t="shared" si="8"/>
        <v>0</v>
      </c>
      <c r="Q188" s="40">
        <f t="shared" si="10"/>
        <v>0</v>
      </c>
      <c r="R188" s="40">
        <f t="shared" si="11"/>
        <v>0</v>
      </c>
      <c r="S188" s="41"/>
      <c r="T188" s="41"/>
      <c r="U188" s="41"/>
      <c r="V188" s="41"/>
      <c r="W188" s="41"/>
      <c r="X188" s="41"/>
      <c r="Y188" s="33">
        <f t="shared" si="9"/>
        <v>0</v>
      </c>
    </row>
    <row r="189" spans="4:25" x14ac:dyDescent="0.25">
      <c r="D189" s="69"/>
      <c r="E189" s="34"/>
      <c r="F189" s="34"/>
      <c r="H189" s="35"/>
      <c r="I189" s="36"/>
      <c r="J189" s="37"/>
      <c r="K189" s="38"/>
      <c r="L189" s="29"/>
      <c r="M189" s="29"/>
      <c r="N189" s="29"/>
      <c r="O189" s="39"/>
      <c r="P189" s="40">
        <f t="shared" si="8"/>
        <v>0</v>
      </c>
      <c r="Q189" s="40">
        <f t="shared" si="10"/>
        <v>0</v>
      </c>
      <c r="R189" s="40">
        <f t="shared" si="11"/>
        <v>0</v>
      </c>
      <c r="S189" s="41"/>
      <c r="T189" s="41"/>
      <c r="U189" s="41"/>
      <c r="V189" s="41"/>
      <c r="W189" s="41"/>
      <c r="X189" s="41"/>
      <c r="Y189" s="33">
        <f t="shared" si="9"/>
        <v>0</v>
      </c>
    </row>
    <row r="190" spans="4:25" x14ac:dyDescent="0.25">
      <c r="D190" s="69"/>
      <c r="E190" s="34"/>
      <c r="F190" s="34"/>
      <c r="H190" s="35"/>
      <c r="I190" s="36"/>
      <c r="J190" s="37"/>
      <c r="K190" s="38"/>
      <c r="L190" s="29"/>
      <c r="M190" s="29"/>
      <c r="N190" s="29"/>
      <c r="O190" s="39"/>
      <c r="P190" s="40">
        <f t="shared" si="8"/>
        <v>0</v>
      </c>
      <c r="Q190" s="40">
        <f t="shared" si="10"/>
        <v>0</v>
      </c>
      <c r="R190" s="40">
        <f t="shared" si="11"/>
        <v>0</v>
      </c>
      <c r="S190" s="41"/>
      <c r="T190" s="41"/>
      <c r="U190" s="41"/>
      <c r="V190" s="41"/>
      <c r="W190" s="41"/>
      <c r="X190" s="41"/>
      <c r="Y190" s="33">
        <f t="shared" si="9"/>
        <v>0</v>
      </c>
    </row>
    <row r="191" spans="4:25" x14ac:dyDescent="0.25">
      <c r="D191" s="69"/>
      <c r="E191" s="34"/>
      <c r="F191" s="34"/>
      <c r="H191" s="35"/>
      <c r="I191" s="36"/>
      <c r="J191" s="37"/>
      <c r="K191" s="38"/>
      <c r="L191" s="29"/>
      <c r="M191" s="29"/>
      <c r="N191" s="29"/>
      <c r="O191" s="39"/>
      <c r="P191" s="40">
        <f t="shared" si="8"/>
        <v>0</v>
      </c>
      <c r="Q191" s="40">
        <f t="shared" si="10"/>
        <v>0</v>
      </c>
      <c r="R191" s="40">
        <f t="shared" si="11"/>
        <v>0</v>
      </c>
      <c r="S191" s="41"/>
      <c r="T191" s="41"/>
      <c r="U191" s="41"/>
      <c r="V191" s="41"/>
      <c r="W191" s="41"/>
      <c r="X191" s="41"/>
      <c r="Y191" s="33">
        <f t="shared" si="9"/>
        <v>0</v>
      </c>
    </row>
    <row r="192" spans="4:25" x14ac:dyDescent="0.25">
      <c r="D192" s="69"/>
      <c r="E192" s="34"/>
      <c r="F192" s="34"/>
      <c r="H192" s="35"/>
      <c r="I192" s="36"/>
      <c r="J192" s="37"/>
      <c r="K192" s="38"/>
      <c r="L192" s="29"/>
      <c r="M192" s="29"/>
      <c r="N192" s="29"/>
      <c r="O192" s="39"/>
      <c r="P192" s="40">
        <f t="shared" si="8"/>
        <v>0</v>
      </c>
      <c r="Q192" s="40">
        <f t="shared" si="10"/>
        <v>0</v>
      </c>
      <c r="R192" s="40">
        <f t="shared" si="11"/>
        <v>0</v>
      </c>
      <c r="S192" s="41"/>
      <c r="T192" s="41"/>
      <c r="U192" s="41"/>
      <c r="V192" s="41"/>
      <c r="W192" s="41"/>
      <c r="X192" s="41"/>
      <c r="Y192" s="33">
        <f t="shared" si="9"/>
        <v>0</v>
      </c>
    </row>
    <row r="193" spans="4:25" x14ac:dyDescent="0.25">
      <c r="D193" s="69"/>
      <c r="E193" s="34"/>
      <c r="F193" s="34"/>
      <c r="H193" s="35"/>
      <c r="I193" s="36"/>
      <c r="J193" s="37"/>
      <c r="K193" s="38"/>
      <c r="L193" s="29"/>
      <c r="M193" s="29"/>
      <c r="N193" s="29"/>
      <c r="O193" s="39"/>
      <c r="P193" s="40">
        <f t="shared" si="8"/>
        <v>0</v>
      </c>
      <c r="Q193" s="40">
        <f t="shared" si="10"/>
        <v>0</v>
      </c>
      <c r="R193" s="40">
        <f t="shared" si="11"/>
        <v>0</v>
      </c>
      <c r="S193" s="41"/>
      <c r="T193" s="41"/>
      <c r="U193" s="41"/>
      <c r="V193" s="41"/>
      <c r="W193" s="41"/>
      <c r="X193" s="41"/>
      <c r="Y193" s="33">
        <f t="shared" si="9"/>
        <v>0</v>
      </c>
    </row>
    <row r="194" spans="4:25" x14ac:dyDescent="0.25">
      <c r="D194" s="69"/>
      <c r="E194" s="34"/>
      <c r="F194" s="34"/>
      <c r="H194" s="35"/>
      <c r="I194" s="36"/>
      <c r="J194" s="37"/>
      <c r="K194" s="38"/>
      <c r="L194" s="29"/>
      <c r="M194" s="29"/>
      <c r="N194" s="29"/>
      <c r="O194" s="39"/>
      <c r="P194" s="40">
        <f t="shared" si="8"/>
        <v>0</v>
      </c>
      <c r="Q194" s="40">
        <f t="shared" si="10"/>
        <v>0</v>
      </c>
      <c r="R194" s="40">
        <f t="shared" si="11"/>
        <v>0</v>
      </c>
      <c r="S194" s="41"/>
      <c r="T194" s="41"/>
      <c r="U194" s="41"/>
      <c r="V194" s="41"/>
      <c r="W194" s="41"/>
      <c r="X194" s="41"/>
      <c r="Y194" s="33">
        <f t="shared" si="9"/>
        <v>0</v>
      </c>
    </row>
    <row r="195" spans="4:25" x14ac:dyDescent="0.25">
      <c r="D195" s="69"/>
      <c r="E195" s="34"/>
      <c r="F195" s="34"/>
      <c r="H195" s="35"/>
      <c r="I195" s="36"/>
      <c r="J195" s="37"/>
      <c r="K195" s="38"/>
      <c r="L195" s="29"/>
      <c r="M195" s="29"/>
      <c r="N195" s="29"/>
      <c r="O195" s="39"/>
      <c r="P195" s="40">
        <f t="shared" ref="P195:P258" si="12">$L195*$O195</f>
        <v>0</v>
      </c>
      <c r="Q195" s="40">
        <f t="shared" si="10"/>
        <v>0</v>
      </c>
      <c r="R195" s="40">
        <f t="shared" si="11"/>
        <v>0</v>
      </c>
      <c r="S195" s="41"/>
      <c r="T195" s="41"/>
      <c r="U195" s="41"/>
      <c r="V195" s="41"/>
      <c r="W195" s="41"/>
      <c r="X195" s="41"/>
      <c r="Y195" s="33">
        <f t="shared" ref="Y195:Y258" si="13">SUM(R195:X195)</f>
        <v>0</v>
      </c>
    </row>
    <row r="196" spans="4:25" x14ac:dyDescent="0.25">
      <c r="D196" s="69"/>
      <c r="E196" s="34"/>
      <c r="F196" s="34"/>
      <c r="H196" s="35"/>
      <c r="I196" s="36"/>
      <c r="J196" s="37"/>
      <c r="K196" s="38"/>
      <c r="L196" s="29"/>
      <c r="M196" s="29"/>
      <c r="N196" s="29"/>
      <c r="O196" s="39"/>
      <c r="P196" s="40">
        <f t="shared" si="12"/>
        <v>0</v>
      </c>
      <c r="Q196" s="40">
        <f t="shared" ref="Q196:Q259" si="14">IF(E196="NE",(M196*O196*1.5),(M196*O196))</f>
        <v>0</v>
      </c>
      <c r="R196" s="40">
        <f t="shared" ref="R196:R259" si="15">P196+Q196</f>
        <v>0</v>
      </c>
      <c r="S196" s="41"/>
      <c r="T196" s="41"/>
      <c r="U196" s="41"/>
      <c r="V196" s="41"/>
      <c r="W196" s="41"/>
      <c r="X196" s="41"/>
      <c r="Y196" s="33">
        <f t="shared" si="13"/>
        <v>0</v>
      </c>
    </row>
    <row r="197" spans="4:25" x14ac:dyDescent="0.25">
      <c r="D197" s="69"/>
      <c r="E197" s="34"/>
      <c r="F197" s="34"/>
      <c r="H197" s="35"/>
      <c r="I197" s="36"/>
      <c r="J197" s="37"/>
      <c r="K197" s="38"/>
      <c r="L197" s="29"/>
      <c r="M197" s="29"/>
      <c r="N197" s="29"/>
      <c r="O197" s="39"/>
      <c r="P197" s="40">
        <f t="shared" si="12"/>
        <v>0</v>
      </c>
      <c r="Q197" s="40">
        <f t="shared" si="14"/>
        <v>0</v>
      </c>
      <c r="R197" s="40">
        <f t="shared" si="15"/>
        <v>0</v>
      </c>
      <c r="S197" s="41"/>
      <c r="T197" s="41"/>
      <c r="U197" s="41"/>
      <c r="V197" s="41"/>
      <c r="W197" s="41"/>
      <c r="X197" s="41"/>
      <c r="Y197" s="33">
        <f t="shared" si="13"/>
        <v>0</v>
      </c>
    </row>
    <row r="198" spans="4:25" x14ac:dyDescent="0.25">
      <c r="D198" s="69"/>
      <c r="E198" s="34"/>
      <c r="F198" s="34"/>
      <c r="H198" s="35"/>
      <c r="I198" s="36"/>
      <c r="J198" s="37"/>
      <c r="K198" s="38"/>
      <c r="L198" s="29"/>
      <c r="M198" s="29"/>
      <c r="N198" s="29"/>
      <c r="O198" s="39"/>
      <c r="P198" s="40">
        <f t="shared" si="12"/>
        <v>0</v>
      </c>
      <c r="Q198" s="40">
        <f t="shared" si="14"/>
        <v>0</v>
      </c>
      <c r="R198" s="40">
        <f t="shared" si="15"/>
        <v>0</v>
      </c>
      <c r="S198" s="41"/>
      <c r="T198" s="41"/>
      <c r="U198" s="41"/>
      <c r="V198" s="41"/>
      <c r="W198" s="41"/>
      <c r="X198" s="41"/>
      <c r="Y198" s="33">
        <f t="shared" si="13"/>
        <v>0</v>
      </c>
    </row>
    <row r="199" spans="4:25" x14ac:dyDescent="0.25">
      <c r="D199" s="69"/>
      <c r="E199" s="34"/>
      <c r="F199" s="34"/>
      <c r="H199" s="35"/>
      <c r="I199" s="36"/>
      <c r="J199" s="37"/>
      <c r="K199" s="38"/>
      <c r="L199" s="29"/>
      <c r="M199" s="29"/>
      <c r="N199" s="29"/>
      <c r="O199" s="39"/>
      <c r="P199" s="40">
        <f t="shared" si="12"/>
        <v>0</v>
      </c>
      <c r="Q199" s="40">
        <f t="shared" si="14"/>
        <v>0</v>
      </c>
      <c r="R199" s="40">
        <f t="shared" si="15"/>
        <v>0</v>
      </c>
      <c r="S199" s="41"/>
      <c r="T199" s="41"/>
      <c r="U199" s="41"/>
      <c r="V199" s="41"/>
      <c r="W199" s="41"/>
      <c r="X199" s="41"/>
      <c r="Y199" s="33">
        <f t="shared" si="13"/>
        <v>0</v>
      </c>
    </row>
    <row r="200" spans="4:25" x14ac:dyDescent="0.25">
      <c r="D200" s="69"/>
      <c r="E200" s="34"/>
      <c r="F200" s="34"/>
      <c r="H200" s="35"/>
      <c r="I200" s="36"/>
      <c r="J200" s="37"/>
      <c r="K200" s="38"/>
      <c r="L200" s="29"/>
      <c r="M200" s="29"/>
      <c r="N200" s="29"/>
      <c r="O200" s="39"/>
      <c r="P200" s="40">
        <f t="shared" si="12"/>
        <v>0</v>
      </c>
      <c r="Q200" s="40">
        <f t="shared" si="14"/>
        <v>0</v>
      </c>
      <c r="R200" s="40">
        <f t="shared" si="15"/>
        <v>0</v>
      </c>
      <c r="S200" s="41"/>
      <c r="T200" s="41"/>
      <c r="U200" s="41"/>
      <c r="V200" s="41"/>
      <c r="W200" s="41"/>
      <c r="X200" s="41"/>
      <c r="Y200" s="33">
        <f t="shared" si="13"/>
        <v>0</v>
      </c>
    </row>
    <row r="201" spans="4:25" x14ac:dyDescent="0.25">
      <c r="D201" s="69"/>
      <c r="E201" s="34"/>
      <c r="F201" s="34"/>
      <c r="H201" s="35"/>
      <c r="I201" s="36"/>
      <c r="J201" s="37"/>
      <c r="K201" s="38"/>
      <c r="L201" s="29"/>
      <c r="M201" s="29"/>
      <c r="N201" s="29"/>
      <c r="O201" s="39"/>
      <c r="P201" s="40">
        <f t="shared" si="12"/>
        <v>0</v>
      </c>
      <c r="Q201" s="40">
        <f t="shared" si="14"/>
        <v>0</v>
      </c>
      <c r="R201" s="40">
        <f t="shared" si="15"/>
        <v>0</v>
      </c>
      <c r="S201" s="41"/>
      <c r="T201" s="41"/>
      <c r="U201" s="41"/>
      <c r="V201" s="41"/>
      <c r="W201" s="41"/>
      <c r="X201" s="41"/>
      <c r="Y201" s="33">
        <f t="shared" si="13"/>
        <v>0</v>
      </c>
    </row>
    <row r="202" spans="4:25" x14ac:dyDescent="0.25">
      <c r="D202" s="69"/>
      <c r="E202" s="34"/>
      <c r="F202" s="34"/>
      <c r="G202" s="38"/>
      <c r="H202" s="35"/>
      <c r="I202" s="36"/>
      <c r="J202" s="37"/>
      <c r="K202" s="38"/>
      <c r="L202" s="29"/>
      <c r="M202" s="29"/>
      <c r="N202" s="29"/>
      <c r="O202" s="39"/>
      <c r="P202" s="40">
        <f t="shared" si="12"/>
        <v>0</v>
      </c>
      <c r="Q202" s="40">
        <f t="shared" si="14"/>
        <v>0</v>
      </c>
      <c r="R202" s="40">
        <f t="shared" si="15"/>
        <v>0</v>
      </c>
      <c r="S202" s="41"/>
      <c r="T202" s="41"/>
      <c r="U202" s="41"/>
      <c r="V202" s="41"/>
      <c r="W202" s="41"/>
      <c r="X202" s="41"/>
      <c r="Y202" s="33">
        <f t="shared" si="13"/>
        <v>0</v>
      </c>
    </row>
    <row r="203" spans="4:25" x14ac:dyDescent="0.25">
      <c r="D203" s="69"/>
      <c r="E203" s="34"/>
      <c r="F203" s="34"/>
      <c r="G203" s="38"/>
      <c r="H203" s="35"/>
      <c r="I203" s="36"/>
      <c r="J203" s="37"/>
      <c r="K203" s="38"/>
      <c r="L203" s="29"/>
      <c r="M203" s="29"/>
      <c r="N203" s="29"/>
      <c r="O203" s="39"/>
      <c r="P203" s="40">
        <f t="shared" si="12"/>
        <v>0</v>
      </c>
      <c r="Q203" s="40">
        <f t="shared" si="14"/>
        <v>0</v>
      </c>
      <c r="R203" s="40">
        <f t="shared" si="15"/>
        <v>0</v>
      </c>
      <c r="S203" s="41"/>
      <c r="T203" s="41"/>
      <c r="U203" s="41"/>
      <c r="V203" s="41"/>
      <c r="W203" s="41"/>
      <c r="X203" s="41"/>
      <c r="Y203" s="33">
        <f t="shared" si="13"/>
        <v>0</v>
      </c>
    </row>
    <row r="204" spans="4:25" x14ac:dyDescent="0.25">
      <c r="D204" s="69"/>
      <c r="E204" s="34"/>
      <c r="F204" s="34"/>
      <c r="H204" s="35"/>
      <c r="I204" s="36"/>
      <c r="J204" s="37"/>
      <c r="K204" s="38"/>
      <c r="L204" s="29"/>
      <c r="M204" s="29"/>
      <c r="N204" s="29"/>
      <c r="O204" s="39"/>
      <c r="P204" s="40">
        <f t="shared" si="12"/>
        <v>0</v>
      </c>
      <c r="Q204" s="40">
        <f t="shared" si="14"/>
        <v>0</v>
      </c>
      <c r="R204" s="40">
        <f t="shared" si="15"/>
        <v>0</v>
      </c>
      <c r="S204" s="41"/>
      <c r="T204" s="41"/>
      <c r="U204" s="41"/>
      <c r="V204" s="41"/>
      <c r="W204" s="41"/>
      <c r="X204" s="41"/>
      <c r="Y204" s="33">
        <f t="shared" si="13"/>
        <v>0</v>
      </c>
    </row>
    <row r="205" spans="4:25" x14ac:dyDescent="0.25">
      <c r="D205" s="69"/>
      <c r="E205" s="34"/>
      <c r="F205" s="34"/>
      <c r="H205" s="35"/>
      <c r="I205" s="36"/>
      <c r="J205" s="37"/>
      <c r="K205" s="38"/>
      <c r="L205" s="29"/>
      <c r="M205" s="29"/>
      <c r="N205" s="29"/>
      <c r="O205" s="39"/>
      <c r="P205" s="40">
        <f t="shared" si="12"/>
        <v>0</v>
      </c>
      <c r="Q205" s="40">
        <f t="shared" si="14"/>
        <v>0</v>
      </c>
      <c r="R205" s="40">
        <f t="shared" si="15"/>
        <v>0</v>
      </c>
      <c r="S205" s="41"/>
      <c r="T205" s="41"/>
      <c r="U205" s="41"/>
      <c r="V205" s="41"/>
      <c r="W205" s="41"/>
      <c r="X205" s="41"/>
      <c r="Y205" s="33">
        <f t="shared" si="13"/>
        <v>0</v>
      </c>
    </row>
    <row r="206" spans="4:25" x14ac:dyDescent="0.25">
      <c r="D206" s="69"/>
      <c r="E206" s="34"/>
      <c r="F206" s="34"/>
      <c r="H206" s="35"/>
      <c r="I206" s="36"/>
      <c r="J206" s="37"/>
      <c r="K206" s="38"/>
      <c r="L206" s="29"/>
      <c r="M206" s="29"/>
      <c r="N206" s="29"/>
      <c r="O206" s="39"/>
      <c r="P206" s="40">
        <f t="shared" si="12"/>
        <v>0</v>
      </c>
      <c r="Q206" s="40">
        <f t="shared" si="14"/>
        <v>0</v>
      </c>
      <c r="R206" s="40">
        <f t="shared" si="15"/>
        <v>0</v>
      </c>
      <c r="S206" s="41"/>
      <c r="T206" s="41"/>
      <c r="U206" s="41"/>
      <c r="V206" s="41"/>
      <c r="W206" s="41"/>
      <c r="X206" s="41"/>
      <c r="Y206" s="33">
        <f t="shared" si="13"/>
        <v>0</v>
      </c>
    </row>
    <row r="207" spans="4:25" x14ac:dyDescent="0.25">
      <c r="D207" s="69"/>
      <c r="E207" s="34"/>
      <c r="F207" s="34"/>
      <c r="H207" s="35"/>
      <c r="I207" s="36"/>
      <c r="J207" s="37"/>
      <c r="K207" s="38"/>
      <c r="L207" s="29"/>
      <c r="M207" s="29"/>
      <c r="N207" s="29"/>
      <c r="O207" s="39"/>
      <c r="P207" s="40">
        <f t="shared" si="12"/>
        <v>0</v>
      </c>
      <c r="Q207" s="40">
        <f t="shared" si="14"/>
        <v>0</v>
      </c>
      <c r="R207" s="40">
        <f t="shared" si="15"/>
        <v>0</v>
      </c>
      <c r="S207" s="41"/>
      <c r="T207" s="41"/>
      <c r="U207" s="41"/>
      <c r="V207" s="41"/>
      <c r="W207" s="41"/>
      <c r="X207" s="41"/>
      <c r="Y207" s="33">
        <f t="shared" si="13"/>
        <v>0</v>
      </c>
    </row>
    <row r="208" spans="4:25" x14ac:dyDescent="0.25">
      <c r="D208" s="69"/>
      <c r="E208" s="34"/>
      <c r="F208" s="34"/>
      <c r="H208" s="35"/>
      <c r="I208" s="36"/>
      <c r="J208" s="37"/>
      <c r="K208" s="38"/>
      <c r="L208" s="29"/>
      <c r="M208" s="29"/>
      <c r="N208" s="29"/>
      <c r="O208" s="39"/>
      <c r="P208" s="40">
        <f t="shared" si="12"/>
        <v>0</v>
      </c>
      <c r="Q208" s="40">
        <f t="shared" si="14"/>
        <v>0</v>
      </c>
      <c r="R208" s="40">
        <f t="shared" si="15"/>
        <v>0</v>
      </c>
      <c r="S208" s="41"/>
      <c r="T208" s="41"/>
      <c r="U208" s="41"/>
      <c r="V208" s="41"/>
      <c r="W208" s="41"/>
      <c r="X208" s="41"/>
      <c r="Y208" s="33">
        <f t="shared" si="13"/>
        <v>0</v>
      </c>
    </row>
    <row r="209" spans="4:25" x14ac:dyDescent="0.25">
      <c r="D209" s="69"/>
      <c r="E209" s="34"/>
      <c r="F209" s="34"/>
      <c r="H209" s="35"/>
      <c r="I209" s="36"/>
      <c r="J209" s="37"/>
      <c r="K209" s="38"/>
      <c r="L209" s="29"/>
      <c r="M209" s="29"/>
      <c r="N209" s="29"/>
      <c r="O209" s="39"/>
      <c r="P209" s="40">
        <f t="shared" si="12"/>
        <v>0</v>
      </c>
      <c r="Q209" s="40">
        <f t="shared" si="14"/>
        <v>0</v>
      </c>
      <c r="R209" s="40">
        <f t="shared" si="15"/>
        <v>0</v>
      </c>
      <c r="S209" s="41"/>
      <c r="T209" s="41"/>
      <c r="U209" s="41"/>
      <c r="V209" s="41"/>
      <c r="W209" s="41"/>
      <c r="X209" s="41"/>
      <c r="Y209" s="33">
        <f t="shared" si="13"/>
        <v>0</v>
      </c>
    </row>
    <row r="210" spans="4:25" x14ac:dyDescent="0.25">
      <c r="D210" s="69"/>
      <c r="E210" s="34"/>
      <c r="F210" s="34"/>
      <c r="H210" s="35"/>
      <c r="I210" s="36"/>
      <c r="J210" s="37"/>
      <c r="K210" s="38"/>
      <c r="L210" s="29"/>
      <c r="M210" s="29"/>
      <c r="N210" s="29"/>
      <c r="O210" s="39"/>
      <c r="P210" s="40">
        <f t="shared" si="12"/>
        <v>0</v>
      </c>
      <c r="Q210" s="40">
        <f t="shared" si="14"/>
        <v>0</v>
      </c>
      <c r="R210" s="40">
        <f t="shared" si="15"/>
        <v>0</v>
      </c>
      <c r="S210" s="41"/>
      <c r="T210" s="41"/>
      <c r="U210" s="41"/>
      <c r="V210" s="41"/>
      <c r="W210" s="41"/>
      <c r="X210" s="41"/>
      <c r="Y210" s="33">
        <f t="shared" si="13"/>
        <v>0</v>
      </c>
    </row>
    <row r="211" spans="4:25" x14ac:dyDescent="0.25">
      <c r="D211" s="69"/>
      <c r="E211" s="34"/>
      <c r="F211" s="34"/>
      <c r="H211" s="35"/>
      <c r="I211" s="36"/>
      <c r="J211" s="37"/>
      <c r="K211" s="38"/>
      <c r="L211" s="29"/>
      <c r="M211" s="29"/>
      <c r="N211" s="29"/>
      <c r="O211" s="39"/>
      <c r="P211" s="40">
        <f t="shared" si="12"/>
        <v>0</v>
      </c>
      <c r="Q211" s="40">
        <f t="shared" si="14"/>
        <v>0</v>
      </c>
      <c r="R211" s="40">
        <f t="shared" si="15"/>
        <v>0</v>
      </c>
      <c r="S211" s="41"/>
      <c r="T211" s="41"/>
      <c r="U211" s="41"/>
      <c r="V211" s="41"/>
      <c r="W211" s="41"/>
      <c r="X211" s="41"/>
      <c r="Y211" s="33">
        <f t="shared" si="13"/>
        <v>0</v>
      </c>
    </row>
    <row r="212" spans="4:25" x14ac:dyDescent="0.25">
      <c r="D212" s="69"/>
      <c r="E212" s="34"/>
      <c r="F212" s="34"/>
      <c r="H212" s="35"/>
      <c r="I212" s="36"/>
      <c r="J212" s="37"/>
      <c r="K212" s="38"/>
      <c r="L212" s="29"/>
      <c r="M212" s="29"/>
      <c r="N212" s="29"/>
      <c r="O212" s="39"/>
      <c r="P212" s="40">
        <f t="shared" si="12"/>
        <v>0</v>
      </c>
      <c r="Q212" s="40">
        <f t="shared" si="14"/>
        <v>0</v>
      </c>
      <c r="R212" s="40">
        <f t="shared" si="15"/>
        <v>0</v>
      </c>
      <c r="S212" s="41"/>
      <c r="T212" s="41"/>
      <c r="U212" s="41"/>
      <c r="V212" s="41"/>
      <c r="W212" s="41"/>
      <c r="X212" s="41"/>
      <c r="Y212" s="33">
        <f t="shared" si="13"/>
        <v>0</v>
      </c>
    </row>
    <row r="213" spans="4:25" x14ac:dyDescent="0.25">
      <c r="D213" s="69"/>
      <c r="E213" s="34"/>
      <c r="F213" s="34"/>
      <c r="H213" s="35"/>
      <c r="I213" s="36"/>
      <c r="J213" s="37"/>
      <c r="K213" s="38"/>
      <c r="L213" s="29"/>
      <c r="M213" s="29"/>
      <c r="N213" s="29"/>
      <c r="O213" s="39"/>
      <c r="P213" s="40">
        <f t="shared" si="12"/>
        <v>0</v>
      </c>
      <c r="Q213" s="40">
        <f t="shared" si="14"/>
        <v>0</v>
      </c>
      <c r="R213" s="40">
        <f t="shared" si="15"/>
        <v>0</v>
      </c>
      <c r="S213" s="41"/>
      <c r="T213" s="41"/>
      <c r="U213" s="41"/>
      <c r="V213" s="41"/>
      <c r="W213" s="41"/>
      <c r="X213" s="41"/>
      <c r="Y213" s="33">
        <f t="shared" si="13"/>
        <v>0</v>
      </c>
    </row>
    <row r="214" spans="4:25" x14ac:dyDescent="0.25">
      <c r="D214" s="69"/>
      <c r="E214" s="34"/>
      <c r="F214" s="34"/>
      <c r="H214" s="35"/>
      <c r="I214" s="36"/>
      <c r="J214" s="37"/>
      <c r="K214" s="38"/>
      <c r="L214" s="29"/>
      <c r="M214" s="29"/>
      <c r="N214" s="29"/>
      <c r="O214" s="39"/>
      <c r="P214" s="40">
        <f t="shared" si="12"/>
        <v>0</v>
      </c>
      <c r="Q214" s="40">
        <f t="shared" si="14"/>
        <v>0</v>
      </c>
      <c r="R214" s="40">
        <f t="shared" si="15"/>
        <v>0</v>
      </c>
      <c r="S214" s="41"/>
      <c r="T214" s="41"/>
      <c r="U214" s="41"/>
      <c r="V214" s="41"/>
      <c r="W214" s="41"/>
      <c r="X214" s="41"/>
      <c r="Y214" s="33">
        <f t="shared" si="13"/>
        <v>0</v>
      </c>
    </row>
    <row r="215" spans="4:25" x14ac:dyDescent="0.25">
      <c r="D215" s="69"/>
      <c r="E215" s="34"/>
      <c r="F215" s="34"/>
      <c r="H215" s="35"/>
      <c r="I215" s="36"/>
      <c r="J215" s="37"/>
      <c r="K215" s="38"/>
      <c r="L215" s="29"/>
      <c r="M215" s="29"/>
      <c r="N215" s="29"/>
      <c r="O215" s="39"/>
      <c r="P215" s="40">
        <f t="shared" si="12"/>
        <v>0</v>
      </c>
      <c r="Q215" s="40">
        <f t="shared" si="14"/>
        <v>0</v>
      </c>
      <c r="R215" s="40">
        <f t="shared" si="15"/>
        <v>0</v>
      </c>
      <c r="S215" s="41"/>
      <c r="T215" s="41"/>
      <c r="U215" s="41"/>
      <c r="V215" s="41"/>
      <c r="W215" s="41"/>
      <c r="X215" s="41"/>
      <c r="Y215" s="33">
        <f t="shared" si="13"/>
        <v>0</v>
      </c>
    </row>
    <row r="216" spans="4:25" x14ac:dyDescent="0.25">
      <c r="D216" s="69"/>
      <c r="E216" s="34"/>
      <c r="F216" s="34"/>
      <c r="H216" s="35"/>
      <c r="I216" s="36"/>
      <c r="J216" s="37"/>
      <c r="K216" s="38"/>
      <c r="L216" s="29"/>
      <c r="M216" s="29"/>
      <c r="N216" s="29"/>
      <c r="O216" s="39"/>
      <c r="P216" s="40">
        <f t="shared" si="12"/>
        <v>0</v>
      </c>
      <c r="Q216" s="40">
        <f t="shared" si="14"/>
        <v>0</v>
      </c>
      <c r="R216" s="40">
        <f t="shared" si="15"/>
        <v>0</v>
      </c>
      <c r="S216" s="41"/>
      <c r="T216" s="41"/>
      <c r="U216" s="41"/>
      <c r="V216" s="41"/>
      <c r="W216" s="41"/>
      <c r="X216" s="41"/>
      <c r="Y216" s="33">
        <f t="shared" si="13"/>
        <v>0</v>
      </c>
    </row>
    <row r="217" spans="4:25" x14ac:dyDescent="0.25">
      <c r="D217" s="69"/>
      <c r="E217" s="34"/>
      <c r="F217" s="34"/>
      <c r="H217" s="35"/>
      <c r="I217" s="36"/>
      <c r="J217" s="37"/>
      <c r="K217" s="38"/>
      <c r="L217" s="29"/>
      <c r="M217" s="29"/>
      <c r="N217" s="29"/>
      <c r="O217" s="39"/>
      <c r="P217" s="40">
        <f t="shared" si="12"/>
        <v>0</v>
      </c>
      <c r="Q217" s="40">
        <f t="shared" si="14"/>
        <v>0</v>
      </c>
      <c r="R217" s="40">
        <f t="shared" si="15"/>
        <v>0</v>
      </c>
      <c r="S217" s="41"/>
      <c r="T217" s="41"/>
      <c r="U217" s="41"/>
      <c r="V217" s="41"/>
      <c r="W217" s="41"/>
      <c r="X217" s="41"/>
      <c r="Y217" s="33">
        <f t="shared" si="13"/>
        <v>0</v>
      </c>
    </row>
    <row r="218" spans="4:25" x14ac:dyDescent="0.25">
      <c r="D218" s="69"/>
      <c r="E218" s="34"/>
      <c r="F218" s="34"/>
      <c r="H218" s="35"/>
      <c r="I218" s="36"/>
      <c r="J218" s="37"/>
      <c r="K218" s="38"/>
      <c r="L218" s="29"/>
      <c r="M218" s="29"/>
      <c r="N218" s="29"/>
      <c r="O218" s="39"/>
      <c r="P218" s="40">
        <f t="shared" si="12"/>
        <v>0</v>
      </c>
      <c r="Q218" s="40">
        <f t="shared" si="14"/>
        <v>0</v>
      </c>
      <c r="R218" s="40">
        <f t="shared" si="15"/>
        <v>0</v>
      </c>
      <c r="S218" s="41"/>
      <c r="T218" s="41"/>
      <c r="U218" s="41"/>
      <c r="V218" s="41"/>
      <c r="W218" s="41"/>
      <c r="X218" s="41"/>
      <c r="Y218" s="33">
        <f t="shared" si="13"/>
        <v>0</v>
      </c>
    </row>
    <row r="219" spans="4:25" x14ac:dyDescent="0.25">
      <c r="D219" s="69"/>
      <c r="E219" s="34"/>
      <c r="F219" s="34"/>
      <c r="H219" s="35"/>
      <c r="I219" s="36"/>
      <c r="J219" s="37"/>
      <c r="K219" s="38"/>
      <c r="L219" s="29"/>
      <c r="M219" s="29"/>
      <c r="N219" s="29"/>
      <c r="O219" s="39"/>
      <c r="P219" s="40">
        <f t="shared" si="12"/>
        <v>0</v>
      </c>
      <c r="Q219" s="40">
        <f t="shared" si="14"/>
        <v>0</v>
      </c>
      <c r="R219" s="40">
        <f t="shared" si="15"/>
        <v>0</v>
      </c>
      <c r="S219" s="41"/>
      <c r="T219" s="41"/>
      <c r="U219" s="41"/>
      <c r="V219" s="41"/>
      <c r="W219" s="41"/>
      <c r="X219" s="41"/>
      <c r="Y219" s="33">
        <f t="shared" si="13"/>
        <v>0</v>
      </c>
    </row>
    <row r="220" spans="4:25" x14ac:dyDescent="0.25">
      <c r="D220" s="69"/>
      <c r="E220" s="34"/>
      <c r="F220" s="34"/>
      <c r="H220" s="35"/>
      <c r="I220" s="36"/>
      <c r="J220" s="37"/>
      <c r="K220" s="38"/>
      <c r="L220" s="29"/>
      <c r="M220" s="29"/>
      <c r="N220" s="29"/>
      <c r="O220" s="39"/>
      <c r="P220" s="40">
        <f t="shared" si="12"/>
        <v>0</v>
      </c>
      <c r="Q220" s="40">
        <f t="shared" si="14"/>
        <v>0</v>
      </c>
      <c r="R220" s="40">
        <f t="shared" si="15"/>
        <v>0</v>
      </c>
      <c r="S220" s="41"/>
      <c r="T220" s="41"/>
      <c r="U220" s="41"/>
      <c r="V220" s="41"/>
      <c r="W220" s="41"/>
      <c r="X220" s="41"/>
      <c r="Y220" s="33">
        <f t="shared" si="13"/>
        <v>0</v>
      </c>
    </row>
    <row r="221" spans="4:25" x14ac:dyDescent="0.25">
      <c r="D221" s="69"/>
      <c r="E221" s="34"/>
      <c r="F221" s="34"/>
      <c r="H221" s="35"/>
      <c r="I221" s="36"/>
      <c r="J221" s="37"/>
      <c r="K221" s="38"/>
      <c r="L221" s="29"/>
      <c r="M221" s="29"/>
      <c r="N221" s="29"/>
      <c r="O221" s="39"/>
      <c r="P221" s="40">
        <f t="shared" si="12"/>
        <v>0</v>
      </c>
      <c r="Q221" s="40">
        <f t="shared" si="14"/>
        <v>0</v>
      </c>
      <c r="R221" s="40">
        <f t="shared" si="15"/>
        <v>0</v>
      </c>
      <c r="S221" s="41"/>
      <c r="T221" s="41"/>
      <c r="U221" s="41"/>
      <c r="V221" s="41"/>
      <c r="W221" s="41"/>
      <c r="X221" s="41"/>
      <c r="Y221" s="33">
        <f t="shared" si="13"/>
        <v>0</v>
      </c>
    </row>
    <row r="222" spans="4:25" x14ac:dyDescent="0.25">
      <c r="D222" s="69"/>
      <c r="E222" s="34"/>
      <c r="F222" s="34"/>
      <c r="H222" s="35"/>
      <c r="I222" s="36"/>
      <c r="J222" s="37"/>
      <c r="K222" s="38"/>
      <c r="L222" s="29"/>
      <c r="M222" s="29"/>
      <c r="N222" s="29"/>
      <c r="O222" s="39"/>
      <c r="P222" s="40">
        <f t="shared" si="12"/>
        <v>0</v>
      </c>
      <c r="Q222" s="40">
        <f t="shared" si="14"/>
        <v>0</v>
      </c>
      <c r="R222" s="40">
        <f t="shared" si="15"/>
        <v>0</v>
      </c>
      <c r="S222" s="41"/>
      <c r="T222" s="41"/>
      <c r="U222" s="41"/>
      <c r="V222" s="41"/>
      <c r="W222" s="41"/>
      <c r="X222" s="41"/>
      <c r="Y222" s="33">
        <f t="shared" si="13"/>
        <v>0</v>
      </c>
    </row>
    <row r="223" spans="4:25" x14ac:dyDescent="0.25">
      <c r="D223" s="69"/>
      <c r="E223" s="34"/>
      <c r="F223" s="34"/>
      <c r="H223" s="35"/>
      <c r="I223" s="36"/>
      <c r="J223" s="37"/>
      <c r="K223" s="38"/>
      <c r="L223" s="29"/>
      <c r="M223" s="29"/>
      <c r="N223" s="29"/>
      <c r="O223" s="39"/>
      <c r="P223" s="40">
        <f t="shared" si="12"/>
        <v>0</v>
      </c>
      <c r="Q223" s="40">
        <f t="shared" si="14"/>
        <v>0</v>
      </c>
      <c r="R223" s="40">
        <f t="shared" si="15"/>
        <v>0</v>
      </c>
      <c r="S223" s="41"/>
      <c r="T223" s="41"/>
      <c r="U223" s="41"/>
      <c r="V223" s="41"/>
      <c r="W223" s="41"/>
      <c r="X223" s="41"/>
      <c r="Y223" s="33">
        <f t="shared" si="13"/>
        <v>0</v>
      </c>
    </row>
    <row r="224" spans="4:25" x14ac:dyDescent="0.25">
      <c r="D224" s="69"/>
      <c r="E224" s="34"/>
      <c r="F224" s="34"/>
      <c r="H224" s="35"/>
      <c r="I224" s="36"/>
      <c r="J224" s="37"/>
      <c r="K224" s="38"/>
      <c r="L224" s="29"/>
      <c r="M224" s="29"/>
      <c r="N224" s="29"/>
      <c r="O224" s="39"/>
      <c r="P224" s="40">
        <f t="shared" si="12"/>
        <v>0</v>
      </c>
      <c r="Q224" s="40">
        <f t="shared" si="14"/>
        <v>0</v>
      </c>
      <c r="R224" s="40">
        <f t="shared" si="15"/>
        <v>0</v>
      </c>
      <c r="S224" s="41"/>
      <c r="T224" s="41"/>
      <c r="U224" s="41"/>
      <c r="V224" s="41"/>
      <c r="W224" s="41"/>
      <c r="X224" s="41"/>
      <c r="Y224" s="33">
        <f t="shared" si="13"/>
        <v>0</v>
      </c>
    </row>
    <row r="225" spans="4:25" x14ac:dyDescent="0.25">
      <c r="D225" s="69"/>
      <c r="E225" s="34"/>
      <c r="F225" s="34"/>
      <c r="H225" s="35"/>
      <c r="I225" s="36"/>
      <c r="J225" s="37"/>
      <c r="K225" s="38"/>
      <c r="L225" s="29"/>
      <c r="M225" s="29"/>
      <c r="N225" s="29"/>
      <c r="O225" s="39"/>
      <c r="P225" s="40">
        <f t="shared" si="12"/>
        <v>0</v>
      </c>
      <c r="Q225" s="40">
        <f t="shared" si="14"/>
        <v>0</v>
      </c>
      <c r="R225" s="40">
        <f t="shared" si="15"/>
        <v>0</v>
      </c>
      <c r="S225" s="41"/>
      <c r="T225" s="41"/>
      <c r="U225" s="41"/>
      <c r="V225" s="41"/>
      <c r="W225" s="41"/>
      <c r="X225" s="41"/>
      <c r="Y225" s="33">
        <f t="shared" si="13"/>
        <v>0</v>
      </c>
    </row>
    <row r="226" spans="4:25" x14ac:dyDescent="0.25">
      <c r="D226" s="69"/>
      <c r="E226" s="34"/>
      <c r="F226" s="34"/>
      <c r="H226" s="35"/>
      <c r="I226" s="36"/>
      <c r="J226" s="37"/>
      <c r="K226" s="38"/>
      <c r="L226" s="29"/>
      <c r="M226" s="29"/>
      <c r="N226" s="29"/>
      <c r="O226" s="39"/>
      <c r="P226" s="40">
        <f t="shared" si="12"/>
        <v>0</v>
      </c>
      <c r="Q226" s="40">
        <f t="shared" si="14"/>
        <v>0</v>
      </c>
      <c r="R226" s="40">
        <f t="shared" si="15"/>
        <v>0</v>
      </c>
      <c r="S226" s="41"/>
      <c r="T226" s="41"/>
      <c r="U226" s="41"/>
      <c r="V226" s="41"/>
      <c r="W226" s="41"/>
      <c r="X226" s="41"/>
      <c r="Y226" s="33">
        <f t="shared" si="13"/>
        <v>0</v>
      </c>
    </row>
    <row r="227" spans="4:25" x14ac:dyDescent="0.25">
      <c r="D227" s="69"/>
      <c r="E227" s="34"/>
      <c r="F227" s="34"/>
      <c r="H227" s="35"/>
      <c r="I227" s="36"/>
      <c r="J227" s="37"/>
      <c r="K227" s="38"/>
      <c r="L227" s="29"/>
      <c r="M227" s="29"/>
      <c r="N227" s="29"/>
      <c r="O227" s="39"/>
      <c r="P227" s="40">
        <f t="shared" si="12"/>
        <v>0</v>
      </c>
      <c r="Q227" s="40">
        <f t="shared" si="14"/>
        <v>0</v>
      </c>
      <c r="R227" s="40">
        <f t="shared" si="15"/>
        <v>0</v>
      </c>
      <c r="S227" s="41"/>
      <c r="T227" s="41"/>
      <c r="U227" s="41"/>
      <c r="V227" s="41"/>
      <c r="W227" s="41"/>
      <c r="X227" s="41"/>
      <c r="Y227" s="33">
        <f t="shared" si="13"/>
        <v>0</v>
      </c>
    </row>
    <row r="228" spans="4:25" x14ac:dyDescent="0.25">
      <c r="D228" s="69"/>
      <c r="E228" s="34"/>
      <c r="F228" s="34"/>
      <c r="H228" s="35"/>
      <c r="I228" s="36"/>
      <c r="J228" s="37"/>
      <c r="K228" s="38"/>
      <c r="L228" s="29"/>
      <c r="M228" s="29"/>
      <c r="N228" s="29"/>
      <c r="O228" s="39"/>
      <c r="P228" s="40">
        <f t="shared" si="12"/>
        <v>0</v>
      </c>
      <c r="Q228" s="40">
        <f t="shared" si="14"/>
        <v>0</v>
      </c>
      <c r="R228" s="40">
        <f t="shared" si="15"/>
        <v>0</v>
      </c>
      <c r="S228" s="41"/>
      <c r="T228" s="41"/>
      <c r="U228" s="41"/>
      <c r="V228" s="41"/>
      <c r="W228" s="41"/>
      <c r="X228" s="41"/>
      <c r="Y228" s="33">
        <f t="shared" si="13"/>
        <v>0</v>
      </c>
    </row>
    <row r="229" spans="4:25" x14ac:dyDescent="0.25">
      <c r="D229" s="69"/>
      <c r="E229" s="34"/>
      <c r="F229" s="34"/>
      <c r="H229" s="35"/>
      <c r="I229" s="36"/>
      <c r="J229" s="37"/>
      <c r="K229" s="38"/>
      <c r="L229" s="29"/>
      <c r="M229" s="29"/>
      <c r="N229" s="29"/>
      <c r="O229" s="39"/>
      <c r="P229" s="40">
        <f t="shared" si="12"/>
        <v>0</v>
      </c>
      <c r="Q229" s="40">
        <f t="shared" si="14"/>
        <v>0</v>
      </c>
      <c r="R229" s="40">
        <f t="shared" si="15"/>
        <v>0</v>
      </c>
      <c r="S229" s="41"/>
      <c r="T229" s="41"/>
      <c r="U229" s="41"/>
      <c r="V229" s="41"/>
      <c r="W229" s="41"/>
      <c r="X229" s="41"/>
      <c r="Y229" s="33">
        <f t="shared" si="13"/>
        <v>0</v>
      </c>
    </row>
    <row r="230" spans="4:25" x14ac:dyDescent="0.25">
      <c r="D230" s="69"/>
      <c r="E230" s="34"/>
      <c r="F230" s="34"/>
      <c r="H230" s="35"/>
      <c r="I230" s="36"/>
      <c r="J230" s="37"/>
      <c r="K230" s="38"/>
      <c r="L230" s="29"/>
      <c r="M230" s="29"/>
      <c r="N230" s="29"/>
      <c r="O230" s="39"/>
      <c r="P230" s="40">
        <f t="shared" si="12"/>
        <v>0</v>
      </c>
      <c r="Q230" s="40">
        <f t="shared" si="14"/>
        <v>0</v>
      </c>
      <c r="R230" s="40">
        <f t="shared" si="15"/>
        <v>0</v>
      </c>
      <c r="S230" s="41"/>
      <c r="T230" s="41"/>
      <c r="U230" s="41"/>
      <c r="V230" s="41"/>
      <c r="W230" s="41"/>
      <c r="X230" s="41"/>
      <c r="Y230" s="33">
        <f t="shared" si="13"/>
        <v>0</v>
      </c>
    </row>
    <row r="231" spans="4:25" x14ac:dyDescent="0.25">
      <c r="D231" s="69"/>
      <c r="E231" s="34"/>
      <c r="F231" s="34"/>
      <c r="H231" s="35"/>
      <c r="I231" s="36"/>
      <c r="J231" s="37"/>
      <c r="K231" s="38"/>
      <c r="L231" s="29"/>
      <c r="M231" s="29"/>
      <c r="N231" s="29"/>
      <c r="O231" s="39"/>
      <c r="P231" s="40">
        <f t="shared" si="12"/>
        <v>0</v>
      </c>
      <c r="Q231" s="40">
        <f t="shared" si="14"/>
        <v>0</v>
      </c>
      <c r="R231" s="40">
        <f t="shared" si="15"/>
        <v>0</v>
      </c>
      <c r="S231" s="41"/>
      <c r="T231" s="41"/>
      <c r="U231" s="41"/>
      <c r="V231" s="41"/>
      <c r="W231" s="41"/>
      <c r="X231" s="41"/>
      <c r="Y231" s="33">
        <f t="shared" si="13"/>
        <v>0</v>
      </c>
    </row>
    <row r="232" spans="4:25" x14ac:dyDescent="0.25">
      <c r="D232" s="69"/>
      <c r="E232" s="34"/>
      <c r="F232" s="34"/>
      <c r="H232" s="35"/>
      <c r="I232" s="36"/>
      <c r="J232" s="37"/>
      <c r="K232" s="38"/>
      <c r="L232" s="29"/>
      <c r="M232" s="29"/>
      <c r="N232" s="29"/>
      <c r="O232" s="39"/>
      <c r="P232" s="40">
        <f t="shared" si="12"/>
        <v>0</v>
      </c>
      <c r="Q232" s="40">
        <f t="shared" si="14"/>
        <v>0</v>
      </c>
      <c r="R232" s="40">
        <f t="shared" si="15"/>
        <v>0</v>
      </c>
      <c r="S232" s="41"/>
      <c r="T232" s="41"/>
      <c r="U232" s="41"/>
      <c r="V232" s="41"/>
      <c r="W232" s="41"/>
      <c r="X232" s="41"/>
      <c r="Y232" s="33">
        <f t="shared" si="13"/>
        <v>0</v>
      </c>
    </row>
    <row r="233" spans="4:25" x14ac:dyDescent="0.25">
      <c r="D233" s="69"/>
      <c r="E233" s="34"/>
      <c r="F233" s="34"/>
      <c r="H233" s="35"/>
      <c r="I233" s="36"/>
      <c r="J233" s="37"/>
      <c r="K233" s="38"/>
      <c r="L233" s="29"/>
      <c r="M233" s="29"/>
      <c r="N233" s="29"/>
      <c r="O233" s="39"/>
      <c r="P233" s="40">
        <f t="shared" si="12"/>
        <v>0</v>
      </c>
      <c r="Q233" s="40">
        <f t="shared" si="14"/>
        <v>0</v>
      </c>
      <c r="R233" s="40">
        <f t="shared" si="15"/>
        <v>0</v>
      </c>
      <c r="S233" s="41"/>
      <c r="T233" s="41"/>
      <c r="U233" s="41"/>
      <c r="V233" s="41"/>
      <c r="W233" s="41"/>
      <c r="X233" s="41"/>
      <c r="Y233" s="33">
        <f t="shared" si="13"/>
        <v>0</v>
      </c>
    </row>
    <row r="234" spans="4:25" x14ac:dyDescent="0.25">
      <c r="D234" s="69"/>
      <c r="E234" s="34"/>
      <c r="F234" s="34"/>
      <c r="H234" s="35"/>
      <c r="I234" s="36"/>
      <c r="J234" s="37"/>
      <c r="K234" s="38"/>
      <c r="L234" s="29"/>
      <c r="M234" s="29"/>
      <c r="N234" s="29"/>
      <c r="O234" s="39"/>
      <c r="P234" s="40">
        <f t="shared" si="12"/>
        <v>0</v>
      </c>
      <c r="Q234" s="40">
        <f t="shared" si="14"/>
        <v>0</v>
      </c>
      <c r="R234" s="40">
        <f t="shared" si="15"/>
        <v>0</v>
      </c>
      <c r="S234" s="41"/>
      <c r="T234" s="41"/>
      <c r="U234" s="41"/>
      <c r="V234" s="41"/>
      <c r="W234" s="41"/>
      <c r="X234" s="41"/>
      <c r="Y234" s="33">
        <f t="shared" si="13"/>
        <v>0</v>
      </c>
    </row>
    <row r="235" spans="4:25" x14ac:dyDescent="0.25">
      <c r="D235" s="69"/>
      <c r="E235" s="34"/>
      <c r="F235" s="34"/>
      <c r="H235" s="35"/>
      <c r="I235" s="36"/>
      <c r="J235" s="37"/>
      <c r="K235" s="38"/>
      <c r="L235" s="29"/>
      <c r="M235" s="29"/>
      <c r="N235" s="29"/>
      <c r="O235" s="39"/>
      <c r="P235" s="40">
        <f t="shared" si="12"/>
        <v>0</v>
      </c>
      <c r="Q235" s="40">
        <f t="shared" si="14"/>
        <v>0</v>
      </c>
      <c r="R235" s="40">
        <f t="shared" si="15"/>
        <v>0</v>
      </c>
      <c r="S235" s="41"/>
      <c r="T235" s="41"/>
      <c r="U235" s="41"/>
      <c r="V235" s="41"/>
      <c r="W235" s="41"/>
      <c r="X235" s="41"/>
      <c r="Y235" s="33">
        <f t="shared" si="13"/>
        <v>0</v>
      </c>
    </row>
    <row r="236" spans="4:25" x14ac:dyDescent="0.25">
      <c r="D236" s="69"/>
      <c r="E236" s="34"/>
      <c r="F236" s="34"/>
      <c r="H236" s="35"/>
      <c r="I236" s="36"/>
      <c r="J236" s="37"/>
      <c r="K236" s="38"/>
      <c r="L236" s="29"/>
      <c r="M236" s="29"/>
      <c r="N236" s="29"/>
      <c r="O236" s="39"/>
      <c r="P236" s="40">
        <f t="shared" si="12"/>
        <v>0</v>
      </c>
      <c r="Q236" s="40">
        <f t="shared" si="14"/>
        <v>0</v>
      </c>
      <c r="R236" s="40">
        <f t="shared" si="15"/>
        <v>0</v>
      </c>
      <c r="S236" s="41"/>
      <c r="T236" s="41"/>
      <c r="U236" s="41"/>
      <c r="V236" s="41"/>
      <c r="W236" s="41"/>
      <c r="X236" s="41"/>
      <c r="Y236" s="33">
        <f t="shared" si="13"/>
        <v>0</v>
      </c>
    </row>
    <row r="237" spans="4:25" x14ac:dyDescent="0.25">
      <c r="D237" s="69"/>
      <c r="E237" s="34"/>
      <c r="F237" s="34"/>
      <c r="H237" s="35"/>
      <c r="I237" s="36"/>
      <c r="J237" s="37"/>
      <c r="K237" s="38"/>
      <c r="L237" s="29"/>
      <c r="M237" s="29"/>
      <c r="N237" s="29"/>
      <c r="O237" s="39"/>
      <c r="P237" s="40">
        <f t="shared" si="12"/>
        <v>0</v>
      </c>
      <c r="Q237" s="40">
        <f t="shared" si="14"/>
        <v>0</v>
      </c>
      <c r="R237" s="40">
        <f t="shared" si="15"/>
        <v>0</v>
      </c>
      <c r="S237" s="41"/>
      <c r="T237" s="41"/>
      <c r="U237" s="41"/>
      <c r="V237" s="41"/>
      <c r="W237" s="41"/>
      <c r="X237" s="41"/>
      <c r="Y237" s="33">
        <f t="shared" si="13"/>
        <v>0</v>
      </c>
    </row>
    <row r="238" spans="4:25" x14ac:dyDescent="0.25">
      <c r="D238" s="69"/>
      <c r="E238" s="34"/>
      <c r="F238" s="34"/>
      <c r="H238" s="35"/>
      <c r="I238" s="36"/>
      <c r="J238" s="37"/>
      <c r="K238" s="38"/>
      <c r="L238" s="29"/>
      <c r="M238" s="29"/>
      <c r="N238" s="29"/>
      <c r="O238" s="39"/>
      <c r="P238" s="40">
        <f t="shared" si="12"/>
        <v>0</v>
      </c>
      <c r="Q238" s="40">
        <f t="shared" si="14"/>
        <v>0</v>
      </c>
      <c r="R238" s="40">
        <f t="shared" si="15"/>
        <v>0</v>
      </c>
      <c r="S238" s="41"/>
      <c r="T238" s="41"/>
      <c r="U238" s="41"/>
      <c r="V238" s="41"/>
      <c r="W238" s="41"/>
      <c r="X238" s="41"/>
      <c r="Y238" s="33">
        <f t="shared" si="13"/>
        <v>0</v>
      </c>
    </row>
    <row r="239" spans="4:25" x14ac:dyDescent="0.25">
      <c r="D239" s="69"/>
      <c r="E239" s="34"/>
      <c r="F239" s="34"/>
      <c r="H239" s="35"/>
      <c r="I239" s="36"/>
      <c r="J239" s="37"/>
      <c r="K239" s="38"/>
      <c r="L239" s="29"/>
      <c r="M239" s="29"/>
      <c r="N239" s="29"/>
      <c r="O239" s="39"/>
      <c r="P239" s="40">
        <f t="shared" si="12"/>
        <v>0</v>
      </c>
      <c r="Q239" s="40">
        <f t="shared" si="14"/>
        <v>0</v>
      </c>
      <c r="R239" s="40">
        <f t="shared" si="15"/>
        <v>0</v>
      </c>
      <c r="S239" s="41"/>
      <c r="T239" s="41"/>
      <c r="U239" s="41"/>
      <c r="V239" s="41"/>
      <c r="W239" s="41"/>
      <c r="X239" s="41"/>
      <c r="Y239" s="33">
        <f t="shared" si="13"/>
        <v>0</v>
      </c>
    </row>
    <row r="240" spans="4:25" x14ac:dyDescent="0.25">
      <c r="D240" s="69"/>
      <c r="E240" s="34"/>
      <c r="F240" s="34"/>
      <c r="H240" s="35"/>
      <c r="I240" s="36"/>
      <c r="J240" s="37"/>
      <c r="K240" s="38"/>
      <c r="L240" s="29"/>
      <c r="M240" s="29"/>
      <c r="N240" s="29"/>
      <c r="O240" s="39"/>
      <c r="P240" s="40">
        <f t="shared" si="12"/>
        <v>0</v>
      </c>
      <c r="Q240" s="40">
        <f t="shared" si="14"/>
        <v>0</v>
      </c>
      <c r="R240" s="40">
        <f t="shared" si="15"/>
        <v>0</v>
      </c>
      <c r="S240" s="41"/>
      <c r="T240" s="41"/>
      <c r="U240" s="41"/>
      <c r="V240" s="41"/>
      <c r="W240" s="41"/>
      <c r="X240" s="41"/>
      <c r="Y240" s="33">
        <f t="shared" si="13"/>
        <v>0</v>
      </c>
    </row>
    <row r="241" spans="4:25" x14ac:dyDescent="0.25">
      <c r="D241" s="69"/>
      <c r="E241" s="34"/>
      <c r="F241" s="34"/>
      <c r="H241" s="35"/>
      <c r="I241" s="36"/>
      <c r="J241" s="37"/>
      <c r="K241" s="38"/>
      <c r="L241" s="29"/>
      <c r="M241" s="29"/>
      <c r="N241" s="29"/>
      <c r="O241" s="39"/>
      <c r="P241" s="40">
        <f t="shared" si="12"/>
        <v>0</v>
      </c>
      <c r="Q241" s="40">
        <f t="shared" si="14"/>
        <v>0</v>
      </c>
      <c r="R241" s="40">
        <f t="shared" si="15"/>
        <v>0</v>
      </c>
      <c r="S241" s="41"/>
      <c r="T241" s="41"/>
      <c r="U241" s="41"/>
      <c r="V241" s="41"/>
      <c r="W241" s="41"/>
      <c r="X241" s="41"/>
      <c r="Y241" s="33">
        <f t="shared" si="13"/>
        <v>0</v>
      </c>
    </row>
    <row r="242" spans="4:25" x14ac:dyDescent="0.25">
      <c r="D242" s="69"/>
      <c r="E242" s="34"/>
      <c r="F242" s="34"/>
      <c r="H242" s="35"/>
      <c r="I242" s="36"/>
      <c r="J242" s="37"/>
      <c r="K242" s="38"/>
      <c r="L242" s="29"/>
      <c r="M242" s="29"/>
      <c r="N242" s="29"/>
      <c r="O242" s="39"/>
      <c r="P242" s="40">
        <f t="shared" si="12"/>
        <v>0</v>
      </c>
      <c r="Q242" s="40">
        <f t="shared" si="14"/>
        <v>0</v>
      </c>
      <c r="R242" s="40">
        <f t="shared" si="15"/>
        <v>0</v>
      </c>
      <c r="S242" s="41"/>
      <c r="T242" s="41"/>
      <c r="U242" s="41"/>
      <c r="V242" s="41"/>
      <c r="W242" s="41"/>
      <c r="X242" s="41"/>
      <c r="Y242" s="33">
        <f t="shared" si="13"/>
        <v>0</v>
      </c>
    </row>
    <row r="243" spans="4:25" x14ac:dyDescent="0.25">
      <c r="D243" s="69"/>
      <c r="E243" s="34"/>
      <c r="F243" s="34"/>
      <c r="H243" s="35"/>
      <c r="I243" s="36"/>
      <c r="J243" s="37"/>
      <c r="K243" s="38"/>
      <c r="L243" s="29"/>
      <c r="M243" s="29"/>
      <c r="N243" s="29"/>
      <c r="O243" s="39"/>
      <c r="P243" s="40">
        <f t="shared" si="12"/>
        <v>0</v>
      </c>
      <c r="Q243" s="40">
        <f t="shared" si="14"/>
        <v>0</v>
      </c>
      <c r="R243" s="40">
        <f t="shared" si="15"/>
        <v>0</v>
      </c>
      <c r="S243" s="41"/>
      <c r="T243" s="41"/>
      <c r="U243" s="41"/>
      <c r="V243" s="41"/>
      <c r="W243" s="41"/>
      <c r="X243" s="41"/>
      <c r="Y243" s="33">
        <f t="shared" si="13"/>
        <v>0</v>
      </c>
    </row>
    <row r="244" spans="4:25" x14ac:dyDescent="0.25">
      <c r="D244" s="69"/>
      <c r="E244" s="34"/>
      <c r="F244" s="34"/>
      <c r="H244" s="35"/>
      <c r="I244" s="36"/>
      <c r="J244" s="37"/>
      <c r="K244" s="38"/>
      <c r="L244" s="29"/>
      <c r="M244" s="29"/>
      <c r="N244" s="29"/>
      <c r="O244" s="39"/>
      <c r="P244" s="40">
        <f t="shared" si="12"/>
        <v>0</v>
      </c>
      <c r="Q244" s="40">
        <f t="shared" si="14"/>
        <v>0</v>
      </c>
      <c r="R244" s="40">
        <f t="shared" si="15"/>
        <v>0</v>
      </c>
      <c r="S244" s="41"/>
      <c r="T244" s="41"/>
      <c r="U244" s="41"/>
      <c r="V244" s="41"/>
      <c r="W244" s="41"/>
      <c r="X244" s="41"/>
      <c r="Y244" s="33">
        <f t="shared" si="13"/>
        <v>0</v>
      </c>
    </row>
    <row r="245" spans="4:25" x14ac:dyDescent="0.25">
      <c r="D245" s="69"/>
      <c r="E245" s="34"/>
      <c r="F245" s="34"/>
      <c r="H245" s="35"/>
      <c r="I245" s="36"/>
      <c r="J245" s="37"/>
      <c r="K245" s="38"/>
      <c r="L245" s="29"/>
      <c r="M245" s="29"/>
      <c r="N245" s="29"/>
      <c r="O245" s="39"/>
      <c r="P245" s="40">
        <f t="shared" si="12"/>
        <v>0</v>
      </c>
      <c r="Q245" s="40">
        <f t="shared" si="14"/>
        <v>0</v>
      </c>
      <c r="R245" s="40">
        <f t="shared" si="15"/>
        <v>0</v>
      </c>
      <c r="S245" s="41"/>
      <c r="T245" s="41"/>
      <c r="U245" s="41"/>
      <c r="V245" s="41"/>
      <c r="W245" s="41"/>
      <c r="X245" s="41"/>
      <c r="Y245" s="33">
        <f t="shared" si="13"/>
        <v>0</v>
      </c>
    </row>
    <row r="246" spans="4:25" x14ac:dyDescent="0.25">
      <c r="D246" s="69"/>
      <c r="E246" s="34"/>
      <c r="F246" s="34"/>
      <c r="H246" s="35"/>
      <c r="I246" s="36"/>
      <c r="J246" s="37"/>
      <c r="K246" s="38"/>
      <c r="L246" s="29"/>
      <c r="M246" s="29"/>
      <c r="N246" s="29"/>
      <c r="O246" s="39"/>
      <c r="P246" s="40">
        <f t="shared" si="12"/>
        <v>0</v>
      </c>
      <c r="Q246" s="40">
        <f t="shared" si="14"/>
        <v>0</v>
      </c>
      <c r="R246" s="40">
        <f t="shared" si="15"/>
        <v>0</v>
      </c>
      <c r="S246" s="41"/>
      <c r="T246" s="41"/>
      <c r="U246" s="41"/>
      <c r="V246" s="41"/>
      <c r="W246" s="41"/>
      <c r="X246" s="41"/>
      <c r="Y246" s="33">
        <f t="shared" si="13"/>
        <v>0</v>
      </c>
    </row>
    <row r="247" spans="4:25" x14ac:dyDescent="0.25">
      <c r="D247" s="69"/>
      <c r="E247" s="34"/>
      <c r="F247" s="34"/>
      <c r="H247" s="35"/>
      <c r="I247" s="36"/>
      <c r="J247" s="37"/>
      <c r="K247" s="38"/>
      <c r="L247" s="29"/>
      <c r="M247" s="29"/>
      <c r="N247" s="29"/>
      <c r="O247" s="39"/>
      <c r="P247" s="40">
        <f t="shared" si="12"/>
        <v>0</v>
      </c>
      <c r="Q247" s="40">
        <f t="shared" si="14"/>
        <v>0</v>
      </c>
      <c r="R247" s="40">
        <f t="shared" si="15"/>
        <v>0</v>
      </c>
      <c r="S247" s="41"/>
      <c r="T247" s="41"/>
      <c r="U247" s="41"/>
      <c r="V247" s="41"/>
      <c r="W247" s="41"/>
      <c r="X247" s="41"/>
      <c r="Y247" s="33">
        <f t="shared" si="13"/>
        <v>0</v>
      </c>
    </row>
    <row r="248" spans="4:25" x14ac:dyDescent="0.25">
      <c r="D248" s="69"/>
      <c r="E248" s="34"/>
      <c r="F248" s="34"/>
      <c r="H248" s="35"/>
      <c r="I248" s="36"/>
      <c r="J248" s="37"/>
      <c r="K248" s="38"/>
      <c r="L248" s="29"/>
      <c r="M248" s="29"/>
      <c r="N248" s="29"/>
      <c r="O248" s="39"/>
      <c r="P248" s="40">
        <f t="shared" si="12"/>
        <v>0</v>
      </c>
      <c r="Q248" s="40">
        <f t="shared" si="14"/>
        <v>0</v>
      </c>
      <c r="R248" s="40">
        <f t="shared" si="15"/>
        <v>0</v>
      </c>
      <c r="S248" s="41"/>
      <c r="T248" s="41"/>
      <c r="U248" s="41"/>
      <c r="V248" s="41"/>
      <c r="W248" s="41"/>
      <c r="X248" s="41"/>
      <c r="Y248" s="33">
        <f t="shared" si="13"/>
        <v>0</v>
      </c>
    </row>
    <row r="249" spans="4:25" x14ac:dyDescent="0.25">
      <c r="D249" s="69"/>
      <c r="E249" s="34"/>
      <c r="F249" s="34"/>
      <c r="H249" s="35"/>
      <c r="I249" s="36"/>
      <c r="J249" s="37"/>
      <c r="K249" s="38"/>
      <c r="L249" s="29"/>
      <c r="M249" s="29"/>
      <c r="N249" s="29"/>
      <c r="O249" s="39"/>
      <c r="P249" s="40">
        <f t="shared" si="12"/>
        <v>0</v>
      </c>
      <c r="Q249" s="40">
        <f t="shared" si="14"/>
        <v>0</v>
      </c>
      <c r="R249" s="40">
        <f t="shared" si="15"/>
        <v>0</v>
      </c>
      <c r="S249" s="41"/>
      <c r="T249" s="41"/>
      <c r="U249" s="41"/>
      <c r="V249" s="41"/>
      <c r="W249" s="41"/>
      <c r="X249" s="41"/>
      <c r="Y249" s="33">
        <f t="shared" si="13"/>
        <v>0</v>
      </c>
    </row>
    <row r="250" spans="4:25" x14ac:dyDescent="0.25">
      <c r="D250" s="69"/>
      <c r="E250" s="34"/>
      <c r="F250" s="34"/>
      <c r="H250" s="35"/>
      <c r="I250" s="36"/>
      <c r="J250" s="37"/>
      <c r="K250" s="38"/>
      <c r="L250" s="29"/>
      <c r="M250" s="29"/>
      <c r="N250" s="29"/>
      <c r="O250" s="39"/>
      <c r="P250" s="40">
        <f t="shared" si="12"/>
        <v>0</v>
      </c>
      <c r="Q250" s="40">
        <f t="shared" si="14"/>
        <v>0</v>
      </c>
      <c r="R250" s="40">
        <f t="shared" si="15"/>
        <v>0</v>
      </c>
      <c r="S250" s="41"/>
      <c r="T250" s="41"/>
      <c r="U250" s="41"/>
      <c r="V250" s="41"/>
      <c r="W250" s="41"/>
      <c r="X250" s="41"/>
      <c r="Y250" s="33">
        <f t="shared" si="13"/>
        <v>0</v>
      </c>
    </row>
    <row r="251" spans="4:25" x14ac:dyDescent="0.25">
      <c r="D251" s="69"/>
      <c r="E251" s="34"/>
      <c r="F251" s="34"/>
      <c r="H251" s="35"/>
      <c r="I251" s="36"/>
      <c r="J251" s="37"/>
      <c r="K251" s="38"/>
      <c r="L251" s="29"/>
      <c r="M251" s="29"/>
      <c r="N251" s="29"/>
      <c r="O251" s="39"/>
      <c r="P251" s="40">
        <f t="shared" si="12"/>
        <v>0</v>
      </c>
      <c r="Q251" s="40">
        <f t="shared" si="14"/>
        <v>0</v>
      </c>
      <c r="R251" s="40">
        <f t="shared" si="15"/>
        <v>0</v>
      </c>
      <c r="S251" s="41"/>
      <c r="T251" s="41"/>
      <c r="U251" s="41"/>
      <c r="V251" s="41"/>
      <c r="W251" s="41"/>
      <c r="X251" s="41"/>
      <c r="Y251" s="33">
        <f t="shared" si="13"/>
        <v>0</v>
      </c>
    </row>
    <row r="252" spans="4:25" x14ac:dyDescent="0.25">
      <c r="D252" s="69"/>
      <c r="E252" s="34"/>
      <c r="F252" s="34"/>
      <c r="H252" s="35"/>
      <c r="I252" s="36"/>
      <c r="J252" s="37"/>
      <c r="K252" s="38"/>
      <c r="L252" s="29"/>
      <c r="M252" s="29"/>
      <c r="N252" s="29"/>
      <c r="O252" s="39"/>
      <c r="P252" s="40">
        <f t="shared" si="12"/>
        <v>0</v>
      </c>
      <c r="Q252" s="40">
        <f t="shared" si="14"/>
        <v>0</v>
      </c>
      <c r="R252" s="40">
        <f t="shared" si="15"/>
        <v>0</v>
      </c>
      <c r="S252" s="41"/>
      <c r="T252" s="41"/>
      <c r="U252" s="41"/>
      <c r="V252" s="41"/>
      <c r="W252" s="41"/>
      <c r="X252" s="41"/>
      <c r="Y252" s="33">
        <f t="shared" si="13"/>
        <v>0</v>
      </c>
    </row>
    <row r="253" spans="4:25" x14ac:dyDescent="0.25">
      <c r="D253" s="69"/>
      <c r="E253" s="34"/>
      <c r="F253" s="34"/>
      <c r="H253" s="35"/>
      <c r="I253" s="36"/>
      <c r="J253" s="37"/>
      <c r="K253" s="38"/>
      <c r="L253" s="29"/>
      <c r="M253" s="29"/>
      <c r="N253" s="29"/>
      <c r="O253" s="39"/>
      <c r="P253" s="40">
        <f t="shared" si="12"/>
        <v>0</v>
      </c>
      <c r="Q253" s="40">
        <f t="shared" si="14"/>
        <v>0</v>
      </c>
      <c r="R253" s="40">
        <f t="shared" si="15"/>
        <v>0</v>
      </c>
      <c r="S253" s="41"/>
      <c r="T253" s="41"/>
      <c r="U253" s="41"/>
      <c r="V253" s="41"/>
      <c r="W253" s="41"/>
      <c r="X253" s="41"/>
      <c r="Y253" s="33">
        <f t="shared" si="13"/>
        <v>0</v>
      </c>
    </row>
    <row r="254" spans="4:25" x14ac:dyDescent="0.25">
      <c r="D254" s="69"/>
      <c r="E254" s="34"/>
      <c r="F254" s="34"/>
      <c r="H254" s="35"/>
      <c r="I254" s="36"/>
      <c r="J254" s="37"/>
      <c r="K254" s="38"/>
      <c r="L254" s="29"/>
      <c r="M254" s="29"/>
      <c r="N254" s="29"/>
      <c r="O254" s="39"/>
      <c r="P254" s="40">
        <f t="shared" si="12"/>
        <v>0</v>
      </c>
      <c r="Q254" s="40">
        <f t="shared" si="14"/>
        <v>0</v>
      </c>
      <c r="R254" s="40">
        <f t="shared" si="15"/>
        <v>0</v>
      </c>
      <c r="S254" s="41"/>
      <c r="T254" s="41"/>
      <c r="U254" s="41"/>
      <c r="V254" s="41"/>
      <c r="W254" s="41"/>
      <c r="X254" s="41"/>
      <c r="Y254" s="33">
        <f t="shared" si="13"/>
        <v>0</v>
      </c>
    </row>
    <row r="255" spans="4:25" x14ac:dyDescent="0.25">
      <c r="D255" s="69"/>
      <c r="E255" s="34"/>
      <c r="F255" s="34"/>
      <c r="H255" s="35"/>
      <c r="I255" s="36"/>
      <c r="J255" s="37"/>
      <c r="K255" s="38"/>
      <c r="L255" s="29"/>
      <c r="M255" s="29"/>
      <c r="N255" s="29"/>
      <c r="O255" s="39"/>
      <c r="P255" s="40">
        <f t="shared" si="12"/>
        <v>0</v>
      </c>
      <c r="Q255" s="40">
        <f t="shared" si="14"/>
        <v>0</v>
      </c>
      <c r="R255" s="40">
        <f t="shared" si="15"/>
        <v>0</v>
      </c>
      <c r="S255" s="41"/>
      <c r="T255" s="41"/>
      <c r="U255" s="41"/>
      <c r="V255" s="41"/>
      <c r="W255" s="41"/>
      <c r="X255" s="41"/>
      <c r="Y255" s="33">
        <f t="shared" si="13"/>
        <v>0</v>
      </c>
    </row>
    <row r="256" spans="4:25" x14ac:dyDescent="0.25">
      <c r="D256" s="69"/>
      <c r="E256" s="34"/>
      <c r="F256" s="34"/>
      <c r="H256" s="35"/>
      <c r="I256" s="36"/>
      <c r="J256" s="37"/>
      <c r="K256" s="38"/>
      <c r="L256" s="29"/>
      <c r="M256" s="29"/>
      <c r="N256" s="29"/>
      <c r="O256" s="39"/>
      <c r="P256" s="40">
        <f t="shared" si="12"/>
        <v>0</v>
      </c>
      <c r="Q256" s="40">
        <f t="shared" si="14"/>
        <v>0</v>
      </c>
      <c r="R256" s="40">
        <f t="shared" si="15"/>
        <v>0</v>
      </c>
      <c r="S256" s="41"/>
      <c r="T256" s="41"/>
      <c r="U256" s="41"/>
      <c r="V256" s="41"/>
      <c r="W256" s="41"/>
      <c r="X256" s="41"/>
      <c r="Y256" s="33">
        <f t="shared" si="13"/>
        <v>0</v>
      </c>
    </row>
    <row r="257" spans="4:25" x14ac:dyDescent="0.25">
      <c r="D257" s="69"/>
      <c r="E257" s="34"/>
      <c r="F257" s="34"/>
      <c r="H257" s="35"/>
      <c r="I257" s="36"/>
      <c r="J257" s="37"/>
      <c r="K257" s="38"/>
      <c r="L257" s="29"/>
      <c r="M257" s="29"/>
      <c r="N257" s="29"/>
      <c r="O257" s="39"/>
      <c r="P257" s="40">
        <f t="shared" si="12"/>
        <v>0</v>
      </c>
      <c r="Q257" s="40">
        <f t="shared" si="14"/>
        <v>0</v>
      </c>
      <c r="R257" s="40">
        <f t="shared" si="15"/>
        <v>0</v>
      </c>
      <c r="S257" s="41"/>
      <c r="T257" s="41"/>
      <c r="U257" s="41"/>
      <c r="V257" s="41"/>
      <c r="W257" s="41"/>
      <c r="X257" s="41"/>
      <c r="Y257" s="33">
        <f t="shared" si="13"/>
        <v>0</v>
      </c>
    </row>
    <row r="258" spans="4:25" x14ac:dyDescent="0.25">
      <c r="D258" s="69"/>
      <c r="E258" s="34"/>
      <c r="F258" s="34"/>
      <c r="H258" s="35"/>
      <c r="I258" s="36"/>
      <c r="J258" s="37"/>
      <c r="K258" s="38"/>
      <c r="L258" s="29"/>
      <c r="M258" s="29"/>
      <c r="N258" s="29"/>
      <c r="O258" s="39"/>
      <c r="P258" s="40">
        <f t="shared" si="12"/>
        <v>0</v>
      </c>
      <c r="Q258" s="40">
        <f t="shared" si="14"/>
        <v>0</v>
      </c>
      <c r="R258" s="40">
        <f t="shared" si="15"/>
        <v>0</v>
      </c>
      <c r="S258" s="41"/>
      <c r="T258" s="41"/>
      <c r="U258" s="41"/>
      <c r="V258" s="41"/>
      <c r="W258" s="41"/>
      <c r="X258" s="41"/>
      <c r="Y258" s="33">
        <f t="shared" si="13"/>
        <v>0</v>
      </c>
    </row>
    <row r="259" spans="4:25" x14ac:dyDescent="0.25">
      <c r="D259" s="69"/>
      <c r="E259" s="34"/>
      <c r="F259" s="34"/>
      <c r="H259" s="35"/>
      <c r="I259" s="36"/>
      <c r="J259" s="37"/>
      <c r="K259" s="38"/>
      <c r="L259" s="29"/>
      <c r="M259" s="29"/>
      <c r="N259" s="29"/>
      <c r="O259" s="39"/>
      <c r="P259" s="40">
        <f t="shared" ref="P259:P302" si="16">$L259*$O259</f>
        <v>0</v>
      </c>
      <c r="Q259" s="40">
        <f t="shared" si="14"/>
        <v>0</v>
      </c>
      <c r="R259" s="40">
        <f t="shared" si="15"/>
        <v>0</v>
      </c>
      <c r="S259" s="41"/>
      <c r="T259" s="41"/>
      <c r="U259" s="41"/>
      <c r="V259" s="41"/>
      <c r="W259" s="41"/>
      <c r="X259" s="41"/>
      <c r="Y259" s="33">
        <f t="shared" ref="Y259:Y302" si="17">SUM(R259:X259)</f>
        <v>0</v>
      </c>
    </row>
    <row r="260" spans="4:25" x14ac:dyDescent="0.25">
      <c r="D260" s="69"/>
      <c r="E260" s="34"/>
      <c r="F260" s="34"/>
      <c r="H260" s="35"/>
      <c r="I260" s="36"/>
      <c r="J260" s="37"/>
      <c r="K260" s="38"/>
      <c r="L260" s="29"/>
      <c r="M260" s="29"/>
      <c r="N260" s="29"/>
      <c r="O260" s="39"/>
      <c r="P260" s="40">
        <f t="shared" si="16"/>
        <v>0</v>
      </c>
      <c r="Q260" s="40">
        <f t="shared" ref="Q260:Q302" si="18">IF(E260="NE",(M260*O260*1.5),(M260*O260))</f>
        <v>0</v>
      </c>
      <c r="R260" s="40">
        <f t="shared" ref="R260:R302" si="19">P260+Q260</f>
        <v>0</v>
      </c>
      <c r="S260" s="41"/>
      <c r="T260" s="41"/>
      <c r="U260" s="41"/>
      <c r="V260" s="41"/>
      <c r="W260" s="41"/>
      <c r="X260" s="41"/>
      <c r="Y260" s="33">
        <f t="shared" si="17"/>
        <v>0</v>
      </c>
    </row>
    <row r="261" spans="4:25" x14ac:dyDescent="0.25">
      <c r="D261" s="69"/>
      <c r="E261" s="34"/>
      <c r="F261" s="34"/>
      <c r="H261" s="35"/>
      <c r="I261" s="36"/>
      <c r="J261" s="37"/>
      <c r="K261" s="38"/>
      <c r="L261" s="29"/>
      <c r="M261" s="29"/>
      <c r="N261" s="29"/>
      <c r="O261" s="39"/>
      <c r="P261" s="40">
        <f t="shared" si="16"/>
        <v>0</v>
      </c>
      <c r="Q261" s="40">
        <f t="shared" si="18"/>
        <v>0</v>
      </c>
      <c r="R261" s="40">
        <f t="shared" si="19"/>
        <v>0</v>
      </c>
      <c r="S261" s="41"/>
      <c r="T261" s="41"/>
      <c r="U261" s="41"/>
      <c r="V261" s="41"/>
      <c r="W261" s="41"/>
      <c r="X261" s="41"/>
      <c r="Y261" s="33">
        <f t="shared" si="17"/>
        <v>0</v>
      </c>
    </row>
    <row r="262" spans="4:25" x14ac:dyDescent="0.25">
      <c r="D262" s="69"/>
      <c r="E262" s="34"/>
      <c r="F262" s="34"/>
      <c r="G262" s="38"/>
      <c r="H262" s="35"/>
      <c r="I262" s="36"/>
      <c r="J262" s="37"/>
      <c r="K262" s="38"/>
      <c r="L262" s="29"/>
      <c r="M262" s="29"/>
      <c r="N262" s="29"/>
      <c r="O262" s="39"/>
      <c r="P262" s="40">
        <f t="shared" si="16"/>
        <v>0</v>
      </c>
      <c r="Q262" s="40">
        <f t="shared" si="18"/>
        <v>0</v>
      </c>
      <c r="R262" s="40">
        <f t="shared" si="19"/>
        <v>0</v>
      </c>
      <c r="S262" s="41"/>
      <c r="T262" s="41"/>
      <c r="U262" s="41"/>
      <c r="V262" s="41"/>
      <c r="W262" s="41"/>
      <c r="X262" s="41"/>
      <c r="Y262" s="33">
        <f t="shared" si="17"/>
        <v>0</v>
      </c>
    </row>
    <row r="263" spans="4:25" x14ac:dyDescent="0.25">
      <c r="D263" s="69"/>
      <c r="E263" s="34"/>
      <c r="F263" s="34"/>
      <c r="G263" s="38"/>
      <c r="H263" s="35"/>
      <c r="I263" s="36"/>
      <c r="J263" s="37"/>
      <c r="K263" s="38"/>
      <c r="L263" s="29"/>
      <c r="M263" s="29"/>
      <c r="N263" s="29"/>
      <c r="O263" s="39"/>
      <c r="P263" s="40">
        <f t="shared" si="16"/>
        <v>0</v>
      </c>
      <c r="Q263" s="40">
        <f t="shared" si="18"/>
        <v>0</v>
      </c>
      <c r="R263" s="40">
        <f t="shared" si="19"/>
        <v>0</v>
      </c>
      <c r="S263" s="41"/>
      <c r="T263" s="41"/>
      <c r="U263" s="41"/>
      <c r="V263" s="41"/>
      <c r="W263" s="41"/>
      <c r="X263" s="41"/>
      <c r="Y263" s="33">
        <f t="shared" si="17"/>
        <v>0</v>
      </c>
    </row>
    <row r="264" spans="4:25" x14ac:dyDescent="0.25">
      <c r="D264" s="69"/>
      <c r="E264" s="34"/>
      <c r="F264" s="34"/>
      <c r="H264" s="35"/>
      <c r="I264" s="36"/>
      <c r="J264" s="37"/>
      <c r="K264" s="38"/>
      <c r="L264" s="29"/>
      <c r="M264" s="29"/>
      <c r="N264" s="29"/>
      <c r="O264" s="39"/>
      <c r="P264" s="40">
        <f t="shared" si="16"/>
        <v>0</v>
      </c>
      <c r="Q264" s="40">
        <f t="shared" si="18"/>
        <v>0</v>
      </c>
      <c r="R264" s="40">
        <f t="shared" si="19"/>
        <v>0</v>
      </c>
      <c r="S264" s="41"/>
      <c r="T264" s="41"/>
      <c r="U264" s="41"/>
      <c r="V264" s="41"/>
      <c r="W264" s="41"/>
      <c r="X264" s="41"/>
      <c r="Y264" s="33">
        <f t="shared" si="17"/>
        <v>0</v>
      </c>
    </row>
    <row r="265" spans="4:25" x14ac:dyDescent="0.25">
      <c r="D265" s="69"/>
      <c r="E265" s="34"/>
      <c r="F265" s="34"/>
      <c r="H265" s="35"/>
      <c r="I265" s="36"/>
      <c r="J265" s="37"/>
      <c r="K265" s="38"/>
      <c r="L265" s="29"/>
      <c r="M265" s="29"/>
      <c r="N265" s="29"/>
      <c r="O265" s="39"/>
      <c r="P265" s="40">
        <f t="shared" si="16"/>
        <v>0</v>
      </c>
      <c r="Q265" s="40">
        <f t="shared" si="18"/>
        <v>0</v>
      </c>
      <c r="R265" s="40">
        <f t="shared" si="19"/>
        <v>0</v>
      </c>
      <c r="S265" s="41"/>
      <c r="T265" s="41"/>
      <c r="U265" s="41"/>
      <c r="V265" s="41"/>
      <c r="W265" s="41"/>
      <c r="X265" s="41"/>
      <c r="Y265" s="33">
        <f t="shared" si="17"/>
        <v>0</v>
      </c>
    </row>
    <row r="266" spans="4:25" x14ac:dyDescent="0.25">
      <c r="D266" s="69"/>
      <c r="E266" s="34"/>
      <c r="F266" s="34"/>
      <c r="H266" s="35"/>
      <c r="I266" s="36"/>
      <c r="J266" s="37"/>
      <c r="K266" s="38"/>
      <c r="L266" s="29"/>
      <c r="M266" s="29"/>
      <c r="N266" s="29"/>
      <c r="O266" s="39"/>
      <c r="P266" s="40">
        <f t="shared" si="16"/>
        <v>0</v>
      </c>
      <c r="Q266" s="40">
        <f t="shared" si="18"/>
        <v>0</v>
      </c>
      <c r="R266" s="40">
        <f t="shared" si="19"/>
        <v>0</v>
      </c>
      <c r="S266" s="41"/>
      <c r="T266" s="41"/>
      <c r="U266" s="41"/>
      <c r="V266" s="41"/>
      <c r="W266" s="41"/>
      <c r="X266" s="41"/>
      <c r="Y266" s="33">
        <f t="shared" si="17"/>
        <v>0</v>
      </c>
    </row>
    <row r="267" spans="4:25" x14ac:dyDescent="0.25">
      <c r="D267" s="69"/>
      <c r="E267" s="34"/>
      <c r="F267" s="34"/>
      <c r="H267" s="35"/>
      <c r="I267" s="36"/>
      <c r="J267" s="37"/>
      <c r="K267" s="38"/>
      <c r="L267" s="29"/>
      <c r="M267" s="29"/>
      <c r="N267" s="29"/>
      <c r="O267" s="39"/>
      <c r="P267" s="40">
        <f t="shared" si="16"/>
        <v>0</v>
      </c>
      <c r="Q267" s="40">
        <f t="shared" si="18"/>
        <v>0</v>
      </c>
      <c r="R267" s="40">
        <f t="shared" si="19"/>
        <v>0</v>
      </c>
      <c r="S267" s="41"/>
      <c r="T267" s="41"/>
      <c r="U267" s="41"/>
      <c r="V267" s="41"/>
      <c r="W267" s="41"/>
      <c r="X267" s="41"/>
      <c r="Y267" s="33">
        <f t="shared" si="17"/>
        <v>0</v>
      </c>
    </row>
    <row r="268" spans="4:25" x14ac:dyDescent="0.25">
      <c r="D268" s="69"/>
      <c r="E268" s="34"/>
      <c r="F268" s="34"/>
      <c r="H268" s="35"/>
      <c r="I268" s="36"/>
      <c r="J268" s="37"/>
      <c r="K268" s="38"/>
      <c r="L268" s="29"/>
      <c r="M268" s="29"/>
      <c r="N268" s="29"/>
      <c r="O268" s="39"/>
      <c r="P268" s="40">
        <f t="shared" si="16"/>
        <v>0</v>
      </c>
      <c r="Q268" s="40">
        <f t="shared" si="18"/>
        <v>0</v>
      </c>
      <c r="R268" s="40">
        <f t="shared" si="19"/>
        <v>0</v>
      </c>
      <c r="S268" s="41"/>
      <c r="T268" s="41"/>
      <c r="U268" s="41"/>
      <c r="V268" s="41"/>
      <c r="W268" s="41"/>
      <c r="X268" s="41"/>
      <c r="Y268" s="33">
        <f t="shared" si="17"/>
        <v>0</v>
      </c>
    </row>
    <row r="269" spans="4:25" x14ac:dyDescent="0.25">
      <c r="D269" s="69"/>
      <c r="E269" s="34"/>
      <c r="F269" s="34"/>
      <c r="H269" s="35"/>
      <c r="I269" s="36"/>
      <c r="J269" s="37"/>
      <c r="K269" s="38"/>
      <c r="L269" s="29"/>
      <c r="M269" s="29"/>
      <c r="N269" s="29"/>
      <c r="O269" s="39"/>
      <c r="P269" s="40">
        <f t="shared" si="16"/>
        <v>0</v>
      </c>
      <c r="Q269" s="40">
        <f t="shared" si="18"/>
        <v>0</v>
      </c>
      <c r="R269" s="40">
        <f t="shared" si="19"/>
        <v>0</v>
      </c>
      <c r="S269" s="41"/>
      <c r="T269" s="41"/>
      <c r="U269" s="41"/>
      <c r="V269" s="41"/>
      <c r="W269" s="41"/>
      <c r="X269" s="41"/>
      <c r="Y269" s="33">
        <f t="shared" si="17"/>
        <v>0</v>
      </c>
    </row>
    <row r="270" spans="4:25" x14ac:dyDescent="0.25">
      <c r="D270" s="69"/>
      <c r="E270" s="34"/>
      <c r="F270" s="34"/>
      <c r="H270" s="35"/>
      <c r="I270" s="36"/>
      <c r="J270" s="37"/>
      <c r="K270" s="38"/>
      <c r="L270" s="29"/>
      <c r="M270" s="29"/>
      <c r="N270" s="29"/>
      <c r="O270" s="39"/>
      <c r="P270" s="40">
        <f t="shared" si="16"/>
        <v>0</v>
      </c>
      <c r="Q270" s="40">
        <f t="shared" si="18"/>
        <v>0</v>
      </c>
      <c r="R270" s="40">
        <f t="shared" si="19"/>
        <v>0</v>
      </c>
      <c r="S270" s="41"/>
      <c r="T270" s="41"/>
      <c r="U270" s="41"/>
      <c r="V270" s="41"/>
      <c r="W270" s="41"/>
      <c r="X270" s="41"/>
      <c r="Y270" s="33">
        <f t="shared" si="17"/>
        <v>0</v>
      </c>
    </row>
    <row r="271" spans="4:25" x14ac:dyDescent="0.25">
      <c r="D271" s="69"/>
      <c r="E271" s="34"/>
      <c r="F271" s="34"/>
      <c r="H271" s="35"/>
      <c r="I271" s="36"/>
      <c r="J271" s="37"/>
      <c r="K271" s="38"/>
      <c r="L271" s="29"/>
      <c r="M271" s="29"/>
      <c r="N271" s="29"/>
      <c r="O271" s="39"/>
      <c r="P271" s="40">
        <f t="shared" si="16"/>
        <v>0</v>
      </c>
      <c r="Q271" s="40">
        <f t="shared" si="18"/>
        <v>0</v>
      </c>
      <c r="R271" s="40">
        <f t="shared" si="19"/>
        <v>0</v>
      </c>
      <c r="S271" s="41"/>
      <c r="T271" s="41"/>
      <c r="U271" s="41"/>
      <c r="V271" s="41"/>
      <c r="W271" s="41"/>
      <c r="X271" s="41"/>
      <c r="Y271" s="33">
        <f t="shared" si="17"/>
        <v>0</v>
      </c>
    </row>
    <row r="272" spans="4:25" x14ac:dyDescent="0.25">
      <c r="D272" s="69"/>
      <c r="E272" s="34"/>
      <c r="F272" s="34"/>
      <c r="H272" s="35"/>
      <c r="I272" s="36"/>
      <c r="J272" s="37"/>
      <c r="K272" s="38"/>
      <c r="L272" s="29"/>
      <c r="M272" s="29"/>
      <c r="N272" s="29"/>
      <c r="O272" s="39"/>
      <c r="P272" s="40">
        <f t="shared" si="16"/>
        <v>0</v>
      </c>
      <c r="Q272" s="40">
        <f t="shared" si="18"/>
        <v>0</v>
      </c>
      <c r="R272" s="40">
        <f t="shared" si="19"/>
        <v>0</v>
      </c>
      <c r="S272" s="41"/>
      <c r="T272" s="41"/>
      <c r="U272" s="41"/>
      <c r="V272" s="41"/>
      <c r="W272" s="41"/>
      <c r="X272" s="41"/>
      <c r="Y272" s="33">
        <f t="shared" si="17"/>
        <v>0</v>
      </c>
    </row>
    <row r="273" spans="4:25" x14ac:dyDescent="0.25">
      <c r="D273" s="69"/>
      <c r="E273" s="34"/>
      <c r="F273" s="34"/>
      <c r="H273" s="35"/>
      <c r="I273" s="36"/>
      <c r="J273" s="37"/>
      <c r="K273" s="38"/>
      <c r="L273" s="29"/>
      <c r="M273" s="29"/>
      <c r="N273" s="29"/>
      <c r="O273" s="39"/>
      <c r="P273" s="40">
        <f t="shared" si="16"/>
        <v>0</v>
      </c>
      <c r="Q273" s="40">
        <f t="shared" si="18"/>
        <v>0</v>
      </c>
      <c r="R273" s="40">
        <f t="shared" si="19"/>
        <v>0</v>
      </c>
      <c r="S273" s="41"/>
      <c r="T273" s="41"/>
      <c r="U273" s="41"/>
      <c r="V273" s="41"/>
      <c r="W273" s="41"/>
      <c r="X273" s="41"/>
      <c r="Y273" s="33">
        <f t="shared" si="17"/>
        <v>0</v>
      </c>
    </row>
    <row r="274" spans="4:25" x14ac:dyDescent="0.25">
      <c r="D274" s="69"/>
      <c r="E274" s="34"/>
      <c r="F274" s="34"/>
      <c r="H274" s="35"/>
      <c r="I274" s="36"/>
      <c r="J274" s="37"/>
      <c r="K274" s="38"/>
      <c r="L274" s="29"/>
      <c r="M274" s="29"/>
      <c r="N274" s="29"/>
      <c r="O274" s="39"/>
      <c r="P274" s="40">
        <f t="shared" si="16"/>
        <v>0</v>
      </c>
      <c r="Q274" s="40">
        <f t="shared" si="18"/>
        <v>0</v>
      </c>
      <c r="R274" s="40">
        <f t="shared" si="19"/>
        <v>0</v>
      </c>
      <c r="S274" s="41"/>
      <c r="T274" s="41"/>
      <c r="U274" s="41"/>
      <c r="V274" s="41"/>
      <c r="W274" s="41"/>
      <c r="X274" s="41"/>
      <c r="Y274" s="33">
        <f t="shared" si="17"/>
        <v>0</v>
      </c>
    </row>
    <row r="275" spans="4:25" x14ac:dyDescent="0.25">
      <c r="D275" s="69"/>
      <c r="E275" s="34"/>
      <c r="F275" s="34"/>
      <c r="H275" s="35"/>
      <c r="I275" s="36"/>
      <c r="J275" s="37"/>
      <c r="K275" s="38"/>
      <c r="L275" s="29"/>
      <c r="M275" s="29"/>
      <c r="N275" s="29"/>
      <c r="O275" s="39"/>
      <c r="P275" s="40">
        <f t="shared" si="16"/>
        <v>0</v>
      </c>
      <c r="Q275" s="40">
        <f t="shared" si="18"/>
        <v>0</v>
      </c>
      <c r="R275" s="40">
        <f t="shared" si="19"/>
        <v>0</v>
      </c>
      <c r="S275" s="41"/>
      <c r="T275" s="41"/>
      <c r="U275" s="41"/>
      <c r="V275" s="41"/>
      <c r="W275" s="41"/>
      <c r="X275" s="41"/>
      <c r="Y275" s="33">
        <f t="shared" si="17"/>
        <v>0</v>
      </c>
    </row>
    <row r="276" spans="4:25" x14ac:dyDescent="0.25">
      <c r="D276" s="69"/>
      <c r="E276" s="34"/>
      <c r="F276" s="34"/>
      <c r="H276" s="35"/>
      <c r="I276" s="36"/>
      <c r="J276" s="37"/>
      <c r="K276" s="38"/>
      <c r="L276" s="29"/>
      <c r="M276" s="29"/>
      <c r="N276" s="29"/>
      <c r="O276" s="39"/>
      <c r="P276" s="40">
        <f t="shared" si="16"/>
        <v>0</v>
      </c>
      <c r="Q276" s="40">
        <f t="shared" si="18"/>
        <v>0</v>
      </c>
      <c r="R276" s="40">
        <f t="shared" si="19"/>
        <v>0</v>
      </c>
      <c r="S276" s="41"/>
      <c r="T276" s="41"/>
      <c r="U276" s="41"/>
      <c r="V276" s="41"/>
      <c r="W276" s="41"/>
      <c r="X276" s="41"/>
      <c r="Y276" s="33">
        <f t="shared" si="17"/>
        <v>0</v>
      </c>
    </row>
    <row r="277" spans="4:25" x14ac:dyDescent="0.25">
      <c r="D277" s="69"/>
      <c r="E277" s="34"/>
      <c r="F277" s="34"/>
      <c r="H277" s="35"/>
      <c r="I277" s="36"/>
      <c r="J277" s="37"/>
      <c r="K277" s="38"/>
      <c r="L277" s="29"/>
      <c r="M277" s="29"/>
      <c r="N277" s="29"/>
      <c r="O277" s="39"/>
      <c r="P277" s="40">
        <f t="shared" si="16"/>
        <v>0</v>
      </c>
      <c r="Q277" s="40">
        <f t="shared" si="18"/>
        <v>0</v>
      </c>
      <c r="R277" s="40">
        <f t="shared" si="19"/>
        <v>0</v>
      </c>
      <c r="S277" s="41"/>
      <c r="T277" s="41"/>
      <c r="U277" s="41"/>
      <c r="V277" s="41"/>
      <c r="W277" s="41"/>
      <c r="X277" s="41"/>
      <c r="Y277" s="33">
        <f t="shared" si="17"/>
        <v>0</v>
      </c>
    </row>
    <row r="278" spans="4:25" x14ac:dyDescent="0.25">
      <c r="D278" s="69"/>
      <c r="E278" s="34"/>
      <c r="F278" s="34"/>
      <c r="H278" s="35"/>
      <c r="I278" s="36"/>
      <c r="J278" s="37"/>
      <c r="K278" s="38"/>
      <c r="L278" s="29"/>
      <c r="M278" s="29"/>
      <c r="N278" s="29"/>
      <c r="O278" s="39"/>
      <c r="P278" s="40">
        <f t="shared" si="16"/>
        <v>0</v>
      </c>
      <c r="Q278" s="40">
        <f t="shared" si="18"/>
        <v>0</v>
      </c>
      <c r="R278" s="40">
        <f t="shared" si="19"/>
        <v>0</v>
      </c>
      <c r="S278" s="41"/>
      <c r="T278" s="41"/>
      <c r="U278" s="41"/>
      <c r="V278" s="41"/>
      <c r="W278" s="41"/>
      <c r="X278" s="41"/>
      <c r="Y278" s="33">
        <f t="shared" si="17"/>
        <v>0</v>
      </c>
    </row>
    <row r="279" spans="4:25" x14ac:dyDescent="0.25">
      <c r="D279" s="69"/>
      <c r="E279" s="34"/>
      <c r="F279" s="34"/>
      <c r="H279" s="35"/>
      <c r="I279" s="36"/>
      <c r="J279" s="37"/>
      <c r="K279" s="38"/>
      <c r="L279" s="29"/>
      <c r="M279" s="29"/>
      <c r="N279" s="29"/>
      <c r="O279" s="39"/>
      <c r="P279" s="40">
        <f t="shared" si="16"/>
        <v>0</v>
      </c>
      <c r="Q279" s="40">
        <f t="shared" si="18"/>
        <v>0</v>
      </c>
      <c r="R279" s="40">
        <f t="shared" si="19"/>
        <v>0</v>
      </c>
      <c r="S279" s="41"/>
      <c r="T279" s="41"/>
      <c r="U279" s="41"/>
      <c r="V279" s="41"/>
      <c r="W279" s="41"/>
      <c r="X279" s="41"/>
      <c r="Y279" s="33">
        <f t="shared" si="17"/>
        <v>0</v>
      </c>
    </row>
    <row r="280" spans="4:25" x14ac:dyDescent="0.25">
      <c r="D280" s="69"/>
      <c r="E280" s="34"/>
      <c r="F280" s="34"/>
      <c r="H280" s="35"/>
      <c r="I280" s="36"/>
      <c r="J280" s="37"/>
      <c r="K280" s="38"/>
      <c r="L280" s="29"/>
      <c r="M280" s="29"/>
      <c r="N280" s="29"/>
      <c r="O280" s="39"/>
      <c r="P280" s="40">
        <f t="shared" si="16"/>
        <v>0</v>
      </c>
      <c r="Q280" s="40">
        <f t="shared" si="18"/>
        <v>0</v>
      </c>
      <c r="R280" s="40">
        <f t="shared" si="19"/>
        <v>0</v>
      </c>
      <c r="S280" s="41"/>
      <c r="T280" s="41"/>
      <c r="U280" s="41"/>
      <c r="V280" s="41"/>
      <c r="W280" s="41"/>
      <c r="X280" s="41"/>
      <c r="Y280" s="33">
        <f t="shared" si="17"/>
        <v>0</v>
      </c>
    </row>
    <row r="281" spans="4:25" x14ac:dyDescent="0.25">
      <c r="D281" s="69"/>
      <c r="E281" s="34"/>
      <c r="F281" s="34"/>
      <c r="H281" s="35"/>
      <c r="I281" s="36"/>
      <c r="J281" s="37"/>
      <c r="K281" s="38"/>
      <c r="L281" s="29"/>
      <c r="M281" s="29"/>
      <c r="N281" s="29"/>
      <c r="O281" s="39"/>
      <c r="P281" s="40">
        <f t="shared" si="16"/>
        <v>0</v>
      </c>
      <c r="Q281" s="40">
        <f t="shared" si="18"/>
        <v>0</v>
      </c>
      <c r="R281" s="40">
        <f t="shared" si="19"/>
        <v>0</v>
      </c>
      <c r="S281" s="41"/>
      <c r="T281" s="41"/>
      <c r="U281" s="41"/>
      <c r="V281" s="41"/>
      <c r="W281" s="41"/>
      <c r="X281" s="41"/>
      <c r="Y281" s="33">
        <f t="shared" si="17"/>
        <v>0</v>
      </c>
    </row>
    <row r="282" spans="4:25" x14ac:dyDescent="0.25">
      <c r="D282" s="69"/>
      <c r="E282" s="34"/>
      <c r="F282" s="34"/>
      <c r="H282" s="35"/>
      <c r="I282" s="36"/>
      <c r="J282" s="37"/>
      <c r="K282" s="38"/>
      <c r="L282" s="29"/>
      <c r="M282" s="29"/>
      <c r="N282" s="29"/>
      <c r="O282" s="39"/>
      <c r="P282" s="40">
        <f t="shared" si="16"/>
        <v>0</v>
      </c>
      <c r="Q282" s="40">
        <f t="shared" si="18"/>
        <v>0</v>
      </c>
      <c r="R282" s="40">
        <f t="shared" si="19"/>
        <v>0</v>
      </c>
      <c r="S282" s="41"/>
      <c r="T282" s="41"/>
      <c r="U282" s="41"/>
      <c r="V282" s="41"/>
      <c r="W282" s="41"/>
      <c r="X282" s="41"/>
      <c r="Y282" s="33">
        <f t="shared" si="17"/>
        <v>0</v>
      </c>
    </row>
    <row r="283" spans="4:25" x14ac:dyDescent="0.25">
      <c r="D283" s="69"/>
      <c r="E283" s="34"/>
      <c r="F283" s="34"/>
      <c r="H283" s="35"/>
      <c r="I283" s="36"/>
      <c r="J283" s="37"/>
      <c r="K283" s="38"/>
      <c r="L283" s="29"/>
      <c r="M283" s="29"/>
      <c r="N283" s="29"/>
      <c r="O283" s="39"/>
      <c r="P283" s="40">
        <f t="shared" si="16"/>
        <v>0</v>
      </c>
      <c r="Q283" s="40">
        <f t="shared" si="18"/>
        <v>0</v>
      </c>
      <c r="R283" s="40">
        <f t="shared" si="19"/>
        <v>0</v>
      </c>
      <c r="S283" s="41"/>
      <c r="T283" s="41"/>
      <c r="U283" s="41"/>
      <c r="V283" s="41"/>
      <c r="W283" s="41"/>
      <c r="X283" s="41"/>
      <c r="Y283" s="33">
        <f t="shared" si="17"/>
        <v>0</v>
      </c>
    </row>
    <row r="284" spans="4:25" x14ac:dyDescent="0.25">
      <c r="D284" s="69"/>
      <c r="E284" s="34"/>
      <c r="F284" s="34"/>
      <c r="H284" s="35"/>
      <c r="I284" s="36"/>
      <c r="J284" s="37"/>
      <c r="K284" s="38"/>
      <c r="L284" s="29"/>
      <c r="M284" s="29"/>
      <c r="N284" s="29"/>
      <c r="O284" s="39"/>
      <c r="P284" s="40">
        <f t="shared" si="16"/>
        <v>0</v>
      </c>
      <c r="Q284" s="40">
        <f t="shared" si="18"/>
        <v>0</v>
      </c>
      <c r="R284" s="40">
        <f t="shared" si="19"/>
        <v>0</v>
      </c>
      <c r="S284" s="41"/>
      <c r="T284" s="41"/>
      <c r="U284" s="41"/>
      <c r="V284" s="41"/>
      <c r="W284" s="41"/>
      <c r="X284" s="41"/>
      <c r="Y284" s="33">
        <f t="shared" si="17"/>
        <v>0</v>
      </c>
    </row>
    <row r="285" spans="4:25" x14ac:dyDescent="0.25">
      <c r="D285" s="69"/>
      <c r="E285" s="34"/>
      <c r="F285" s="34"/>
      <c r="H285" s="35"/>
      <c r="I285" s="36"/>
      <c r="J285" s="37"/>
      <c r="K285" s="38"/>
      <c r="L285" s="29"/>
      <c r="M285" s="29"/>
      <c r="N285" s="29"/>
      <c r="O285" s="39"/>
      <c r="P285" s="40">
        <f t="shared" si="16"/>
        <v>0</v>
      </c>
      <c r="Q285" s="40">
        <f t="shared" si="18"/>
        <v>0</v>
      </c>
      <c r="R285" s="40">
        <f t="shared" si="19"/>
        <v>0</v>
      </c>
      <c r="S285" s="41"/>
      <c r="T285" s="41"/>
      <c r="U285" s="41"/>
      <c r="V285" s="41"/>
      <c r="W285" s="41"/>
      <c r="X285" s="41"/>
      <c r="Y285" s="33">
        <f t="shared" si="17"/>
        <v>0</v>
      </c>
    </row>
    <row r="286" spans="4:25" x14ac:dyDescent="0.25">
      <c r="D286" s="69"/>
      <c r="E286" s="34"/>
      <c r="F286" s="34"/>
      <c r="H286" s="35"/>
      <c r="I286" s="36"/>
      <c r="J286" s="37"/>
      <c r="K286" s="38"/>
      <c r="L286" s="29"/>
      <c r="M286" s="29"/>
      <c r="N286" s="29"/>
      <c r="O286" s="39"/>
      <c r="P286" s="40">
        <f t="shared" si="16"/>
        <v>0</v>
      </c>
      <c r="Q286" s="40">
        <f t="shared" si="18"/>
        <v>0</v>
      </c>
      <c r="R286" s="40">
        <f t="shared" si="19"/>
        <v>0</v>
      </c>
      <c r="S286" s="41"/>
      <c r="T286" s="41"/>
      <c r="U286" s="41"/>
      <c r="V286" s="41"/>
      <c r="W286" s="41"/>
      <c r="X286" s="41"/>
      <c r="Y286" s="33">
        <f t="shared" si="17"/>
        <v>0</v>
      </c>
    </row>
    <row r="287" spans="4:25" x14ac:dyDescent="0.25">
      <c r="D287" s="69"/>
      <c r="E287" s="34"/>
      <c r="F287" s="34"/>
      <c r="H287" s="35"/>
      <c r="I287" s="36"/>
      <c r="J287" s="37"/>
      <c r="K287" s="38"/>
      <c r="L287" s="29"/>
      <c r="M287" s="29"/>
      <c r="N287" s="29"/>
      <c r="O287" s="39"/>
      <c r="P287" s="40">
        <f t="shared" si="16"/>
        <v>0</v>
      </c>
      <c r="Q287" s="40">
        <f t="shared" si="18"/>
        <v>0</v>
      </c>
      <c r="R287" s="40">
        <f t="shared" si="19"/>
        <v>0</v>
      </c>
      <c r="S287" s="41"/>
      <c r="T287" s="41"/>
      <c r="U287" s="41"/>
      <c r="V287" s="41"/>
      <c r="W287" s="41"/>
      <c r="X287" s="41"/>
      <c r="Y287" s="33">
        <f t="shared" si="17"/>
        <v>0</v>
      </c>
    </row>
    <row r="288" spans="4:25" x14ac:dyDescent="0.25">
      <c r="D288" s="69"/>
      <c r="E288" s="34"/>
      <c r="F288" s="34"/>
      <c r="H288" s="35"/>
      <c r="I288" s="36"/>
      <c r="J288" s="37"/>
      <c r="K288" s="38"/>
      <c r="L288" s="29"/>
      <c r="M288" s="29"/>
      <c r="N288" s="29"/>
      <c r="O288" s="39"/>
      <c r="P288" s="40">
        <f t="shared" si="16"/>
        <v>0</v>
      </c>
      <c r="Q288" s="40">
        <f t="shared" si="18"/>
        <v>0</v>
      </c>
      <c r="R288" s="40">
        <f t="shared" si="19"/>
        <v>0</v>
      </c>
      <c r="S288" s="41"/>
      <c r="T288" s="41"/>
      <c r="U288" s="41"/>
      <c r="V288" s="41"/>
      <c r="W288" s="41"/>
      <c r="X288" s="41"/>
      <c r="Y288" s="33">
        <f t="shared" si="17"/>
        <v>0</v>
      </c>
    </row>
    <row r="289" spans="4:25" x14ac:dyDescent="0.25">
      <c r="D289" s="69"/>
      <c r="E289" s="34"/>
      <c r="F289" s="34"/>
      <c r="H289" s="35"/>
      <c r="I289" s="36"/>
      <c r="J289" s="37"/>
      <c r="K289" s="38"/>
      <c r="L289" s="29"/>
      <c r="M289" s="29"/>
      <c r="N289" s="29"/>
      <c r="O289" s="39"/>
      <c r="P289" s="40">
        <f t="shared" si="16"/>
        <v>0</v>
      </c>
      <c r="Q289" s="40">
        <f t="shared" si="18"/>
        <v>0</v>
      </c>
      <c r="R289" s="40">
        <f t="shared" si="19"/>
        <v>0</v>
      </c>
      <c r="S289" s="41"/>
      <c r="T289" s="41"/>
      <c r="U289" s="41"/>
      <c r="V289" s="41"/>
      <c r="W289" s="41"/>
      <c r="X289" s="41"/>
      <c r="Y289" s="33">
        <f t="shared" si="17"/>
        <v>0</v>
      </c>
    </row>
    <row r="290" spans="4:25" x14ac:dyDescent="0.25">
      <c r="D290" s="69"/>
      <c r="E290" s="34"/>
      <c r="F290" s="34"/>
      <c r="H290" s="35"/>
      <c r="I290" s="36"/>
      <c r="J290" s="37"/>
      <c r="K290" s="38"/>
      <c r="L290" s="29"/>
      <c r="M290" s="29"/>
      <c r="N290" s="29"/>
      <c r="O290" s="39"/>
      <c r="P290" s="40">
        <f t="shared" si="16"/>
        <v>0</v>
      </c>
      <c r="Q290" s="40">
        <f t="shared" si="18"/>
        <v>0</v>
      </c>
      <c r="R290" s="40">
        <f t="shared" si="19"/>
        <v>0</v>
      </c>
      <c r="S290" s="41"/>
      <c r="T290" s="41"/>
      <c r="U290" s="41"/>
      <c r="V290" s="41"/>
      <c r="W290" s="41"/>
      <c r="X290" s="41"/>
      <c r="Y290" s="33">
        <f t="shared" si="17"/>
        <v>0</v>
      </c>
    </row>
    <row r="291" spans="4:25" x14ac:dyDescent="0.25">
      <c r="D291" s="69"/>
      <c r="E291" s="34"/>
      <c r="F291" s="34"/>
      <c r="H291" s="35"/>
      <c r="I291" s="36"/>
      <c r="J291" s="37"/>
      <c r="K291" s="38"/>
      <c r="L291" s="29"/>
      <c r="M291" s="29"/>
      <c r="N291" s="29"/>
      <c r="O291" s="39"/>
      <c r="P291" s="40">
        <f t="shared" si="16"/>
        <v>0</v>
      </c>
      <c r="Q291" s="40">
        <f t="shared" si="18"/>
        <v>0</v>
      </c>
      <c r="R291" s="40">
        <f t="shared" si="19"/>
        <v>0</v>
      </c>
      <c r="S291" s="41"/>
      <c r="T291" s="41"/>
      <c r="U291" s="41"/>
      <c r="V291" s="41"/>
      <c r="W291" s="41"/>
      <c r="X291" s="41"/>
      <c r="Y291" s="33">
        <f t="shared" si="17"/>
        <v>0</v>
      </c>
    </row>
    <row r="292" spans="4:25" x14ac:dyDescent="0.25">
      <c r="D292" s="69"/>
      <c r="E292" s="34"/>
      <c r="F292" s="34"/>
      <c r="H292" s="35"/>
      <c r="I292" s="36"/>
      <c r="J292" s="37"/>
      <c r="K292" s="38"/>
      <c r="L292" s="29"/>
      <c r="M292" s="29"/>
      <c r="N292" s="29"/>
      <c r="O292" s="39"/>
      <c r="P292" s="40">
        <f t="shared" si="16"/>
        <v>0</v>
      </c>
      <c r="Q292" s="40">
        <f t="shared" si="18"/>
        <v>0</v>
      </c>
      <c r="R292" s="40">
        <f t="shared" si="19"/>
        <v>0</v>
      </c>
      <c r="S292" s="41"/>
      <c r="T292" s="41"/>
      <c r="U292" s="41"/>
      <c r="V292" s="41"/>
      <c r="W292" s="41"/>
      <c r="X292" s="41"/>
      <c r="Y292" s="33">
        <f t="shared" si="17"/>
        <v>0</v>
      </c>
    </row>
    <row r="293" spans="4:25" x14ac:dyDescent="0.25">
      <c r="D293" s="69"/>
      <c r="E293" s="34"/>
      <c r="F293" s="34"/>
      <c r="H293" s="35"/>
      <c r="I293" s="36"/>
      <c r="J293" s="37"/>
      <c r="K293" s="38"/>
      <c r="L293" s="29"/>
      <c r="M293" s="29"/>
      <c r="N293" s="29"/>
      <c r="O293" s="39"/>
      <c r="P293" s="40">
        <f t="shared" si="16"/>
        <v>0</v>
      </c>
      <c r="Q293" s="40">
        <f t="shared" si="18"/>
        <v>0</v>
      </c>
      <c r="R293" s="40">
        <f t="shared" si="19"/>
        <v>0</v>
      </c>
      <c r="S293" s="41"/>
      <c r="T293" s="41"/>
      <c r="U293" s="41"/>
      <c r="V293" s="41"/>
      <c r="W293" s="41"/>
      <c r="X293" s="41"/>
      <c r="Y293" s="33">
        <f t="shared" si="17"/>
        <v>0</v>
      </c>
    </row>
    <row r="294" spans="4:25" x14ac:dyDescent="0.25">
      <c r="D294" s="69"/>
      <c r="E294" s="34"/>
      <c r="F294" s="34"/>
      <c r="H294" s="35"/>
      <c r="I294" s="36"/>
      <c r="J294" s="37"/>
      <c r="K294" s="38"/>
      <c r="L294" s="29"/>
      <c r="M294" s="29"/>
      <c r="N294" s="29"/>
      <c r="O294" s="39"/>
      <c r="P294" s="40">
        <f t="shared" si="16"/>
        <v>0</v>
      </c>
      <c r="Q294" s="40">
        <f t="shared" si="18"/>
        <v>0</v>
      </c>
      <c r="R294" s="40">
        <f t="shared" si="19"/>
        <v>0</v>
      </c>
      <c r="S294" s="41"/>
      <c r="T294" s="41"/>
      <c r="U294" s="41"/>
      <c r="V294" s="41"/>
      <c r="W294" s="41"/>
      <c r="X294" s="41"/>
      <c r="Y294" s="33">
        <f t="shared" si="17"/>
        <v>0</v>
      </c>
    </row>
    <row r="295" spans="4:25" x14ac:dyDescent="0.25">
      <c r="D295" s="69"/>
      <c r="E295" s="34"/>
      <c r="F295" s="34"/>
      <c r="H295" s="35"/>
      <c r="I295" s="36"/>
      <c r="J295" s="37"/>
      <c r="K295" s="38"/>
      <c r="L295" s="29"/>
      <c r="M295" s="29"/>
      <c r="N295" s="29"/>
      <c r="O295" s="39"/>
      <c r="P295" s="40">
        <f t="shared" si="16"/>
        <v>0</v>
      </c>
      <c r="Q295" s="40">
        <f t="shared" si="18"/>
        <v>0</v>
      </c>
      <c r="R295" s="40">
        <f t="shared" si="19"/>
        <v>0</v>
      </c>
      <c r="S295" s="41"/>
      <c r="T295" s="41"/>
      <c r="U295" s="41"/>
      <c r="V295" s="41"/>
      <c r="W295" s="41"/>
      <c r="X295" s="41"/>
      <c r="Y295" s="33">
        <f t="shared" si="17"/>
        <v>0</v>
      </c>
    </row>
    <row r="296" spans="4:25" x14ac:dyDescent="0.25">
      <c r="D296" s="69"/>
      <c r="E296" s="34"/>
      <c r="F296" s="34"/>
      <c r="H296" s="35"/>
      <c r="I296" s="36"/>
      <c r="J296" s="37"/>
      <c r="K296" s="38"/>
      <c r="L296" s="29"/>
      <c r="M296" s="29"/>
      <c r="N296" s="29"/>
      <c r="O296" s="39"/>
      <c r="P296" s="40">
        <f t="shared" si="16"/>
        <v>0</v>
      </c>
      <c r="Q296" s="40">
        <f t="shared" si="18"/>
        <v>0</v>
      </c>
      <c r="R296" s="40">
        <f t="shared" si="19"/>
        <v>0</v>
      </c>
      <c r="S296" s="41"/>
      <c r="T296" s="41"/>
      <c r="U296" s="41"/>
      <c r="V296" s="41"/>
      <c r="W296" s="41"/>
      <c r="X296" s="41"/>
      <c r="Y296" s="33">
        <f t="shared" si="17"/>
        <v>0</v>
      </c>
    </row>
    <row r="297" spans="4:25" x14ac:dyDescent="0.25">
      <c r="D297" s="69"/>
      <c r="E297" s="34"/>
      <c r="F297" s="34"/>
      <c r="H297" s="35"/>
      <c r="I297" s="36"/>
      <c r="J297" s="37"/>
      <c r="K297" s="38"/>
      <c r="L297" s="29"/>
      <c r="M297" s="29"/>
      <c r="N297" s="29"/>
      <c r="O297" s="39"/>
      <c r="P297" s="40">
        <f t="shared" si="16"/>
        <v>0</v>
      </c>
      <c r="Q297" s="40">
        <f t="shared" si="18"/>
        <v>0</v>
      </c>
      <c r="R297" s="40">
        <f t="shared" si="19"/>
        <v>0</v>
      </c>
      <c r="S297" s="41"/>
      <c r="T297" s="41"/>
      <c r="U297" s="41"/>
      <c r="V297" s="41"/>
      <c r="W297" s="41"/>
      <c r="X297" s="41"/>
      <c r="Y297" s="33">
        <f t="shared" si="17"/>
        <v>0</v>
      </c>
    </row>
    <row r="298" spans="4:25" x14ac:dyDescent="0.25">
      <c r="D298" s="69"/>
      <c r="E298" s="34"/>
      <c r="F298" s="34"/>
      <c r="H298" s="35"/>
      <c r="I298" s="36"/>
      <c r="J298" s="37"/>
      <c r="K298" s="38"/>
      <c r="L298" s="29"/>
      <c r="M298" s="29"/>
      <c r="N298" s="29"/>
      <c r="O298" s="39"/>
      <c r="P298" s="40">
        <f t="shared" si="16"/>
        <v>0</v>
      </c>
      <c r="Q298" s="40">
        <f t="shared" si="18"/>
        <v>0</v>
      </c>
      <c r="R298" s="40">
        <f t="shared" si="19"/>
        <v>0</v>
      </c>
      <c r="S298" s="41"/>
      <c r="T298" s="41"/>
      <c r="U298" s="41"/>
      <c r="V298" s="41"/>
      <c r="W298" s="41"/>
      <c r="X298" s="41"/>
      <c r="Y298" s="33">
        <f t="shared" si="17"/>
        <v>0</v>
      </c>
    </row>
    <row r="299" spans="4:25" x14ac:dyDescent="0.25">
      <c r="D299" s="69"/>
      <c r="E299" s="34"/>
      <c r="F299" s="34"/>
      <c r="H299" s="35"/>
      <c r="I299" s="36"/>
      <c r="J299" s="37"/>
      <c r="K299" s="38"/>
      <c r="L299" s="29"/>
      <c r="M299" s="29"/>
      <c r="N299" s="29"/>
      <c r="O299" s="39"/>
      <c r="P299" s="40">
        <f t="shared" si="16"/>
        <v>0</v>
      </c>
      <c r="Q299" s="40">
        <f t="shared" si="18"/>
        <v>0</v>
      </c>
      <c r="R299" s="40">
        <f t="shared" si="19"/>
        <v>0</v>
      </c>
      <c r="S299" s="41"/>
      <c r="T299" s="41"/>
      <c r="U299" s="41"/>
      <c r="V299" s="41"/>
      <c r="W299" s="41"/>
      <c r="X299" s="41"/>
      <c r="Y299" s="33">
        <f t="shared" si="17"/>
        <v>0</v>
      </c>
    </row>
    <row r="300" spans="4:25" x14ac:dyDescent="0.25">
      <c r="D300" s="69"/>
      <c r="E300" s="34"/>
      <c r="F300" s="34"/>
      <c r="H300" s="35"/>
      <c r="I300" s="36"/>
      <c r="J300" s="37"/>
      <c r="K300" s="38"/>
      <c r="L300" s="29"/>
      <c r="M300" s="29"/>
      <c r="N300" s="29"/>
      <c r="O300" s="39"/>
      <c r="P300" s="40">
        <f t="shared" si="16"/>
        <v>0</v>
      </c>
      <c r="Q300" s="40">
        <f t="shared" si="18"/>
        <v>0</v>
      </c>
      <c r="R300" s="40">
        <f t="shared" si="19"/>
        <v>0</v>
      </c>
      <c r="S300" s="41"/>
      <c r="T300" s="41"/>
      <c r="U300" s="41"/>
      <c r="V300" s="41"/>
      <c r="W300" s="41"/>
      <c r="X300" s="41"/>
      <c r="Y300" s="33">
        <f t="shared" si="17"/>
        <v>0</v>
      </c>
    </row>
    <row r="301" spans="4:25" x14ac:dyDescent="0.25">
      <c r="D301" s="69"/>
      <c r="E301" s="34"/>
      <c r="F301" s="34"/>
      <c r="H301" s="35"/>
      <c r="I301" s="36"/>
      <c r="J301" s="37"/>
      <c r="K301" s="38"/>
      <c r="L301" s="29"/>
      <c r="M301" s="29"/>
      <c r="N301" s="29"/>
      <c r="O301" s="39"/>
      <c r="P301" s="40">
        <f t="shared" si="16"/>
        <v>0</v>
      </c>
      <c r="Q301" s="40">
        <f t="shared" si="18"/>
        <v>0</v>
      </c>
      <c r="R301" s="40">
        <f t="shared" si="19"/>
        <v>0</v>
      </c>
      <c r="S301" s="41"/>
      <c r="T301" s="41"/>
      <c r="U301" s="41"/>
      <c r="V301" s="41"/>
      <c r="W301" s="41"/>
      <c r="X301" s="41"/>
      <c r="Y301" s="33">
        <f t="shared" si="17"/>
        <v>0</v>
      </c>
    </row>
    <row r="302" spans="4:25" x14ac:dyDescent="0.25">
      <c r="D302" s="69"/>
      <c r="E302" s="34"/>
      <c r="F302" s="34"/>
      <c r="H302" s="35"/>
      <c r="I302" s="36"/>
      <c r="J302" s="37"/>
      <c r="K302" s="38"/>
      <c r="L302" s="29"/>
      <c r="M302" s="29"/>
      <c r="N302" s="29"/>
      <c r="O302" s="39"/>
      <c r="P302" s="40">
        <f t="shared" si="16"/>
        <v>0</v>
      </c>
      <c r="Q302" s="40">
        <f t="shared" si="18"/>
        <v>0</v>
      </c>
      <c r="R302" s="40">
        <f t="shared" si="19"/>
        <v>0</v>
      </c>
      <c r="S302" s="41"/>
      <c r="T302" s="41"/>
      <c r="U302" s="41"/>
      <c r="V302" s="41"/>
      <c r="W302" s="41"/>
      <c r="X302" s="41"/>
      <c r="Y302" s="33">
        <f t="shared" si="17"/>
        <v>0</v>
      </c>
    </row>
    <row r="303" spans="4:25" ht="15.6" x14ac:dyDescent="0.3">
      <c r="D303" s="65"/>
      <c r="E303" s="34"/>
      <c r="F303" s="34"/>
      <c r="H303" s="35"/>
      <c r="I303" s="36"/>
      <c r="J303" s="37"/>
      <c r="K303" s="38"/>
      <c r="L303" s="29"/>
      <c r="M303" s="29"/>
      <c r="N303" s="29"/>
      <c r="O303" s="39"/>
      <c r="P303" s="40"/>
      <c r="Q303" s="40"/>
      <c r="R303" s="40"/>
      <c r="S303" s="41"/>
      <c r="T303" s="41"/>
      <c r="U303" s="41"/>
      <c r="V303" s="41"/>
      <c r="W303" s="41"/>
      <c r="X303" s="41"/>
      <c r="Y303" s="33"/>
    </row>
    <row r="304" spans="4:25" x14ac:dyDescent="0.25">
      <c r="E304" s="34"/>
      <c r="F304" s="34"/>
      <c r="H304" s="35"/>
      <c r="I304" s="36"/>
      <c r="J304" s="37"/>
      <c r="K304" s="38"/>
      <c r="L304" s="29"/>
      <c r="M304" s="29"/>
      <c r="N304" s="29"/>
      <c r="O304" s="39"/>
      <c r="P304" s="40"/>
      <c r="Q304" s="40"/>
      <c r="R304" s="40"/>
      <c r="S304" s="41"/>
      <c r="T304" s="41"/>
      <c r="U304" s="41"/>
      <c r="V304" s="41"/>
      <c r="W304" s="41"/>
      <c r="X304" s="40"/>
      <c r="Y304" s="33"/>
    </row>
    <row r="305" spans="8:25" ht="15.6" x14ac:dyDescent="0.3">
      <c r="H305" s="35"/>
      <c r="I305" s="36"/>
      <c r="J305" s="37"/>
      <c r="K305" s="42" t="s">
        <v>96</v>
      </c>
      <c r="L305" s="59">
        <f>SUM(L3:L302)</f>
        <v>0</v>
      </c>
      <c r="M305" s="59">
        <f t="shared" ref="M305:Y305" si="20">SUM(M3:M302)</f>
        <v>0</v>
      </c>
      <c r="N305" s="59">
        <f t="shared" si="20"/>
        <v>0</v>
      </c>
      <c r="O305" s="43"/>
      <c r="P305" s="59">
        <f t="shared" si="20"/>
        <v>0</v>
      </c>
      <c r="Q305" s="59">
        <f t="shared" si="20"/>
        <v>0</v>
      </c>
      <c r="R305" s="59">
        <f t="shared" si="20"/>
        <v>0</v>
      </c>
      <c r="S305" s="59">
        <f t="shared" si="20"/>
        <v>0</v>
      </c>
      <c r="T305" s="59">
        <f t="shared" si="20"/>
        <v>0</v>
      </c>
      <c r="U305" s="59">
        <f t="shared" si="20"/>
        <v>0</v>
      </c>
      <c r="V305" s="59">
        <f t="shared" si="20"/>
        <v>0</v>
      </c>
      <c r="W305" s="59">
        <f t="shared" si="20"/>
        <v>0</v>
      </c>
      <c r="X305" s="59">
        <f t="shared" si="20"/>
        <v>0</v>
      </c>
      <c r="Y305" s="59">
        <f t="shared" si="20"/>
        <v>0</v>
      </c>
    </row>
    <row r="306" spans="8:25" x14ac:dyDescent="0.25">
      <c r="L306" s="29"/>
      <c r="M306" s="29"/>
      <c r="N306" s="29"/>
    </row>
  </sheetData>
  <mergeCells count="1">
    <mergeCell ref="S1:X1"/>
  </mergeCells>
  <pageMargins left="0.7" right="0.7" top="0.75" bottom="0.75" header="0.3" footer="0.3"/>
  <pageSetup scale="37" fitToHeight="0" orientation="landscape" r:id="rId1"/>
  <headerFooter>
    <oddHeader>&amp;L&amp;G&amp;C&amp;"Arial,Bold"&amp;12Base and Test Support Services (BTSS)
Solicitation No. W91151-19-R-0003&amp;R&amp;"Arial,Bold"&amp;12Volume IV - Factor 3 - Cost
&amp;A</oddHeader>
    <oddFooter>&amp;C&amp;"Arial,Italic"&amp;12Use or disclosure of data contained on this sheet is subject
 to the restriction on the cover page of this proposal.</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2C4E7-51AC-4417-A2EE-AC60AD776CBB}">
  <sheetPr>
    <tabColor rgb="FF0070C0"/>
  </sheetPr>
  <dimension ref="A1:Y305"/>
  <sheetViews>
    <sheetView zoomScale="85" zoomScaleNormal="85" workbookViewId="0">
      <pane ySplit="2" topLeftCell="A3" activePane="bottomLeft" state="frozen"/>
      <selection pane="bottomLeft" activeCell="B10" sqref="B10"/>
    </sheetView>
  </sheetViews>
  <sheetFormatPr defaultColWidth="9.109375" defaultRowHeight="15" x14ac:dyDescent="0.25"/>
  <cols>
    <col min="1" max="1" width="18.88671875" style="27" customWidth="1"/>
    <col min="2" max="2" width="18" style="27" customWidth="1"/>
    <col min="3" max="3" width="14.33203125" style="34" bestFit="1" customWidth="1"/>
    <col min="4" max="4" width="56" style="27" bestFit="1" customWidth="1"/>
    <col min="5" max="5" width="15.5546875" style="27" customWidth="1"/>
    <col min="6" max="6" width="12.88671875" style="27" bestFit="1" customWidth="1"/>
    <col min="7" max="7" width="15.109375" style="28" bestFit="1" customWidth="1"/>
    <col min="8" max="8" width="25.109375" style="29" customWidth="1"/>
    <col min="9" max="9" width="18.33203125" style="30" bestFit="1" customWidth="1"/>
    <col min="10" max="10" width="20.33203125" style="31" bestFit="1" customWidth="1"/>
    <col min="11" max="11" width="24.109375" style="28" customWidth="1"/>
    <col min="12" max="13" width="19.44140625" style="27" bestFit="1" customWidth="1"/>
    <col min="14" max="14" width="12.33203125" style="27" bestFit="1" customWidth="1"/>
    <col min="15" max="15" width="19.44140625" style="27" bestFit="1" customWidth="1"/>
    <col min="16" max="16" width="19.5546875" style="27" bestFit="1" customWidth="1"/>
    <col min="17" max="17" width="20.109375" style="27" bestFit="1" customWidth="1"/>
    <col min="18" max="18" width="22.6640625" style="27" bestFit="1" customWidth="1"/>
    <col min="19" max="19" width="20" style="27" customWidth="1"/>
    <col min="20" max="20" width="18.44140625" style="27" customWidth="1"/>
    <col min="21" max="21" width="18.44140625" style="27" bestFit="1" customWidth="1"/>
    <col min="22" max="23" width="18.44140625" style="27" customWidth="1"/>
    <col min="24" max="24" width="15.44140625" style="33" bestFit="1" customWidth="1"/>
    <col min="25" max="25" width="19.44140625" style="27" bestFit="1" customWidth="1"/>
    <col min="26" max="16384" width="9.109375" style="27"/>
  </cols>
  <sheetData>
    <row r="1" spans="1:25" s="83" customFormat="1" ht="84" customHeight="1" thickBot="1" x14ac:dyDescent="0.35">
      <c r="C1" s="66" t="s">
        <v>104</v>
      </c>
      <c r="D1" s="63" t="s">
        <v>102</v>
      </c>
      <c r="G1" s="84"/>
      <c r="H1" s="85"/>
      <c r="I1" s="86"/>
      <c r="J1" s="64" t="s">
        <v>95</v>
      </c>
      <c r="K1" s="84"/>
      <c r="L1" s="87"/>
      <c r="M1" s="87"/>
      <c r="N1" s="87"/>
      <c r="O1" s="87"/>
      <c r="P1" s="87"/>
      <c r="Q1" s="87"/>
      <c r="R1" s="87"/>
      <c r="S1" s="93" t="s">
        <v>116</v>
      </c>
      <c r="T1" s="94"/>
      <c r="U1" s="94"/>
      <c r="V1" s="94"/>
      <c r="W1" s="94"/>
      <c r="X1" s="95"/>
    </row>
    <row r="2" spans="1:25" s="58" customFormat="1" ht="31.2" x14ac:dyDescent="0.3">
      <c r="A2" s="53" t="s">
        <v>89</v>
      </c>
      <c r="B2" s="62" t="s">
        <v>133</v>
      </c>
      <c r="C2" s="62" t="s">
        <v>61</v>
      </c>
      <c r="D2" s="53" t="s">
        <v>10</v>
      </c>
      <c r="E2" s="53" t="s">
        <v>94</v>
      </c>
      <c r="F2" s="53" t="s">
        <v>62</v>
      </c>
      <c r="G2" s="53" t="s">
        <v>63</v>
      </c>
      <c r="H2" s="57" t="s">
        <v>64</v>
      </c>
      <c r="I2" s="57" t="s">
        <v>65</v>
      </c>
      <c r="J2" s="60" t="s">
        <v>88</v>
      </c>
      <c r="K2" s="53" t="s">
        <v>93</v>
      </c>
      <c r="L2" s="53" t="s">
        <v>66</v>
      </c>
      <c r="M2" s="53" t="s">
        <v>67</v>
      </c>
      <c r="N2" s="53" t="s">
        <v>1</v>
      </c>
      <c r="O2" s="53" t="s">
        <v>7</v>
      </c>
      <c r="P2" s="53" t="s">
        <v>68</v>
      </c>
      <c r="Q2" s="53" t="s">
        <v>69</v>
      </c>
      <c r="R2" s="53" t="s">
        <v>70</v>
      </c>
      <c r="S2" s="55" t="s">
        <v>90</v>
      </c>
      <c r="T2" s="55" t="s">
        <v>91</v>
      </c>
      <c r="U2" s="55" t="s">
        <v>92</v>
      </c>
      <c r="V2" s="55" t="s">
        <v>119</v>
      </c>
      <c r="W2" s="55" t="s">
        <v>118</v>
      </c>
      <c r="X2" s="56" t="s">
        <v>101</v>
      </c>
      <c r="Y2" s="53" t="s">
        <v>71</v>
      </c>
    </row>
    <row r="3" spans="1:25" x14ac:dyDescent="0.25">
      <c r="C3" s="34" t="s">
        <v>73</v>
      </c>
      <c r="D3" s="54" t="s">
        <v>23</v>
      </c>
      <c r="E3" s="34"/>
      <c r="F3" s="34"/>
      <c r="H3" s="35"/>
      <c r="I3" s="36"/>
      <c r="J3" s="37"/>
      <c r="K3" s="38"/>
      <c r="L3" s="29"/>
      <c r="M3" s="29"/>
      <c r="N3" s="29"/>
      <c r="O3" s="39"/>
      <c r="P3" s="40">
        <f t="shared" ref="P3:P66" si="0">$L3*$O3</f>
        <v>0</v>
      </c>
      <c r="Q3" s="40">
        <f>IF(E3="NE",(M3*O3*1.5),(M3*O3))</f>
        <v>0</v>
      </c>
      <c r="R3" s="40">
        <f>P3+Q3</f>
        <v>0</v>
      </c>
      <c r="S3" s="41"/>
      <c r="T3" s="41"/>
      <c r="U3" s="41"/>
      <c r="V3" s="41"/>
      <c r="W3" s="41"/>
      <c r="X3" s="41"/>
      <c r="Y3" s="33">
        <f>SUM(R3:X3)</f>
        <v>0</v>
      </c>
    </row>
    <row r="4" spans="1:25" x14ac:dyDescent="0.25">
      <c r="C4" s="34" t="s">
        <v>73</v>
      </c>
      <c r="D4" s="54" t="s">
        <v>24</v>
      </c>
      <c r="E4" s="34"/>
      <c r="F4" s="34"/>
      <c r="H4" s="35"/>
      <c r="I4" s="36"/>
      <c r="J4" s="37"/>
      <c r="K4" s="38"/>
      <c r="L4" s="29"/>
      <c r="M4" s="29"/>
      <c r="N4" s="29"/>
      <c r="O4" s="39"/>
      <c r="P4" s="40">
        <f t="shared" si="0"/>
        <v>0</v>
      </c>
      <c r="Q4" s="40">
        <f t="shared" ref="Q4:Q67" si="1">IF(E4="NE",(M4*O4*1.5),(M4*O4))</f>
        <v>0</v>
      </c>
      <c r="R4" s="40">
        <f t="shared" ref="R4:R67" si="2">P4+Q4</f>
        <v>0</v>
      </c>
      <c r="S4" s="41"/>
      <c r="T4" s="41"/>
      <c r="U4" s="41"/>
      <c r="V4" s="41"/>
      <c r="W4" s="41"/>
      <c r="X4" s="41"/>
      <c r="Y4" s="33">
        <f t="shared" ref="Y4:Y67" si="3">SUM(R4:X4)</f>
        <v>0</v>
      </c>
    </row>
    <row r="5" spans="1:25" x14ac:dyDescent="0.25">
      <c r="C5" s="34" t="s">
        <v>73</v>
      </c>
      <c r="D5" s="54" t="s">
        <v>25</v>
      </c>
      <c r="E5" s="34"/>
      <c r="F5" s="34"/>
      <c r="H5" s="35"/>
      <c r="I5" s="36"/>
      <c r="J5" s="37"/>
      <c r="K5" s="38"/>
      <c r="L5" s="29"/>
      <c r="M5" s="29"/>
      <c r="N5" s="29"/>
      <c r="O5" s="39"/>
      <c r="P5" s="40">
        <f t="shared" si="0"/>
        <v>0</v>
      </c>
      <c r="Q5" s="40">
        <f t="shared" si="1"/>
        <v>0</v>
      </c>
      <c r="R5" s="40">
        <f t="shared" si="2"/>
        <v>0</v>
      </c>
      <c r="S5" s="41"/>
      <c r="T5" s="41"/>
      <c r="U5" s="41"/>
      <c r="V5" s="41"/>
      <c r="W5" s="41"/>
      <c r="X5" s="41"/>
      <c r="Y5" s="33">
        <f t="shared" si="3"/>
        <v>0</v>
      </c>
    </row>
    <row r="6" spans="1:25" x14ac:dyDescent="0.25">
      <c r="C6" s="34" t="s">
        <v>73</v>
      </c>
      <c r="D6" s="54" t="s">
        <v>26</v>
      </c>
      <c r="E6" s="34"/>
      <c r="F6" s="34"/>
      <c r="H6" s="35"/>
      <c r="I6" s="36"/>
      <c r="J6" s="37"/>
      <c r="K6" s="38"/>
      <c r="L6" s="29"/>
      <c r="M6" s="29"/>
      <c r="N6" s="29"/>
      <c r="O6" s="39"/>
      <c r="P6" s="40">
        <f t="shared" si="0"/>
        <v>0</v>
      </c>
      <c r="Q6" s="40">
        <f t="shared" si="1"/>
        <v>0</v>
      </c>
      <c r="R6" s="40">
        <f t="shared" si="2"/>
        <v>0</v>
      </c>
      <c r="S6" s="41"/>
      <c r="T6" s="41"/>
      <c r="U6" s="41"/>
      <c r="V6" s="41"/>
      <c r="W6" s="41"/>
      <c r="X6" s="41"/>
      <c r="Y6" s="33">
        <f t="shared" si="3"/>
        <v>0</v>
      </c>
    </row>
    <row r="7" spans="1:25" x14ac:dyDescent="0.25">
      <c r="C7" s="34" t="s">
        <v>73</v>
      </c>
      <c r="D7" s="54" t="s">
        <v>27</v>
      </c>
      <c r="E7" s="34"/>
      <c r="F7" s="34"/>
      <c r="H7" s="35"/>
      <c r="I7" s="36"/>
      <c r="J7" s="37"/>
      <c r="K7" s="38"/>
      <c r="L7" s="29"/>
      <c r="M7" s="29"/>
      <c r="N7" s="29"/>
      <c r="O7" s="39"/>
      <c r="P7" s="40">
        <f t="shared" si="0"/>
        <v>0</v>
      </c>
      <c r="Q7" s="40">
        <f t="shared" si="1"/>
        <v>0</v>
      </c>
      <c r="R7" s="40">
        <f t="shared" si="2"/>
        <v>0</v>
      </c>
      <c r="S7" s="41"/>
      <c r="T7" s="41"/>
      <c r="U7" s="41"/>
      <c r="V7" s="41"/>
      <c r="W7" s="41"/>
      <c r="X7" s="41"/>
      <c r="Y7" s="33">
        <f t="shared" si="3"/>
        <v>0</v>
      </c>
    </row>
    <row r="8" spans="1:25" x14ac:dyDescent="0.25">
      <c r="C8" s="34" t="s">
        <v>73</v>
      </c>
      <c r="D8" s="54" t="s">
        <v>28</v>
      </c>
      <c r="E8" s="34"/>
      <c r="F8" s="34"/>
      <c r="H8" s="35"/>
      <c r="I8" s="36"/>
      <c r="J8" s="37"/>
      <c r="K8" s="38"/>
      <c r="L8" s="29"/>
      <c r="M8" s="29"/>
      <c r="N8" s="29"/>
      <c r="O8" s="39"/>
      <c r="P8" s="40">
        <f t="shared" si="0"/>
        <v>0</v>
      </c>
      <c r="Q8" s="40">
        <f t="shared" si="1"/>
        <v>0</v>
      </c>
      <c r="R8" s="40">
        <f t="shared" si="2"/>
        <v>0</v>
      </c>
      <c r="S8" s="41"/>
      <c r="T8" s="41"/>
      <c r="U8" s="41"/>
      <c r="V8" s="41"/>
      <c r="W8" s="41"/>
      <c r="X8" s="41"/>
      <c r="Y8" s="33">
        <f t="shared" si="3"/>
        <v>0</v>
      </c>
    </row>
    <row r="9" spans="1:25" x14ac:dyDescent="0.25">
      <c r="C9" s="34" t="s">
        <v>73</v>
      </c>
      <c r="D9" s="54" t="s">
        <v>29</v>
      </c>
      <c r="E9" s="34"/>
      <c r="F9" s="34"/>
      <c r="H9" s="35"/>
      <c r="I9" s="36"/>
      <c r="J9" s="37"/>
      <c r="K9" s="38"/>
      <c r="L9" s="29"/>
      <c r="M9" s="29"/>
      <c r="N9" s="29"/>
      <c r="O9" s="39"/>
      <c r="P9" s="40">
        <f t="shared" si="0"/>
        <v>0</v>
      </c>
      <c r="Q9" s="40">
        <f t="shared" si="1"/>
        <v>0</v>
      </c>
      <c r="R9" s="40">
        <f t="shared" si="2"/>
        <v>0</v>
      </c>
      <c r="S9" s="41"/>
      <c r="T9" s="41"/>
      <c r="U9" s="41"/>
      <c r="V9" s="41"/>
      <c r="W9" s="41"/>
      <c r="X9" s="41"/>
      <c r="Y9" s="33">
        <f t="shared" si="3"/>
        <v>0</v>
      </c>
    </row>
    <row r="10" spans="1:25" x14ac:dyDescent="0.25">
      <c r="C10" s="34" t="s">
        <v>73</v>
      </c>
      <c r="D10" s="54" t="s">
        <v>17</v>
      </c>
      <c r="E10" s="34"/>
      <c r="F10" s="34"/>
      <c r="H10" s="35"/>
      <c r="I10" s="36"/>
      <c r="J10" s="37"/>
      <c r="K10" s="38"/>
      <c r="L10" s="29"/>
      <c r="M10" s="29"/>
      <c r="N10" s="29"/>
      <c r="O10" s="39"/>
      <c r="P10" s="40">
        <f t="shared" si="0"/>
        <v>0</v>
      </c>
      <c r="Q10" s="40">
        <f t="shared" si="1"/>
        <v>0</v>
      </c>
      <c r="R10" s="40">
        <f t="shared" si="2"/>
        <v>0</v>
      </c>
      <c r="S10" s="41"/>
      <c r="T10" s="41"/>
      <c r="U10" s="41"/>
      <c r="V10" s="41"/>
      <c r="W10" s="41"/>
      <c r="X10" s="41"/>
      <c r="Y10" s="33">
        <f t="shared" si="3"/>
        <v>0</v>
      </c>
    </row>
    <row r="11" spans="1:25" x14ac:dyDescent="0.25">
      <c r="C11" s="34" t="s">
        <v>73</v>
      </c>
      <c r="D11" s="54" t="s">
        <v>30</v>
      </c>
      <c r="E11" s="34"/>
      <c r="F11" s="34"/>
      <c r="H11" s="35"/>
      <c r="I11" s="36"/>
      <c r="J11" s="37"/>
      <c r="K11" s="38"/>
      <c r="L11" s="29"/>
      <c r="M11" s="29"/>
      <c r="N11" s="29"/>
      <c r="O11" s="39"/>
      <c r="P11" s="40">
        <f t="shared" si="0"/>
        <v>0</v>
      </c>
      <c r="Q11" s="40">
        <f t="shared" si="1"/>
        <v>0</v>
      </c>
      <c r="R11" s="40">
        <f t="shared" si="2"/>
        <v>0</v>
      </c>
      <c r="S11" s="41"/>
      <c r="T11" s="41"/>
      <c r="U11" s="41"/>
      <c r="V11" s="41"/>
      <c r="W11" s="41"/>
      <c r="X11" s="41"/>
      <c r="Y11" s="33">
        <f t="shared" si="3"/>
        <v>0</v>
      </c>
    </row>
    <row r="12" spans="1:25" x14ac:dyDescent="0.25">
      <c r="C12" s="34" t="s">
        <v>73</v>
      </c>
      <c r="D12" s="54" t="s">
        <v>31</v>
      </c>
      <c r="E12" s="34"/>
      <c r="F12" s="34"/>
      <c r="H12" s="35"/>
      <c r="I12" s="36"/>
      <c r="J12" s="37"/>
      <c r="K12" s="38"/>
      <c r="L12" s="29"/>
      <c r="M12" s="29"/>
      <c r="N12" s="29"/>
      <c r="O12" s="39"/>
      <c r="P12" s="40">
        <f t="shared" si="0"/>
        <v>0</v>
      </c>
      <c r="Q12" s="40">
        <f t="shared" si="1"/>
        <v>0</v>
      </c>
      <c r="R12" s="40">
        <f t="shared" si="2"/>
        <v>0</v>
      </c>
      <c r="S12" s="41"/>
      <c r="T12" s="41"/>
      <c r="U12" s="41"/>
      <c r="V12" s="41"/>
      <c r="W12" s="41"/>
      <c r="X12" s="41"/>
      <c r="Y12" s="33">
        <f t="shared" si="3"/>
        <v>0</v>
      </c>
    </row>
    <row r="13" spans="1:25" x14ac:dyDescent="0.25">
      <c r="C13" s="34" t="s">
        <v>73</v>
      </c>
      <c r="D13" s="54" t="s">
        <v>32</v>
      </c>
      <c r="E13" s="34"/>
      <c r="F13" s="34"/>
      <c r="H13" s="35"/>
      <c r="I13" s="36"/>
      <c r="J13" s="37"/>
      <c r="K13" s="38"/>
      <c r="L13" s="29"/>
      <c r="M13" s="29"/>
      <c r="N13" s="29"/>
      <c r="O13" s="39"/>
      <c r="P13" s="40">
        <f t="shared" si="0"/>
        <v>0</v>
      </c>
      <c r="Q13" s="40">
        <f t="shared" si="1"/>
        <v>0</v>
      </c>
      <c r="R13" s="40">
        <f t="shared" si="2"/>
        <v>0</v>
      </c>
      <c r="S13" s="41"/>
      <c r="T13" s="41"/>
      <c r="U13" s="41"/>
      <c r="V13" s="41"/>
      <c r="W13" s="41"/>
      <c r="X13" s="41"/>
      <c r="Y13" s="33">
        <f t="shared" si="3"/>
        <v>0</v>
      </c>
    </row>
    <row r="14" spans="1:25" x14ac:dyDescent="0.25">
      <c r="C14" s="34" t="s">
        <v>73</v>
      </c>
      <c r="D14" s="54" t="s">
        <v>33</v>
      </c>
      <c r="E14" s="34"/>
      <c r="F14" s="34"/>
      <c r="H14" s="35"/>
      <c r="I14" s="36"/>
      <c r="J14" s="37"/>
      <c r="K14" s="38"/>
      <c r="L14" s="29"/>
      <c r="M14" s="29"/>
      <c r="N14" s="29"/>
      <c r="O14" s="39"/>
      <c r="P14" s="40">
        <f t="shared" si="0"/>
        <v>0</v>
      </c>
      <c r="Q14" s="40">
        <f t="shared" si="1"/>
        <v>0</v>
      </c>
      <c r="R14" s="40">
        <f t="shared" si="2"/>
        <v>0</v>
      </c>
      <c r="S14" s="41"/>
      <c r="T14" s="41"/>
      <c r="U14" s="41"/>
      <c r="V14" s="41"/>
      <c r="W14" s="41"/>
      <c r="X14" s="41"/>
      <c r="Y14" s="33">
        <f t="shared" si="3"/>
        <v>0</v>
      </c>
    </row>
    <row r="15" spans="1:25" x14ac:dyDescent="0.25">
      <c r="C15" s="34" t="s">
        <v>73</v>
      </c>
      <c r="D15" s="54" t="s">
        <v>34</v>
      </c>
      <c r="E15" s="34"/>
      <c r="F15" s="34"/>
      <c r="H15" s="35"/>
      <c r="I15" s="36"/>
      <c r="J15" s="37"/>
      <c r="K15" s="38"/>
      <c r="L15" s="29"/>
      <c r="M15" s="29"/>
      <c r="N15" s="29"/>
      <c r="O15" s="39"/>
      <c r="P15" s="40">
        <f t="shared" si="0"/>
        <v>0</v>
      </c>
      <c r="Q15" s="40">
        <f t="shared" si="1"/>
        <v>0</v>
      </c>
      <c r="R15" s="40">
        <f t="shared" si="2"/>
        <v>0</v>
      </c>
      <c r="S15" s="41"/>
      <c r="T15" s="41"/>
      <c r="U15" s="41"/>
      <c r="V15" s="41"/>
      <c r="W15" s="41"/>
      <c r="X15" s="41"/>
      <c r="Y15" s="33">
        <f t="shared" si="3"/>
        <v>0</v>
      </c>
    </row>
    <row r="16" spans="1:25" x14ac:dyDescent="0.25">
      <c r="C16" s="34" t="s">
        <v>73</v>
      </c>
      <c r="D16" s="54" t="s">
        <v>35</v>
      </c>
      <c r="E16" s="34"/>
      <c r="F16" s="34"/>
      <c r="H16" s="35"/>
      <c r="I16" s="36"/>
      <c r="J16" s="37"/>
      <c r="K16" s="38"/>
      <c r="L16" s="29"/>
      <c r="M16" s="29"/>
      <c r="N16" s="29"/>
      <c r="O16" s="39"/>
      <c r="P16" s="40">
        <f t="shared" si="0"/>
        <v>0</v>
      </c>
      <c r="Q16" s="40">
        <f t="shared" si="1"/>
        <v>0</v>
      </c>
      <c r="R16" s="40">
        <f t="shared" si="2"/>
        <v>0</v>
      </c>
      <c r="S16" s="41"/>
      <c r="T16" s="41"/>
      <c r="U16" s="41"/>
      <c r="V16" s="41"/>
      <c r="W16" s="41"/>
      <c r="X16" s="41"/>
      <c r="Y16" s="33">
        <f t="shared" si="3"/>
        <v>0</v>
      </c>
    </row>
    <row r="17" spans="3:25" x14ac:dyDescent="0.25">
      <c r="C17" s="34" t="s">
        <v>73</v>
      </c>
      <c r="D17" s="54" t="s">
        <v>36</v>
      </c>
      <c r="E17" s="34"/>
      <c r="F17" s="34"/>
      <c r="H17" s="35"/>
      <c r="I17" s="36"/>
      <c r="J17" s="37"/>
      <c r="K17" s="38"/>
      <c r="L17" s="29"/>
      <c r="M17" s="29"/>
      <c r="N17" s="29"/>
      <c r="O17" s="39"/>
      <c r="P17" s="40">
        <f t="shared" si="0"/>
        <v>0</v>
      </c>
      <c r="Q17" s="40">
        <f t="shared" si="1"/>
        <v>0</v>
      </c>
      <c r="R17" s="40">
        <f t="shared" si="2"/>
        <v>0</v>
      </c>
      <c r="S17" s="41"/>
      <c r="T17" s="41"/>
      <c r="U17" s="41"/>
      <c r="V17" s="41"/>
      <c r="W17" s="41"/>
      <c r="X17" s="41"/>
      <c r="Y17" s="33">
        <f t="shared" si="3"/>
        <v>0</v>
      </c>
    </row>
    <row r="18" spans="3:25" x14ac:dyDescent="0.25">
      <c r="C18" s="34" t="s">
        <v>73</v>
      </c>
      <c r="D18" s="54" t="s">
        <v>37</v>
      </c>
      <c r="E18" s="34"/>
      <c r="F18" s="34"/>
      <c r="H18" s="35"/>
      <c r="I18" s="36"/>
      <c r="J18" s="37"/>
      <c r="K18" s="38"/>
      <c r="L18" s="29"/>
      <c r="M18" s="29"/>
      <c r="N18" s="29"/>
      <c r="O18" s="39"/>
      <c r="P18" s="40">
        <f t="shared" si="0"/>
        <v>0</v>
      </c>
      <c r="Q18" s="40">
        <f t="shared" si="1"/>
        <v>0</v>
      </c>
      <c r="R18" s="40">
        <f t="shared" si="2"/>
        <v>0</v>
      </c>
      <c r="S18" s="41"/>
      <c r="T18" s="41"/>
      <c r="U18" s="41"/>
      <c r="V18" s="41"/>
      <c r="W18" s="41"/>
      <c r="X18" s="41"/>
      <c r="Y18" s="33">
        <f t="shared" si="3"/>
        <v>0</v>
      </c>
    </row>
    <row r="19" spans="3:25" x14ac:dyDescent="0.25">
      <c r="C19" s="34" t="s">
        <v>73</v>
      </c>
      <c r="D19" s="54" t="s">
        <v>38</v>
      </c>
      <c r="E19" s="34"/>
      <c r="F19" s="34"/>
      <c r="H19" s="35"/>
      <c r="I19" s="36"/>
      <c r="J19" s="37"/>
      <c r="K19" s="38"/>
      <c r="L19" s="29"/>
      <c r="M19" s="29"/>
      <c r="N19" s="29"/>
      <c r="O19" s="39"/>
      <c r="P19" s="40">
        <f t="shared" si="0"/>
        <v>0</v>
      </c>
      <c r="Q19" s="40">
        <f t="shared" si="1"/>
        <v>0</v>
      </c>
      <c r="R19" s="40">
        <f t="shared" si="2"/>
        <v>0</v>
      </c>
      <c r="S19" s="41"/>
      <c r="T19" s="41"/>
      <c r="U19" s="41"/>
      <c r="V19" s="41"/>
      <c r="W19" s="41"/>
      <c r="X19" s="41"/>
      <c r="Y19" s="33">
        <f t="shared" si="3"/>
        <v>0</v>
      </c>
    </row>
    <row r="20" spans="3:25" x14ac:dyDescent="0.25">
      <c r="C20" s="34" t="s">
        <v>73</v>
      </c>
      <c r="D20" s="54" t="s">
        <v>39</v>
      </c>
      <c r="E20" s="34"/>
      <c r="F20" s="34"/>
      <c r="H20" s="35"/>
      <c r="I20" s="36"/>
      <c r="J20" s="37"/>
      <c r="K20" s="38"/>
      <c r="L20" s="29"/>
      <c r="M20" s="29"/>
      <c r="N20" s="29"/>
      <c r="O20" s="39"/>
      <c r="P20" s="40">
        <f t="shared" si="0"/>
        <v>0</v>
      </c>
      <c r="Q20" s="40">
        <f t="shared" si="1"/>
        <v>0</v>
      </c>
      <c r="R20" s="40">
        <f t="shared" si="2"/>
        <v>0</v>
      </c>
      <c r="S20" s="41"/>
      <c r="T20" s="41"/>
      <c r="U20" s="41"/>
      <c r="V20" s="41"/>
      <c r="W20" s="41"/>
      <c r="X20" s="41"/>
      <c r="Y20" s="33">
        <f t="shared" si="3"/>
        <v>0</v>
      </c>
    </row>
    <row r="21" spans="3:25" x14ac:dyDescent="0.25">
      <c r="C21" s="34" t="s">
        <v>73</v>
      </c>
      <c r="D21" s="54" t="s">
        <v>40</v>
      </c>
      <c r="E21" s="34"/>
      <c r="F21" s="34"/>
      <c r="H21" s="35"/>
      <c r="I21" s="36"/>
      <c r="J21" s="37"/>
      <c r="K21" s="38"/>
      <c r="L21" s="29"/>
      <c r="M21" s="29"/>
      <c r="N21" s="29"/>
      <c r="O21" s="39"/>
      <c r="P21" s="40">
        <f t="shared" si="0"/>
        <v>0</v>
      </c>
      <c r="Q21" s="40">
        <f t="shared" si="1"/>
        <v>0</v>
      </c>
      <c r="R21" s="40">
        <f t="shared" si="2"/>
        <v>0</v>
      </c>
      <c r="S21" s="41"/>
      <c r="T21" s="41"/>
      <c r="U21" s="41"/>
      <c r="V21" s="41"/>
      <c r="W21" s="41"/>
      <c r="X21" s="41"/>
      <c r="Y21" s="33">
        <f t="shared" si="3"/>
        <v>0</v>
      </c>
    </row>
    <row r="22" spans="3:25" x14ac:dyDescent="0.25">
      <c r="C22" s="34" t="s">
        <v>73</v>
      </c>
      <c r="D22" s="54" t="s">
        <v>41</v>
      </c>
      <c r="E22" s="34"/>
      <c r="F22" s="34"/>
      <c r="G22" s="38"/>
      <c r="H22" s="35"/>
      <c r="I22" s="36"/>
      <c r="J22" s="37"/>
      <c r="K22" s="38"/>
      <c r="L22" s="29"/>
      <c r="M22" s="29"/>
      <c r="N22" s="29"/>
      <c r="O22" s="39"/>
      <c r="P22" s="40">
        <f t="shared" si="0"/>
        <v>0</v>
      </c>
      <c r="Q22" s="40">
        <f t="shared" si="1"/>
        <v>0</v>
      </c>
      <c r="R22" s="40">
        <f t="shared" si="2"/>
        <v>0</v>
      </c>
      <c r="S22" s="41"/>
      <c r="T22" s="41"/>
      <c r="U22" s="41"/>
      <c r="V22" s="41"/>
      <c r="W22" s="41"/>
      <c r="X22" s="41"/>
      <c r="Y22" s="33">
        <f t="shared" si="3"/>
        <v>0</v>
      </c>
    </row>
    <row r="23" spans="3:25" x14ac:dyDescent="0.25">
      <c r="C23" s="34" t="s">
        <v>73</v>
      </c>
      <c r="D23" s="54" t="s">
        <v>42</v>
      </c>
      <c r="E23" s="34"/>
      <c r="F23" s="34"/>
      <c r="G23" s="38"/>
      <c r="H23" s="35"/>
      <c r="I23" s="36"/>
      <c r="J23" s="37"/>
      <c r="K23" s="38"/>
      <c r="L23" s="29"/>
      <c r="M23" s="29"/>
      <c r="N23" s="29"/>
      <c r="O23" s="39"/>
      <c r="P23" s="40">
        <f t="shared" si="0"/>
        <v>0</v>
      </c>
      <c r="Q23" s="40">
        <f t="shared" si="1"/>
        <v>0</v>
      </c>
      <c r="R23" s="40">
        <f t="shared" si="2"/>
        <v>0</v>
      </c>
      <c r="S23" s="41"/>
      <c r="T23" s="41"/>
      <c r="U23" s="41"/>
      <c r="V23" s="41"/>
      <c r="W23" s="41"/>
      <c r="X23" s="41"/>
      <c r="Y23" s="33">
        <f t="shared" si="3"/>
        <v>0</v>
      </c>
    </row>
    <row r="24" spans="3:25" x14ac:dyDescent="0.25">
      <c r="C24" s="34" t="s">
        <v>73</v>
      </c>
      <c r="D24" s="54" t="s">
        <v>43</v>
      </c>
      <c r="E24" s="34"/>
      <c r="F24" s="34"/>
      <c r="H24" s="35"/>
      <c r="I24" s="36"/>
      <c r="J24" s="37"/>
      <c r="K24" s="38"/>
      <c r="L24" s="29"/>
      <c r="M24" s="29"/>
      <c r="N24" s="29"/>
      <c r="O24" s="39"/>
      <c r="P24" s="40">
        <f t="shared" si="0"/>
        <v>0</v>
      </c>
      <c r="Q24" s="40">
        <f t="shared" si="1"/>
        <v>0</v>
      </c>
      <c r="R24" s="40">
        <f t="shared" si="2"/>
        <v>0</v>
      </c>
      <c r="S24" s="41"/>
      <c r="T24" s="41"/>
      <c r="U24" s="41"/>
      <c r="V24" s="41"/>
      <c r="W24" s="41"/>
      <c r="X24" s="41"/>
      <c r="Y24" s="33">
        <f t="shared" si="3"/>
        <v>0</v>
      </c>
    </row>
    <row r="25" spans="3:25" x14ac:dyDescent="0.25">
      <c r="C25" s="34" t="s">
        <v>73</v>
      </c>
      <c r="D25" s="54" t="s">
        <v>44</v>
      </c>
      <c r="E25" s="34"/>
      <c r="F25" s="34"/>
      <c r="H25" s="35"/>
      <c r="I25" s="36"/>
      <c r="J25" s="37"/>
      <c r="K25" s="38"/>
      <c r="L25" s="29"/>
      <c r="M25" s="29"/>
      <c r="N25" s="29"/>
      <c r="O25" s="39"/>
      <c r="P25" s="40">
        <f t="shared" si="0"/>
        <v>0</v>
      </c>
      <c r="Q25" s="40">
        <f t="shared" si="1"/>
        <v>0</v>
      </c>
      <c r="R25" s="40">
        <f t="shared" si="2"/>
        <v>0</v>
      </c>
      <c r="S25" s="41"/>
      <c r="T25" s="41"/>
      <c r="U25" s="41"/>
      <c r="V25" s="41"/>
      <c r="W25" s="41"/>
      <c r="X25" s="41"/>
      <c r="Y25" s="33">
        <f t="shared" si="3"/>
        <v>0</v>
      </c>
    </row>
    <row r="26" spans="3:25" x14ac:dyDescent="0.25">
      <c r="C26" s="34" t="s">
        <v>73</v>
      </c>
      <c r="D26" s="54" t="s">
        <v>45</v>
      </c>
      <c r="E26" s="34"/>
      <c r="F26" s="34"/>
      <c r="H26" s="35"/>
      <c r="I26" s="36"/>
      <c r="J26" s="37"/>
      <c r="K26" s="38"/>
      <c r="L26" s="29"/>
      <c r="M26" s="29"/>
      <c r="N26" s="29"/>
      <c r="O26" s="39"/>
      <c r="P26" s="40">
        <f t="shared" si="0"/>
        <v>0</v>
      </c>
      <c r="Q26" s="40">
        <f t="shared" si="1"/>
        <v>0</v>
      </c>
      <c r="R26" s="40">
        <f t="shared" si="2"/>
        <v>0</v>
      </c>
      <c r="S26" s="41"/>
      <c r="T26" s="41"/>
      <c r="U26" s="41"/>
      <c r="V26" s="41"/>
      <c r="W26" s="41"/>
      <c r="X26" s="41"/>
      <c r="Y26" s="33">
        <f t="shared" si="3"/>
        <v>0</v>
      </c>
    </row>
    <row r="27" spans="3:25" x14ac:dyDescent="0.25">
      <c r="C27" s="34" t="s">
        <v>73</v>
      </c>
      <c r="D27" s="54" t="s">
        <v>46</v>
      </c>
      <c r="E27" s="34"/>
      <c r="F27" s="34"/>
      <c r="H27" s="35"/>
      <c r="I27" s="36"/>
      <c r="J27" s="37"/>
      <c r="K27" s="38"/>
      <c r="L27" s="29"/>
      <c r="M27" s="29"/>
      <c r="N27" s="29"/>
      <c r="O27" s="39"/>
      <c r="P27" s="40">
        <f t="shared" si="0"/>
        <v>0</v>
      </c>
      <c r="Q27" s="40">
        <f t="shared" si="1"/>
        <v>0</v>
      </c>
      <c r="R27" s="40">
        <f t="shared" si="2"/>
        <v>0</v>
      </c>
      <c r="S27" s="41"/>
      <c r="T27" s="41"/>
      <c r="U27" s="41"/>
      <c r="V27" s="41"/>
      <c r="W27" s="41"/>
      <c r="X27" s="41"/>
      <c r="Y27" s="33">
        <f t="shared" si="3"/>
        <v>0</v>
      </c>
    </row>
    <row r="28" spans="3:25" x14ac:dyDescent="0.25">
      <c r="C28" s="34" t="s">
        <v>73</v>
      </c>
      <c r="D28" s="54" t="s">
        <v>47</v>
      </c>
      <c r="E28" s="34"/>
      <c r="F28" s="34"/>
      <c r="H28" s="35"/>
      <c r="I28" s="36"/>
      <c r="J28" s="37"/>
      <c r="K28" s="38"/>
      <c r="L28" s="29"/>
      <c r="M28" s="29"/>
      <c r="N28" s="29"/>
      <c r="O28" s="39"/>
      <c r="P28" s="40">
        <f t="shared" si="0"/>
        <v>0</v>
      </c>
      <c r="Q28" s="40">
        <f t="shared" si="1"/>
        <v>0</v>
      </c>
      <c r="R28" s="40">
        <f t="shared" si="2"/>
        <v>0</v>
      </c>
      <c r="S28" s="41"/>
      <c r="T28" s="41"/>
      <c r="U28" s="41"/>
      <c r="V28" s="41"/>
      <c r="W28" s="41"/>
      <c r="X28" s="41"/>
      <c r="Y28" s="33">
        <f t="shared" si="3"/>
        <v>0</v>
      </c>
    </row>
    <row r="29" spans="3:25" x14ac:dyDescent="0.25">
      <c r="C29" s="34" t="s">
        <v>73</v>
      </c>
      <c r="D29" s="54" t="s">
        <v>48</v>
      </c>
      <c r="E29" s="34"/>
      <c r="F29" s="34"/>
      <c r="H29" s="35"/>
      <c r="I29" s="36"/>
      <c r="J29" s="37"/>
      <c r="K29" s="38"/>
      <c r="L29" s="29"/>
      <c r="M29" s="29"/>
      <c r="N29" s="29"/>
      <c r="O29" s="39"/>
      <c r="P29" s="40">
        <f t="shared" si="0"/>
        <v>0</v>
      </c>
      <c r="Q29" s="40">
        <f t="shared" si="1"/>
        <v>0</v>
      </c>
      <c r="R29" s="40">
        <f t="shared" si="2"/>
        <v>0</v>
      </c>
      <c r="S29" s="41"/>
      <c r="T29" s="41"/>
      <c r="U29" s="41"/>
      <c r="V29" s="41"/>
      <c r="W29" s="41"/>
      <c r="X29" s="41"/>
      <c r="Y29" s="33">
        <f t="shared" si="3"/>
        <v>0</v>
      </c>
    </row>
    <row r="30" spans="3:25" x14ac:dyDescent="0.25">
      <c r="C30" s="34" t="s">
        <v>73</v>
      </c>
      <c r="D30" s="54" t="s">
        <v>49</v>
      </c>
      <c r="E30" s="34"/>
      <c r="F30" s="34"/>
      <c r="H30" s="35"/>
      <c r="I30" s="36"/>
      <c r="J30" s="37"/>
      <c r="K30" s="38"/>
      <c r="L30" s="29"/>
      <c r="M30" s="29"/>
      <c r="N30" s="29"/>
      <c r="O30" s="39"/>
      <c r="P30" s="40">
        <f t="shared" si="0"/>
        <v>0</v>
      </c>
      <c r="Q30" s="40">
        <f t="shared" si="1"/>
        <v>0</v>
      </c>
      <c r="R30" s="40">
        <f t="shared" si="2"/>
        <v>0</v>
      </c>
      <c r="S30" s="41"/>
      <c r="T30" s="41"/>
      <c r="U30" s="41"/>
      <c r="V30" s="41"/>
      <c r="W30" s="41"/>
      <c r="X30" s="41"/>
      <c r="Y30" s="33">
        <f t="shared" si="3"/>
        <v>0</v>
      </c>
    </row>
    <row r="31" spans="3:25" x14ac:dyDescent="0.25">
      <c r="C31" s="34" t="s">
        <v>73</v>
      </c>
      <c r="D31" s="54" t="s">
        <v>50</v>
      </c>
      <c r="E31" s="34"/>
      <c r="F31" s="34"/>
      <c r="H31" s="35"/>
      <c r="I31" s="36"/>
      <c r="J31" s="37"/>
      <c r="K31" s="38"/>
      <c r="L31" s="29"/>
      <c r="M31" s="29"/>
      <c r="N31" s="29"/>
      <c r="O31" s="39"/>
      <c r="P31" s="40">
        <f t="shared" si="0"/>
        <v>0</v>
      </c>
      <c r="Q31" s="40">
        <f t="shared" si="1"/>
        <v>0</v>
      </c>
      <c r="R31" s="40">
        <f t="shared" si="2"/>
        <v>0</v>
      </c>
      <c r="S31" s="41"/>
      <c r="T31" s="41"/>
      <c r="U31" s="41"/>
      <c r="V31" s="41"/>
      <c r="W31" s="41"/>
      <c r="X31" s="41"/>
      <c r="Y31" s="33">
        <f t="shared" si="3"/>
        <v>0</v>
      </c>
    </row>
    <row r="32" spans="3:25" x14ac:dyDescent="0.25">
      <c r="C32" s="34" t="s">
        <v>73</v>
      </c>
      <c r="D32" s="54" t="s">
        <v>51</v>
      </c>
      <c r="E32" s="34"/>
      <c r="F32" s="34"/>
      <c r="H32" s="35"/>
      <c r="I32" s="36"/>
      <c r="J32" s="37"/>
      <c r="K32" s="38"/>
      <c r="L32" s="29"/>
      <c r="M32" s="29"/>
      <c r="N32" s="29"/>
      <c r="O32" s="39"/>
      <c r="P32" s="40">
        <f t="shared" si="0"/>
        <v>0</v>
      </c>
      <c r="Q32" s="40">
        <f t="shared" si="1"/>
        <v>0</v>
      </c>
      <c r="R32" s="40">
        <f t="shared" si="2"/>
        <v>0</v>
      </c>
      <c r="S32" s="41"/>
      <c r="T32" s="41"/>
      <c r="U32" s="41"/>
      <c r="V32" s="41"/>
      <c r="W32" s="41"/>
      <c r="X32" s="41"/>
      <c r="Y32" s="33">
        <f t="shared" si="3"/>
        <v>0</v>
      </c>
    </row>
    <row r="33" spans="3:25" x14ac:dyDescent="0.25">
      <c r="C33" s="34" t="s">
        <v>73</v>
      </c>
      <c r="D33" s="54" t="s">
        <v>52</v>
      </c>
      <c r="E33" s="34"/>
      <c r="F33" s="34"/>
      <c r="H33" s="35"/>
      <c r="I33" s="36"/>
      <c r="J33" s="37"/>
      <c r="K33" s="38"/>
      <c r="L33" s="29"/>
      <c r="M33" s="29"/>
      <c r="N33" s="29"/>
      <c r="O33" s="39"/>
      <c r="P33" s="40">
        <f t="shared" si="0"/>
        <v>0</v>
      </c>
      <c r="Q33" s="40">
        <f t="shared" si="1"/>
        <v>0</v>
      </c>
      <c r="R33" s="40">
        <f t="shared" si="2"/>
        <v>0</v>
      </c>
      <c r="S33" s="41"/>
      <c r="T33" s="41"/>
      <c r="U33" s="41"/>
      <c r="V33" s="41"/>
      <c r="W33" s="41"/>
      <c r="X33" s="41"/>
      <c r="Y33" s="33">
        <f t="shared" si="3"/>
        <v>0</v>
      </c>
    </row>
    <row r="34" spans="3:25" x14ac:dyDescent="0.25">
      <c r="C34" s="34" t="s">
        <v>73</v>
      </c>
      <c r="D34" s="54" t="s">
        <v>14</v>
      </c>
      <c r="E34" s="34"/>
      <c r="F34" s="34"/>
      <c r="H34" s="35"/>
      <c r="I34" s="36"/>
      <c r="J34" s="37"/>
      <c r="K34" s="38"/>
      <c r="L34" s="29"/>
      <c r="M34" s="29"/>
      <c r="N34" s="29"/>
      <c r="O34" s="39"/>
      <c r="P34" s="40">
        <f t="shared" si="0"/>
        <v>0</v>
      </c>
      <c r="Q34" s="40">
        <f t="shared" si="1"/>
        <v>0</v>
      </c>
      <c r="R34" s="40">
        <f t="shared" si="2"/>
        <v>0</v>
      </c>
      <c r="S34" s="41"/>
      <c r="T34" s="41"/>
      <c r="U34" s="41"/>
      <c r="V34" s="41"/>
      <c r="W34" s="41"/>
      <c r="X34" s="41"/>
      <c r="Y34" s="33">
        <f t="shared" si="3"/>
        <v>0</v>
      </c>
    </row>
    <row r="35" spans="3:25" x14ac:dyDescent="0.25">
      <c r="C35" s="34" t="s">
        <v>73</v>
      </c>
      <c r="D35" s="54" t="s">
        <v>53</v>
      </c>
      <c r="E35" s="34"/>
      <c r="F35" s="34"/>
      <c r="H35" s="35"/>
      <c r="I35" s="36"/>
      <c r="J35" s="37"/>
      <c r="K35" s="38"/>
      <c r="L35" s="29"/>
      <c r="M35" s="29"/>
      <c r="N35" s="29"/>
      <c r="O35" s="39"/>
      <c r="P35" s="40">
        <f t="shared" si="0"/>
        <v>0</v>
      </c>
      <c r="Q35" s="40">
        <f t="shared" si="1"/>
        <v>0</v>
      </c>
      <c r="R35" s="40">
        <f t="shared" si="2"/>
        <v>0</v>
      </c>
      <c r="S35" s="41"/>
      <c r="T35" s="41"/>
      <c r="U35" s="41"/>
      <c r="V35" s="41"/>
      <c r="W35" s="41"/>
      <c r="X35" s="41"/>
      <c r="Y35" s="33">
        <f t="shared" si="3"/>
        <v>0</v>
      </c>
    </row>
    <row r="36" spans="3:25" x14ac:dyDescent="0.25">
      <c r="C36" s="34" t="s">
        <v>73</v>
      </c>
      <c r="D36" s="54" t="s">
        <v>54</v>
      </c>
      <c r="E36" s="34"/>
      <c r="F36" s="34"/>
      <c r="H36" s="35"/>
      <c r="I36" s="36"/>
      <c r="J36" s="37"/>
      <c r="K36" s="38"/>
      <c r="L36" s="29"/>
      <c r="M36" s="29"/>
      <c r="N36" s="29"/>
      <c r="O36" s="39"/>
      <c r="P36" s="40">
        <f t="shared" si="0"/>
        <v>0</v>
      </c>
      <c r="Q36" s="40">
        <f t="shared" si="1"/>
        <v>0</v>
      </c>
      <c r="R36" s="40">
        <f t="shared" si="2"/>
        <v>0</v>
      </c>
      <c r="S36" s="41"/>
      <c r="T36" s="41"/>
      <c r="U36" s="41"/>
      <c r="V36" s="41"/>
      <c r="W36" s="41"/>
      <c r="X36" s="41"/>
      <c r="Y36" s="33">
        <f t="shared" si="3"/>
        <v>0</v>
      </c>
    </row>
    <row r="37" spans="3:25" x14ac:dyDescent="0.25">
      <c r="C37" s="34" t="s">
        <v>73</v>
      </c>
      <c r="D37" s="54" t="s">
        <v>55</v>
      </c>
      <c r="E37" s="34"/>
      <c r="F37" s="34"/>
      <c r="H37" s="35"/>
      <c r="I37" s="36"/>
      <c r="J37" s="37"/>
      <c r="K37" s="38"/>
      <c r="L37" s="29"/>
      <c r="M37" s="29"/>
      <c r="N37" s="29"/>
      <c r="O37" s="39"/>
      <c r="P37" s="40">
        <f t="shared" si="0"/>
        <v>0</v>
      </c>
      <c r="Q37" s="40">
        <f t="shared" si="1"/>
        <v>0</v>
      </c>
      <c r="R37" s="40">
        <f t="shared" si="2"/>
        <v>0</v>
      </c>
      <c r="S37" s="41"/>
      <c r="T37" s="41"/>
      <c r="U37" s="41"/>
      <c r="V37" s="41"/>
      <c r="W37" s="41"/>
      <c r="X37" s="41"/>
      <c r="Y37" s="33">
        <f t="shared" si="3"/>
        <v>0</v>
      </c>
    </row>
    <row r="38" spans="3:25" x14ac:dyDescent="0.25">
      <c r="C38" s="34" t="s">
        <v>73</v>
      </c>
      <c r="D38" s="54" t="s">
        <v>56</v>
      </c>
      <c r="E38" s="34"/>
      <c r="F38" s="34"/>
      <c r="H38" s="35"/>
      <c r="I38" s="36"/>
      <c r="J38" s="37"/>
      <c r="K38" s="38"/>
      <c r="L38" s="29"/>
      <c r="M38" s="29"/>
      <c r="N38" s="29"/>
      <c r="O38" s="39"/>
      <c r="P38" s="40">
        <f t="shared" si="0"/>
        <v>0</v>
      </c>
      <c r="Q38" s="40">
        <f t="shared" si="1"/>
        <v>0</v>
      </c>
      <c r="R38" s="40">
        <f t="shared" si="2"/>
        <v>0</v>
      </c>
      <c r="S38" s="41"/>
      <c r="T38" s="41"/>
      <c r="U38" s="41"/>
      <c r="V38" s="41"/>
      <c r="W38" s="41"/>
      <c r="X38" s="41"/>
      <c r="Y38" s="33">
        <f t="shared" si="3"/>
        <v>0</v>
      </c>
    </row>
    <row r="39" spans="3:25" x14ac:dyDescent="0.25">
      <c r="D39" s="69"/>
      <c r="E39" s="34"/>
      <c r="F39" s="34"/>
      <c r="H39" s="35"/>
      <c r="I39" s="36"/>
      <c r="J39" s="37"/>
      <c r="K39" s="38"/>
      <c r="L39" s="29"/>
      <c r="M39" s="29"/>
      <c r="N39" s="29"/>
      <c r="O39" s="39"/>
      <c r="P39" s="40">
        <f t="shared" si="0"/>
        <v>0</v>
      </c>
      <c r="Q39" s="40">
        <f t="shared" si="1"/>
        <v>0</v>
      </c>
      <c r="R39" s="40">
        <f t="shared" si="2"/>
        <v>0</v>
      </c>
      <c r="S39" s="41"/>
      <c r="T39" s="41"/>
      <c r="U39" s="41"/>
      <c r="V39" s="41"/>
      <c r="W39" s="41"/>
      <c r="X39" s="41"/>
      <c r="Y39" s="33">
        <f t="shared" si="3"/>
        <v>0</v>
      </c>
    </row>
    <row r="40" spans="3:25" x14ac:dyDescent="0.25">
      <c r="D40" s="69"/>
      <c r="E40" s="34"/>
      <c r="F40" s="34"/>
      <c r="H40" s="35"/>
      <c r="I40" s="36"/>
      <c r="J40" s="37"/>
      <c r="K40" s="38"/>
      <c r="L40" s="29"/>
      <c r="M40" s="29"/>
      <c r="N40" s="29"/>
      <c r="O40" s="39"/>
      <c r="P40" s="40">
        <f t="shared" si="0"/>
        <v>0</v>
      </c>
      <c r="Q40" s="40">
        <f t="shared" si="1"/>
        <v>0</v>
      </c>
      <c r="R40" s="40">
        <f t="shared" si="2"/>
        <v>0</v>
      </c>
      <c r="S40" s="41"/>
      <c r="T40" s="41"/>
      <c r="U40" s="41"/>
      <c r="V40" s="41"/>
      <c r="W40" s="41"/>
      <c r="X40" s="41"/>
      <c r="Y40" s="33">
        <f t="shared" si="3"/>
        <v>0</v>
      </c>
    </row>
    <row r="41" spans="3:25" x14ac:dyDescent="0.25">
      <c r="D41" s="69"/>
      <c r="E41" s="34"/>
      <c r="F41" s="34"/>
      <c r="H41" s="35"/>
      <c r="I41" s="36"/>
      <c r="J41" s="37"/>
      <c r="K41" s="38"/>
      <c r="L41" s="29"/>
      <c r="M41" s="29"/>
      <c r="N41" s="29"/>
      <c r="O41" s="39"/>
      <c r="P41" s="40">
        <f t="shared" si="0"/>
        <v>0</v>
      </c>
      <c r="Q41" s="40">
        <f t="shared" si="1"/>
        <v>0</v>
      </c>
      <c r="R41" s="40">
        <f t="shared" si="2"/>
        <v>0</v>
      </c>
      <c r="S41" s="41"/>
      <c r="T41" s="41"/>
      <c r="U41" s="41"/>
      <c r="V41" s="41"/>
      <c r="W41" s="41"/>
      <c r="X41" s="41"/>
      <c r="Y41" s="33">
        <f t="shared" si="3"/>
        <v>0</v>
      </c>
    </row>
    <row r="42" spans="3:25" x14ac:dyDescent="0.25">
      <c r="D42" s="69"/>
      <c r="E42" s="34"/>
      <c r="F42" s="34"/>
      <c r="H42" s="35"/>
      <c r="I42" s="36"/>
      <c r="J42" s="37"/>
      <c r="K42" s="38"/>
      <c r="L42" s="29"/>
      <c r="M42" s="29"/>
      <c r="N42" s="29"/>
      <c r="O42" s="39"/>
      <c r="P42" s="40">
        <f t="shared" si="0"/>
        <v>0</v>
      </c>
      <c r="Q42" s="40">
        <f t="shared" si="1"/>
        <v>0</v>
      </c>
      <c r="R42" s="40">
        <f t="shared" si="2"/>
        <v>0</v>
      </c>
      <c r="S42" s="41"/>
      <c r="T42" s="41"/>
      <c r="U42" s="41"/>
      <c r="V42" s="41"/>
      <c r="W42" s="41"/>
      <c r="X42" s="41"/>
      <c r="Y42" s="33">
        <f t="shared" si="3"/>
        <v>0</v>
      </c>
    </row>
    <row r="43" spans="3:25" x14ac:dyDescent="0.25">
      <c r="D43" s="69"/>
      <c r="E43" s="34"/>
      <c r="F43" s="34"/>
      <c r="H43" s="35"/>
      <c r="I43" s="36"/>
      <c r="J43" s="37"/>
      <c r="K43" s="38"/>
      <c r="L43" s="29"/>
      <c r="M43" s="29"/>
      <c r="N43" s="29"/>
      <c r="O43" s="39"/>
      <c r="P43" s="40">
        <f t="shared" si="0"/>
        <v>0</v>
      </c>
      <c r="Q43" s="40">
        <f t="shared" si="1"/>
        <v>0</v>
      </c>
      <c r="R43" s="40">
        <f t="shared" si="2"/>
        <v>0</v>
      </c>
      <c r="S43" s="41"/>
      <c r="T43" s="41"/>
      <c r="U43" s="41"/>
      <c r="V43" s="41"/>
      <c r="W43" s="41"/>
      <c r="X43" s="41"/>
      <c r="Y43" s="33">
        <f t="shared" si="3"/>
        <v>0</v>
      </c>
    </row>
    <row r="44" spans="3:25" x14ac:dyDescent="0.25">
      <c r="D44" s="69"/>
      <c r="E44" s="34"/>
      <c r="F44" s="34"/>
      <c r="H44" s="35"/>
      <c r="I44" s="36"/>
      <c r="J44" s="37"/>
      <c r="K44" s="38"/>
      <c r="L44" s="29"/>
      <c r="M44" s="29"/>
      <c r="N44" s="29"/>
      <c r="O44" s="39"/>
      <c r="P44" s="40">
        <f t="shared" si="0"/>
        <v>0</v>
      </c>
      <c r="Q44" s="40">
        <f t="shared" si="1"/>
        <v>0</v>
      </c>
      <c r="R44" s="40">
        <f t="shared" si="2"/>
        <v>0</v>
      </c>
      <c r="S44" s="41"/>
      <c r="T44" s="41"/>
      <c r="U44" s="41"/>
      <c r="V44" s="41"/>
      <c r="W44" s="41"/>
      <c r="X44" s="41"/>
      <c r="Y44" s="33">
        <f t="shared" si="3"/>
        <v>0</v>
      </c>
    </row>
    <row r="45" spans="3:25" x14ac:dyDescent="0.25">
      <c r="D45" s="69"/>
      <c r="E45" s="34"/>
      <c r="F45" s="34"/>
      <c r="H45" s="35"/>
      <c r="I45" s="36"/>
      <c r="J45" s="37"/>
      <c r="K45" s="38"/>
      <c r="L45" s="29"/>
      <c r="M45" s="29"/>
      <c r="N45" s="29"/>
      <c r="O45" s="39"/>
      <c r="P45" s="40">
        <f t="shared" si="0"/>
        <v>0</v>
      </c>
      <c r="Q45" s="40">
        <f t="shared" si="1"/>
        <v>0</v>
      </c>
      <c r="R45" s="40">
        <f t="shared" si="2"/>
        <v>0</v>
      </c>
      <c r="S45" s="41"/>
      <c r="T45" s="41"/>
      <c r="U45" s="41"/>
      <c r="V45" s="41"/>
      <c r="W45" s="41"/>
      <c r="X45" s="41"/>
      <c r="Y45" s="33">
        <f t="shared" si="3"/>
        <v>0</v>
      </c>
    </row>
    <row r="46" spans="3:25" x14ac:dyDescent="0.25">
      <c r="D46" s="69"/>
      <c r="E46" s="34"/>
      <c r="F46" s="34"/>
      <c r="H46" s="35"/>
      <c r="I46" s="36"/>
      <c r="J46" s="37"/>
      <c r="K46" s="38"/>
      <c r="L46" s="29"/>
      <c r="M46" s="29"/>
      <c r="N46" s="29"/>
      <c r="O46" s="39"/>
      <c r="P46" s="40">
        <f t="shared" si="0"/>
        <v>0</v>
      </c>
      <c r="Q46" s="40">
        <f t="shared" si="1"/>
        <v>0</v>
      </c>
      <c r="R46" s="40">
        <f t="shared" si="2"/>
        <v>0</v>
      </c>
      <c r="S46" s="41"/>
      <c r="T46" s="41"/>
      <c r="U46" s="41"/>
      <c r="V46" s="41"/>
      <c r="W46" s="41"/>
      <c r="X46" s="41"/>
      <c r="Y46" s="33">
        <f t="shared" si="3"/>
        <v>0</v>
      </c>
    </row>
    <row r="47" spans="3:25" x14ac:dyDescent="0.25">
      <c r="D47" s="69"/>
      <c r="E47" s="34"/>
      <c r="F47" s="34"/>
      <c r="H47" s="35"/>
      <c r="I47" s="36"/>
      <c r="J47" s="37"/>
      <c r="K47" s="38"/>
      <c r="L47" s="29"/>
      <c r="M47" s="29"/>
      <c r="N47" s="29"/>
      <c r="O47" s="39"/>
      <c r="P47" s="40">
        <f t="shared" si="0"/>
        <v>0</v>
      </c>
      <c r="Q47" s="40">
        <f t="shared" si="1"/>
        <v>0</v>
      </c>
      <c r="R47" s="40">
        <f t="shared" si="2"/>
        <v>0</v>
      </c>
      <c r="S47" s="41"/>
      <c r="T47" s="41"/>
      <c r="U47" s="41"/>
      <c r="V47" s="41"/>
      <c r="W47" s="41"/>
      <c r="X47" s="41"/>
      <c r="Y47" s="33">
        <f t="shared" si="3"/>
        <v>0</v>
      </c>
    </row>
    <row r="48" spans="3:25" x14ac:dyDescent="0.25">
      <c r="D48" s="69"/>
      <c r="E48" s="34"/>
      <c r="F48" s="34"/>
      <c r="H48" s="35"/>
      <c r="I48" s="36"/>
      <c r="J48" s="37"/>
      <c r="K48" s="38"/>
      <c r="L48" s="29"/>
      <c r="M48" s="29"/>
      <c r="N48" s="29"/>
      <c r="O48" s="39"/>
      <c r="P48" s="40">
        <f t="shared" si="0"/>
        <v>0</v>
      </c>
      <c r="Q48" s="40">
        <f t="shared" si="1"/>
        <v>0</v>
      </c>
      <c r="R48" s="40">
        <f t="shared" si="2"/>
        <v>0</v>
      </c>
      <c r="S48" s="41"/>
      <c r="T48" s="41"/>
      <c r="U48" s="41"/>
      <c r="V48" s="41"/>
      <c r="W48" s="41"/>
      <c r="X48" s="41"/>
      <c r="Y48" s="33">
        <f t="shared" si="3"/>
        <v>0</v>
      </c>
    </row>
    <row r="49" spans="4:25" x14ac:dyDescent="0.25">
      <c r="D49" s="69"/>
      <c r="E49" s="34"/>
      <c r="F49" s="34"/>
      <c r="H49" s="35"/>
      <c r="I49" s="36"/>
      <c r="J49" s="37"/>
      <c r="K49" s="38"/>
      <c r="L49" s="29"/>
      <c r="M49" s="29"/>
      <c r="N49" s="29"/>
      <c r="O49" s="39"/>
      <c r="P49" s="40">
        <f t="shared" si="0"/>
        <v>0</v>
      </c>
      <c r="Q49" s="40">
        <f t="shared" si="1"/>
        <v>0</v>
      </c>
      <c r="R49" s="40">
        <f t="shared" si="2"/>
        <v>0</v>
      </c>
      <c r="S49" s="41"/>
      <c r="T49" s="41"/>
      <c r="U49" s="41"/>
      <c r="V49" s="41"/>
      <c r="W49" s="41"/>
      <c r="X49" s="41"/>
      <c r="Y49" s="33">
        <f t="shared" si="3"/>
        <v>0</v>
      </c>
    </row>
    <row r="50" spans="4:25" x14ac:dyDescent="0.25">
      <c r="D50" s="69"/>
      <c r="E50" s="34"/>
      <c r="F50" s="34"/>
      <c r="H50" s="35"/>
      <c r="I50" s="36"/>
      <c r="J50" s="37"/>
      <c r="K50" s="38"/>
      <c r="L50" s="29"/>
      <c r="M50" s="29"/>
      <c r="N50" s="29"/>
      <c r="O50" s="39"/>
      <c r="P50" s="40">
        <f t="shared" si="0"/>
        <v>0</v>
      </c>
      <c r="Q50" s="40">
        <f t="shared" si="1"/>
        <v>0</v>
      </c>
      <c r="R50" s="40">
        <f t="shared" si="2"/>
        <v>0</v>
      </c>
      <c r="S50" s="41"/>
      <c r="T50" s="41"/>
      <c r="U50" s="41"/>
      <c r="V50" s="41"/>
      <c r="W50" s="41"/>
      <c r="X50" s="41"/>
      <c r="Y50" s="33">
        <f t="shared" si="3"/>
        <v>0</v>
      </c>
    </row>
    <row r="51" spans="4:25" x14ac:dyDescent="0.25">
      <c r="D51" s="69"/>
      <c r="E51" s="34"/>
      <c r="F51" s="34"/>
      <c r="H51" s="35"/>
      <c r="I51" s="36"/>
      <c r="J51" s="37"/>
      <c r="K51" s="38"/>
      <c r="L51" s="29"/>
      <c r="M51" s="29"/>
      <c r="N51" s="29"/>
      <c r="O51" s="39"/>
      <c r="P51" s="40">
        <f t="shared" si="0"/>
        <v>0</v>
      </c>
      <c r="Q51" s="40">
        <f t="shared" si="1"/>
        <v>0</v>
      </c>
      <c r="R51" s="40">
        <f t="shared" si="2"/>
        <v>0</v>
      </c>
      <c r="S51" s="41"/>
      <c r="T51" s="41"/>
      <c r="U51" s="41"/>
      <c r="V51" s="41"/>
      <c r="W51" s="41"/>
      <c r="X51" s="41"/>
      <c r="Y51" s="33">
        <f t="shared" si="3"/>
        <v>0</v>
      </c>
    </row>
    <row r="52" spans="4:25" x14ac:dyDescent="0.25">
      <c r="D52" s="69"/>
      <c r="E52" s="34"/>
      <c r="F52" s="34"/>
      <c r="H52" s="35"/>
      <c r="I52" s="36"/>
      <c r="J52" s="37"/>
      <c r="K52" s="38"/>
      <c r="L52" s="29"/>
      <c r="M52" s="29"/>
      <c r="N52" s="29"/>
      <c r="O52" s="39"/>
      <c r="P52" s="40">
        <f t="shared" si="0"/>
        <v>0</v>
      </c>
      <c r="Q52" s="40">
        <f t="shared" si="1"/>
        <v>0</v>
      </c>
      <c r="R52" s="40">
        <f t="shared" si="2"/>
        <v>0</v>
      </c>
      <c r="S52" s="41"/>
      <c r="T52" s="41"/>
      <c r="U52" s="41"/>
      <c r="V52" s="41"/>
      <c r="W52" s="41"/>
      <c r="X52" s="41"/>
      <c r="Y52" s="33">
        <f t="shared" si="3"/>
        <v>0</v>
      </c>
    </row>
    <row r="53" spans="4:25" x14ac:dyDescent="0.25">
      <c r="D53" s="69"/>
      <c r="E53" s="34"/>
      <c r="F53" s="34"/>
      <c r="H53" s="35"/>
      <c r="I53" s="36"/>
      <c r="J53" s="37"/>
      <c r="K53" s="38"/>
      <c r="L53" s="29"/>
      <c r="M53" s="29"/>
      <c r="N53" s="29"/>
      <c r="O53" s="39"/>
      <c r="P53" s="40">
        <f t="shared" si="0"/>
        <v>0</v>
      </c>
      <c r="Q53" s="40">
        <f t="shared" si="1"/>
        <v>0</v>
      </c>
      <c r="R53" s="40">
        <f t="shared" si="2"/>
        <v>0</v>
      </c>
      <c r="S53" s="41"/>
      <c r="T53" s="41"/>
      <c r="U53" s="41"/>
      <c r="V53" s="41"/>
      <c r="W53" s="41"/>
      <c r="X53" s="41"/>
      <c r="Y53" s="33">
        <f t="shared" si="3"/>
        <v>0</v>
      </c>
    </row>
    <row r="54" spans="4:25" x14ac:dyDescent="0.25">
      <c r="D54" s="69"/>
      <c r="E54" s="34"/>
      <c r="F54" s="34"/>
      <c r="H54" s="35"/>
      <c r="I54" s="36"/>
      <c r="J54" s="37"/>
      <c r="K54" s="38"/>
      <c r="L54" s="29"/>
      <c r="M54" s="29"/>
      <c r="N54" s="29"/>
      <c r="O54" s="39"/>
      <c r="P54" s="40">
        <f t="shared" si="0"/>
        <v>0</v>
      </c>
      <c r="Q54" s="40">
        <f t="shared" si="1"/>
        <v>0</v>
      </c>
      <c r="R54" s="40">
        <f t="shared" si="2"/>
        <v>0</v>
      </c>
      <c r="S54" s="41"/>
      <c r="T54" s="41"/>
      <c r="U54" s="41"/>
      <c r="V54" s="41"/>
      <c r="W54" s="41"/>
      <c r="X54" s="41"/>
      <c r="Y54" s="33">
        <f t="shared" si="3"/>
        <v>0</v>
      </c>
    </row>
    <row r="55" spans="4:25" x14ac:dyDescent="0.25">
      <c r="D55" s="69"/>
      <c r="E55" s="34"/>
      <c r="F55" s="34"/>
      <c r="H55" s="35"/>
      <c r="I55" s="36"/>
      <c r="J55" s="37"/>
      <c r="K55" s="38"/>
      <c r="L55" s="29"/>
      <c r="M55" s="29"/>
      <c r="N55" s="29"/>
      <c r="O55" s="39"/>
      <c r="P55" s="40">
        <f t="shared" si="0"/>
        <v>0</v>
      </c>
      <c r="Q55" s="40">
        <f t="shared" si="1"/>
        <v>0</v>
      </c>
      <c r="R55" s="40">
        <f t="shared" si="2"/>
        <v>0</v>
      </c>
      <c r="S55" s="41"/>
      <c r="T55" s="41"/>
      <c r="U55" s="41"/>
      <c r="V55" s="41"/>
      <c r="W55" s="41"/>
      <c r="X55" s="41"/>
      <c r="Y55" s="33">
        <f t="shared" si="3"/>
        <v>0</v>
      </c>
    </row>
    <row r="56" spans="4:25" x14ac:dyDescent="0.25">
      <c r="D56" s="69"/>
      <c r="E56" s="34"/>
      <c r="F56" s="34"/>
      <c r="H56" s="35"/>
      <c r="I56" s="36"/>
      <c r="J56" s="37"/>
      <c r="K56" s="38"/>
      <c r="L56" s="29"/>
      <c r="M56" s="29"/>
      <c r="N56" s="29"/>
      <c r="O56" s="39"/>
      <c r="P56" s="40">
        <f t="shared" si="0"/>
        <v>0</v>
      </c>
      <c r="Q56" s="40">
        <f t="shared" si="1"/>
        <v>0</v>
      </c>
      <c r="R56" s="40">
        <f t="shared" si="2"/>
        <v>0</v>
      </c>
      <c r="S56" s="41"/>
      <c r="T56" s="41"/>
      <c r="U56" s="41"/>
      <c r="V56" s="41"/>
      <c r="W56" s="41"/>
      <c r="X56" s="41"/>
      <c r="Y56" s="33">
        <f t="shared" si="3"/>
        <v>0</v>
      </c>
    </row>
    <row r="57" spans="4:25" x14ac:dyDescent="0.25">
      <c r="D57" s="69"/>
      <c r="E57" s="34"/>
      <c r="F57" s="34"/>
      <c r="H57" s="35"/>
      <c r="I57" s="36"/>
      <c r="J57" s="37"/>
      <c r="K57" s="38"/>
      <c r="L57" s="29"/>
      <c r="M57" s="29"/>
      <c r="N57" s="29"/>
      <c r="O57" s="39"/>
      <c r="P57" s="40">
        <f t="shared" si="0"/>
        <v>0</v>
      </c>
      <c r="Q57" s="40">
        <f t="shared" si="1"/>
        <v>0</v>
      </c>
      <c r="R57" s="40">
        <f t="shared" si="2"/>
        <v>0</v>
      </c>
      <c r="S57" s="41"/>
      <c r="T57" s="41"/>
      <c r="U57" s="41"/>
      <c r="V57" s="41"/>
      <c r="W57" s="41"/>
      <c r="X57" s="41"/>
      <c r="Y57" s="33">
        <f t="shared" si="3"/>
        <v>0</v>
      </c>
    </row>
    <row r="58" spans="4:25" x14ac:dyDescent="0.25">
      <c r="D58" s="69"/>
      <c r="E58" s="34"/>
      <c r="F58" s="34"/>
      <c r="H58" s="35"/>
      <c r="I58" s="36"/>
      <c r="J58" s="37"/>
      <c r="K58" s="38"/>
      <c r="L58" s="29"/>
      <c r="M58" s="29"/>
      <c r="N58" s="29"/>
      <c r="O58" s="39"/>
      <c r="P58" s="40">
        <f t="shared" si="0"/>
        <v>0</v>
      </c>
      <c r="Q58" s="40">
        <f t="shared" si="1"/>
        <v>0</v>
      </c>
      <c r="R58" s="40">
        <f t="shared" si="2"/>
        <v>0</v>
      </c>
      <c r="S58" s="41"/>
      <c r="T58" s="41"/>
      <c r="U58" s="41"/>
      <c r="V58" s="41"/>
      <c r="W58" s="41"/>
      <c r="X58" s="41"/>
      <c r="Y58" s="33">
        <f t="shared" si="3"/>
        <v>0</v>
      </c>
    </row>
    <row r="59" spans="4:25" x14ac:dyDescent="0.25">
      <c r="D59" s="69"/>
      <c r="E59" s="34"/>
      <c r="F59" s="34"/>
      <c r="H59" s="35"/>
      <c r="I59" s="36"/>
      <c r="J59" s="37"/>
      <c r="K59" s="38"/>
      <c r="L59" s="29"/>
      <c r="M59" s="29"/>
      <c r="N59" s="29"/>
      <c r="O59" s="39"/>
      <c r="P59" s="40">
        <f t="shared" si="0"/>
        <v>0</v>
      </c>
      <c r="Q59" s="40">
        <f t="shared" si="1"/>
        <v>0</v>
      </c>
      <c r="R59" s="40">
        <f t="shared" si="2"/>
        <v>0</v>
      </c>
      <c r="S59" s="41"/>
      <c r="T59" s="41"/>
      <c r="U59" s="41"/>
      <c r="V59" s="41"/>
      <c r="W59" s="41"/>
      <c r="X59" s="41"/>
      <c r="Y59" s="33">
        <f t="shared" si="3"/>
        <v>0</v>
      </c>
    </row>
    <row r="60" spans="4:25" x14ac:dyDescent="0.25">
      <c r="D60" s="69"/>
      <c r="E60" s="34"/>
      <c r="F60" s="34"/>
      <c r="H60" s="35"/>
      <c r="I60" s="36"/>
      <c r="J60" s="37"/>
      <c r="K60" s="38"/>
      <c r="L60" s="29"/>
      <c r="M60" s="29"/>
      <c r="N60" s="29"/>
      <c r="O60" s="39"/>
      <c r="P60" s="40">
        <f t="shared" si="0"/>
        <v>0</v>
      </c>
      <c r="Q60" s="40">
        <f t="shared" si="1"/>
        <v>0</v>
      </c>
      <c r="R60" s="40">
        <f t="shared" si="2"/>
        <v>0</v>
      </c>
      <c r="S60" s="41"/>
      <c r="T60" s="41"/>
      <c r="U60" s="41"/>
      <c r="V60" s="41"/>
      <c r="W60" s="41"/>
      <c r="X60" s="41"/>
      <c r="Y60" s="33">
        <f t="shared" si="3"/>
        <v>0</v>
      </c>
    </row>
    <row r="61" spans="4:25" x14ac:dyDescent="0.25">
      <c r="D61" s="69"/>
      <c r="E61" s="34"/>
      <c r="F61" s="34"/>
      <c r="H61" s="35"/>
      <c r="I61" s="36"/>
      <c r="J61" s="37"/>
      <c r="K61" s="38"/>
      <c r="L61" s="29"/>
      <c r="M61" s="29"/>
      <c r="N61" s="29"/>
      <c r="O61" s="39"/>
      <c r="P61" s="40">
        <f t="shared" si="0"/>
        <v>0</v>
      </c>
      <c r="Q61" s="40">
        <f t="shared" si="1"/>
        <v>0</v>
      </c>
      <c r="R61" s="40">
        <f t="shared" si="2"/>
        <v>0</v>
      </c>
      <c r="S61" s="41"/>
      <c r="T61" s="41"/>
      <c r="U61" s="41"/>
      <c r="V61" s="41"/>
      <c r="W61" s="41"/>
      <c r="X61" s="41"/>
      <c r="Y61" s="33">
        <f t="shared" si="3"/>
        <v>0</v>
      </c>
    </row>
    <row r="62" spans="4:25" x14ac:dyDescent="0.25">
      <c r="D62" s="69"/>
      <c r="E62" s="34"/>
      <c r="F62" s="34"/>
      <c r="H62" s="35"/>
      <c r="I62" s="36"/>
      <c r="J62" s="37"/>
      <c r="K62" s="38"/>
      <c r="L62" s="29"/>
      <c r="M62" s="29"/>
      <c r="N62" s="29"/>
      <c r="O62" s="39"/>
      <c r="P62" s="40">
        <f t="shared" si="0"/>
        <v>0</v>
      </c>
      <c r="Q62" s="40">
        <f t="shared" si="1"/>
        <v>0</v>
      </c>
      <c r="R62" s="40">
        <f t="shared" si="2"/>
        <v>0</v>
      </c>
      <c r="S62" s="41"/>
      <c r="T62" s="41"/>
      <c r="U62" s="41"/>
      <c r="V62" s="41"/>
      <c r="W62" s="41"/>
      <c r="X62" s="41"/>
      <c r="Y62" s="33">
        <f t="shared" si="3"/>
        <v>0</v>
      </c>
    </row>
    <row r="63" spans="4:25" x14ac:dyDescent="0.25">
      <c r="D63" s="69"/>
      <c r="E63" s="34"/>
      <c r="F63" s="34"/>
      <c r="H63" s="35"/>
      <c r="I63" s="36"/>
      <c r="J63" s="37"/>
      <c r="K63" s="38"/>
      <c r="L63" s="29"/>
      <c r="M63" s="29"/>
      <c r="N63" s="29"/>
      <c r="O63" s="39"/>
      <c r="P63" s="40">
        <f t="shared" si="0"/>
        <v>0</v>
      </c>
      <c r="Q63" s="40">
        <f t="shared" si="1"/>
        <v>0</v>
      </c>
      <c r="R63" s="40">
        <f t="shared" si="2"/>
        <v>0</v>
      </c>
      <c r="S63" s="41"/>
      <c r="T63" s="41"/>
      <c r="U63" s="41"/>
      <c r="V63" s="41"/>
      <c r="W63" s="41"/>
      <c r="X63" s="41"/>
      <c r="Y63" s="33">
        <f t="shared" si="3"/>
        <v>0</v>
      </c>
    </row>
    <row r="64" spans="4:25" x14ac:dyDescent="0.25">
      <c r="D64" s="69"/>
      <c r="E64" s="34"/>
      <c r="F64" s="34"/>
      <c r="H64" s="35"/>
      <c r="I64" s="36"/>
      <c r="J64" s="37"/>
      <c r="K64" s="38"/>
      <c r="L64" s="29"/>
      <c r="M64" s="29"/>
      <c r="N64" s="29"/>
      <c r="O64" s="39"/>
      <c r="P64" s="40">
        <f t="shared" si="0"/>
        <v>0</v>
      </c>
      <c r="Q64" s="40">
        <f t="shared" si="1"/>
        <v>0</v>
      </c>
      <c r="R64" s="40">
        <f t="shared" si="2"/>
        <v>0</v>
      </c>
      <c r="S64" s="41"/>
      <c r="T64" s="41"/>
      <c r="U64" s="41"/>
      <c r="V64" s="41"/>
      <c r="W64" s="41"/>
      <c r="X64" s="41"/>
      <c r="Y64" s="33">
        <f t="shared" si="3"/>
        <v>0</v>
      </c>
    </row>
    <row r="65" spans="4:25" x14ac:dyDescent="0.25">
      <c r="D65" s="69"/>
      <c r="E65" s="34"/>
      <c r="F65" s="34"/>
      <c r="H65" s="35"/>
      <c r="I65" s="36"/>
      <c r="J65" s="37"/>
      <c r="K65" s="38"/>
      <c r="L65" s="29"/>
      <c r="M65" s="29"/>
      <c r="N65" s="29"/>
      <c r="O65" s="39"/>
      <c r="P65" s="40">
        <f t="shared" si="0"/>
        <v>0</v>
      </c>
      <c r="Q65" s="40">
        <f t="shared" si="1"/>
        <v>0</v>
      </c>
      <c r="R65" s="40">
        <f t="shared" si="2"/>
        <v>0</v>
      </c>
      <c r="S65" s="41"/>
      <c r="T65" s="41"/>
      <c r="U65" s="41"/>
      <c r="V65" s="41"/>
      <c r="W65" s="41"/>
      <c r="X65" s="41"/>
      <c r="Y65" s="33">
        <f t="shared" si="3"/>
        <v>0</v>
      </c>
    </row>
    <row r="66" spans="4:25" x14ac:dyDescent="0.25">
      <c r="D66" s="69"/>
      <c r="E66" s="34"/>
      <c r="F66" s="34"/>
      <c r="H66" s="35"/>
      <c r="I66" s="36"/>
      <c r="J66" s="37"/>
      <c r="K66" s="38"/>
      <c r="L66" s="29"/>
      <c r="M66" s="29"/>
      <c r="N66" s="29"/>
      <c r="O66" s="39"/>
      <c r="P66" s="40">
        <f t="shared" si="0"/>
        <v>0</v>
      </c>
      <c r="Q66" s="40">
        <f t="shared" si="1"/>
        <v>0</v>
      </c>
      <c r="R66" s="40">
        <f t="shared" si="2"/>
        <v>0</v>
      </c>
      <c r="S66" s="41"/>
      <c r="T66" s="41"/>
      <c r="U66" s="41"/>
      <c r="V66" s="41"/>
      <c r="W66" s="41"/>
      <c r="X66" s="41"/>
      <c r="Y66" s="33">
        <f t="shared" si="3"/>
        <v>0</v>
      </c>
    </row>
    <row r="67" spans="4:25" x14ac:dyDescent="0.25">
      <c r="D67" s="69"/>
      <c r="E67" s="34"/>
      <c r="F67" s="34"/>
      <c r="H67" s="35"/>
      <c r="I67" s="36"/>
      <c r="J67" s="37"/>
      <c r="K67" s="38"/>
      <c r="L67" s="29"/>
      <c r="M67" s="29"/>
      <c r="N67" s="29"/>
      <c r="O67" s="39"/>
      <c r="P67" s="40">
        <f t="shared" ref="P67:P130" si="4">$L67*$O67</f>
        <v>0</v>
      </c>
      <c r="Q67" s="40">
        <f t="shared" si="1"/>
        <v>0</v>
      </c>
      <c r="R67" s="40">
        <f t="shared" si="2"/>
        <v>0</v>
      </c>
      <c r="S67" s="41"/>
      <c r="T67" s="41"/>
      <c r="U67" s="41"/>
      <c r="V67" s="41"/>
      <c r="W67" s="41"/>
      <c r="X67" s="41"/>
      <c r="Y67" s="33">
        <f t="shared" si="3"/>
        <v>0</v>
      </c>
    </row>
    <row r="68" spans="4:25" x14ac:dyDescent="0.25">
      <c r="D68" s="69"/>
      <c r="E68" s="34"/>
      <c r="F68" s="34"/>
      <c r="H68" s="35"/>
      <c r="I68" s="36"/>
      <c r="J68" s="37"/>
      <c r="K68" s="38"/>
      <c r="L68" s="29"/>
      <c r="M68" s="29"/>
      <c r="N68" s="29"/>
      <c r="O68" s="39"/>
      <c r="P68" s="40">
        <f t="shared" si="4"/>
        <v>0</v>
      </c>
      <c r="Q68" s="40">
        <f t="shared" ref="Q68:Q131" si="5">IF(E68="NE",(M68*O68*1.5),(M68*O68))</f>
        <v>0</v>
      </c>
      <c r="R68" s="40">
        <f t="shared" ref="R68:R131" si="6">P68+Q68</f>
        <v>0</v>
      </c>
      <c r="S68" s="41"/>
      <c r="T68" s="41"/>
      <c r="U68" s="41"/>
      <c r="V68" s="41"/>
      <c r="W68" s="41"/>
      <c r="X68" s="41"/>
      <c r="Y68" s="33">
        <f t="shared" ref="Y68:Y131" si="7">SUM(R68:X68)</f>
        <v>0</v>
      </c>
    </row>
    <row r="69" spans="4:25" x14ac:dyDescent="0.25">
      <c r="D69" s="69"/>
      <c r="E69" s="34"/>
      <c r="F69" s="34"/>
      <c r="H69" s="35"/>
      <c r="I69" s="36"/>
      <c r="J69" s="37"/>
      <c r="K69" s="38"/>
      <c r="L69" s="29"/>
      <c r="M69" s="29"/>
      <c r="N69" s="29"/>
      <c r="O69" s="39"/>
      <c r="P69" s="40">
        <f t="shared" si="4"/>
        <v>0</v>
      </c>
      <c r="Q69" s="40">
        <f t="shared" si="5"/>
        <v>0</v>
      </c>
      <c r="R69" s="40">
        <f t="shared" si="6"/>
        <v>0</v>
      </c>
      <c r="S69" s="41"/>
      <c r="T69" s="41"/>
      <c r="U69" s="41"/>
      <c r="V69" s="41"/>
      <c r="W69" s="41"/>
      <c r="X69" s="41"/>
      <c r="Y69" s="33">
        <f t="shared" si="7"/>
        <v>0</v>
      </c>
    </row>
    <row r="70" spans="4:25" x14ac:dyDescent="0.25">
      <c r="D70" s="69"/>
      <c r="E70" s="34"/>
      <c r="F70" s="34"/>
      <c r="H70" s="35"/>
      <c r="I70" s="36"/>
      <c r="J70" s="37"/>
      <c r="K70" s="38"/>
      <c r="L70" s="29"/>
      <c r="M70" s="29"/>
      <c r="N70" s="29"/>
      <c r="O70" s="39"/>
      <c r="P70" s="40">
        <f t="shared" si="4"/>
        <v>0</v>
      </c>
      <c r="Q70" s="40">
        <f t="shared" si="5"/>
        <v>0</v>
      </c>
      <c r="R70" s="40">
        <f t="shared" si="6"/>
        <v>0</v>
      </c>
      <c r="S70" s="41"/>
      <c r="T70" s="41"/>
      <c r="U70" s="41"/>
      <c r="V70" s="41"/>
      <c r="W70" s="41"/>
      <c r="X70" s="41"/>
      <c r="Y70" s="33">
        <f t="shared" si="7"/>
        <v>0</v>
      </c>
    </row>
    <row r="71" spans="4:25" x14ac:dyDescent="0.25">
      <c r="D71" s="69"/>
      <c r="E71" s="34"/>
      <c r="F71" s="34"/>
      <c r="H71" s="35"/>
      <c r="I71" s="36"/>
      <c r="J71" s="37"/>
      <c r="K71" s="38"/>
      <c r="L71" s="29"/>
      <c r="M71" s="29"/>
      <c r="N71" s="29"/>
      <c r="O71" s="39"/>
      <c r="P71" s="40">
        <f t="shared" si="4"/>
        <v>0</v>
      </c>
      <c r="Q71" s="40">
        <f t="shared" si="5"/>
        <v>0</v>
      </c>
      <c r="R71" s="40">
        <f t="shared" si="6"/>
        <v>0</v>
      </c>
      <c r="S71" s="41"/>
      <c r="T71" s="41"/>
      <c r="U71" s="41"/>
      <c r="V71" s="41"/>
      <c r="W71" s="41"/>
      <c r="X71" s="41"/>
      <c r="Y71" s="33">
        <f t="shared" si="7"/>
        <v>0</v>
      </c>
    </row>
    <row r="72" spans="4:25" x14ac:dyDescent="0.25">
      <c r="D72" s="69"/>
      <c r="E72" s="34"/>
      <c r="F72" s="34"/>
      <c r="H72" s="35"/>
      <c r="I72" s="36"/>
      <c r="J72" s="37"/>
      <c r="K72" s="38"/>
      <c r="L72" s="29"/>
      <c r="M72" s="29"/>
      <c r="N72" s="29"/>
      <c r="O72" s="39"/>
      <c r="P72" s="40">
        <f t="shared" si="4"/>
        <v>0</v>
      </c>
      <c r="Q72" s="40">
        <f t="shared" si="5"/>
        <v>0</v>
      </c>
      <c r="R72" s="40">
        <f t="shared" si="6"/>
        <v>0</v>
      </c>
      <c r="S72" s="41"/>
      <c r="T72" s="41"/>
      <c r="U72" s="41"/>
      <c r="V72" s="41"/>
      <c r="W72" s="41"/>
      <c r="X72" s="41"/>
      <c r="Y72" s="33">
        <f t="shared" si="7"/>
        <v>0</v>
      </c>
    </row>
    <row r="73" spans="4:25" x14ac:dyDescent="0.25">
      <c r="D73" s="69"/>
      <c r="E73" s="34"/>
      <c r="F73" s="34"/>
      <c r="H73" s="35"/>
      <c r="I73" s="36"/>
      <c r="J73" s="37"/>
      <c r="K73" s="38"/>
      <c r="L73" s="29"/>
      <c r="M73" s="29"/>
      <c r="N73" s="29"/>
      <c r="O73" s="39"/>
      <c r="P73" s="40">
        <f t="shared" si="4"/>
        <v>0</v>
      </c>
      <c r="Q73" s="40">
        <f t="shared" si="5"/>
        <v>0</v>
      </c>
      <c r="R73" s="40">
        <f t="shared" si="6"/>
        <v>0</v>
      </c>
      <c r="S73" s="41"/>
      <c r="T73" s="41"/>
      <c r="U73" s="41"/>
      <c r="V73" s="41"/>
      <c r="W73" s="41"/>
      <c r="X73" s="41"/>
      <c r="Y73" s="33">
        <f t="shared" si="7"/>
        <v>0</v>
      </c>
    </row>
    <row r="74" spans="4:25" x14ac:dyDescent="0.25">
      <c r="D74" s="69"/>
      <c r="E74" s="34"/>
      <c r="F74" s="34"/>
      <c r="H74" s="35"/>
      <c r="I74" s="36"/>
      <c r="J74" s="37"/>
      <c r="K74" s="38"/>
      <c r="L74" s="29"/>
      <c r="M74" s="29"/>
      <c r="N74" s="29"/>
      <c r="O74" s="39"/>
      <c r="P74" s="40">
        <f t="shared" si="4"/>
        <v>0</v>
      </c>
      <c r="Q74" s="40">
        <f t="shared" si="5"/>
        <v>0</v>
      </c>
      <c r="R74" s="40">
        <f t="shared" si="6"/>
        <v>0</v>
      </c>
      <c r="S74" s="41"/>
      <c r="T74" s="41"/>
      <c r="U74" s="41"/>
      <c r="V74" s="41"/>
      <c r="W74" s="41"/>
      <c r="X74" s="41"/>
      <c r="Y74" s="33">
        <f t="shared" si="7"/>
        <v>0</v>
      </c>
    </row>
    <row r="75" spans="4:25" x14ac:dyDescent="0.25">
      <c r="D75" s="69"/>
      <c r="E75" s="34"/>
      <c r="F75" s="34"/>
      <c r="H75" s="35"/>
      <c r="I75" s="36"/>
      <c r="J75" s="37"/>
      <c r="K75" s="38"/>
      <c r="L75" s="29"/>
      <c r="M75" s="29"/>
      <c r="N75" s="29"/>
      <c r="O75" s="39"/>
      <c r="P75" s="40">
        <f t="shared" si="4"/>
        <v>0</v>
      </c>
      <c r="Q75" s="40">
        <f t="shared" si="5"/>
        <v>0</v>
      </c>
      <c r="R75" s="40">
        <f t="shared" si="6"/>
        <v>0</v>
      </c>
      <c r="S75" s="41"/>
      <c r="T75" s="41"/>
      <c r="U75" s="41"/>
      <c r="V75" s="41"/>
      <c r="W75" s="41"/>
      <c r="X75" s="41"/>
      <c r="Y75" s="33">
        <f t="shared" si="7"/>
        <v>0</v>
      </c>
    </row>
    <row r="76" spans="4:25" x14ac:dyDescent="0.25">
      <c r="D76" s="69"/>
      <c r="E76" s="34"/>
      <c r="F76" s="34"/>
      <c r="H76" s="35"/>
      <c r="I76" s="36"/>
      <c r="J76" s="37"/>
      <c r="K76" s="38"/>
      <c r="L76" s="29"/>
      <c r="M76" s="29"/>
      <c r="N76" s="29"/>
      <c r="O76" s="39"/>
      <c r="P76" s="40">
        <f t="shared" si="4"/>
        <v>0</v>
      </c>
      <c r="Q76" s="40">
        <f t="shared" si="5"/>
        <v>0</v>
      </c>
      <c r="R76" s="40">
        <f t="shared" si="6"/>
        <v>0</v>
      </c>
      <c r="S76" s="41"/>
      <c r="T76" s="41"/>
      <c r="U76" s="41"/>
      <c r="V76" s="41"/>
      <c r="W76" s="41"/>
      <c r="X76" s="41"/>
      <c r="Y76" s="33">
        <f t="shared" si="7"/>
        <v>0</v>
      </c>
    </row>
    <row r="77" spans="4:25" x14ac:dyDescent="0.25">
      <c r="D77" s="69"/>
      <c r="E77" s="34"/>
      <c r="F77" s="34"/>
      <c r="H77" s="35"/>
      <c r="I77" s="36"/>
      <c r="J77" s="37"/>
      <c r="K77" s="38"/>
      <c r="L77" s="29"/>
      <c r="M77" s="29"/>
      <c r="N77" s="29"/>
      <c r="O77" s="39"/>
      <c r="P77" s="40">
        <f t="shared" si="4"/>
        <v>0</v>
      </c>
      <c r="Q77" s="40">
        <f t="shared" si="5"/>
        <v>0</v>
      </c>
      <c r="R77" s="40">
        <f t="shared" si="6"/>
        <v>0</v>
      </c>
      <c r="S77" s="41"/>
      <c r="T77" s="41"/>
      <c r="U77" s="41"/>
      <c r="V77" s="41"/>
      <c r="W77" s="41"/>
      <c r="X77" s="41"/>
      <c r="Y77" s="33">
        <f t="shared" si="7"/>
        <v>0</v>
      </c>
    </row>
    <row r="78" spans="4:25" x14ac:dyDescent="0.25">
      <c r="D78" s="69"/>
      <c r="E78" s="34"/>
      <c r="F78" s="34"/>
      <c r="H78" s="35"/>
      <c r="I78" s="36"/>
      <c r="J78" s="37"/>
      <c r="K78" s="38"/>
      <c r="L78" s="29"/>
      <c r="M78" s="29"/>
      <c r="N78" s="29"/>
      <c r="O78" s="39"/>
      <c r="P78" s="40">
        <f t="shared" si="4"/>
        <v>0</v>
      </c>
      <c r="Q78" s="40">
        <f t="shared" si="5"/>
        <v>0</v>
      </c>
      <c r="R78" s="40">
        <f t="shared" si="6"/>
        <v>0</v>
      </c>
      <c r="S78" s="41"/>
      <c r="T78" s="41"/>
      <c r="U78" s="41"/>
      <c r="V78" s="41"/>
      <c r="W78" s="41"/>
      <c r="X78" s="41"/>
      <c r="Y78" s="33">
        <f t="shared" si="7"/>
        <v>0</v>
      </c>
    </row>
    <row r="79" spans="4:25" x14ac:dyDescent="0.25">
      <c r="D79" s="69"/>
      <c r="E79" s="34"/>
      <c r="F79" s="34"/>
      <c r="H79" s="35"/>
      <c r="I79" s="36"/>
      <c r="J79" s="37"/>
      <c r="K79" s="38"/>
      <c r="L79" s="29"/>
      <c r="M79" s="29"/>
      <c r="N79" s="29"/>
      <c r="O79" s="39"/>
      <c r="P79" s="40">
        <f t="shared" si="4"/>
        <v>0</v>
      </c>
      <c r="Q79" s="40">
        <f t="shared" si="5"/>
        <v>0</v>
      </c>
      <c r="R79" s="40">
        <f t="shared" si="6"/>
        <v>0</v>
      </c>
      <c r="S79" s="41"/>
      <c r="T79" s="41"/>
      <c r="U79" s="41"/>
      <c r="V79" s="41"/>
      <c r="W79" s="41"/>
      <c r="X79" s="41"/>
      <c r="Y79" s="33">
        <f t="shared" si="7"/>
        <v>0</v>
      </c>
    </row>
    <row r="80" spans="4:25" x14ac:dyDescent="0.25">
      <c r="D80" s="69"/>
      <c r="E80" s="34"/>
      <c r="F80" s="34"/>
      <c r="H80" s="35"/>
      <c r="I80" s="36"/>
      <c r="J80" s="37"/>
      <c r="K80" s="38"/>
      <c r="L80" s="29"/>
      <c r="M80" s="29"/>
      <c r="N80" s="29"/>
      <c r="O80" s="39"/>
      <c r="P80" s="40">
        <f t="shared" si="4"/>
        <v>0</v>
      </c>
      <c r="Q80" s="40">
        <f t="shared" si="5"/>
        <v>0</v>
      </c>
      <c r="R80" s="40">
        <f t="shared" si="6"/>
        <v>0</v>
      </c>
      <c r="S80" s="41"/>
      <c r="T80" s="41"/>
      <c r="U80" s="41"/>
      <c r="V80" s="41"/>
      <c r="W80" s="41"/>
      <c r="X80" s="41"/>
      <c r="Y80" s="33">
        <f t="shared" si="7"/>
        <v>0</v>
      </c>
    </row>
    <row r="81" spans="4:25" x14ac:dyDescent="0.25">
      <c r="D81" s="69"/>
      <c r="E81" s="34"/>
      <c r="F81" s="34"/>
      <c r="H81" s="35"/>
      <c r="I81" s="36"/>
      <c r="J81" s="37"/>
      <c r="K81" s="38"/>
      <c r="L81" s="29"/>
      <c r="M81" s="29"/>
      <c r="N81" s="29"/>
      <c r="O81" s="39"/>
      <c r="P81" s="40">
        <f t="shared" si="4"/>
        <v>0</v>
      </c>
      <c r="Q81" s="40">
        <f t="shared" si="5"/>
        <v>0</v>
      </c>
      <c r="R81" s="40">
        <f t="shared" si="6"/>
        <v>0</v>
      </c>
      <c r="S81" s="41"/>
      <c r="T81" s="41"/>
      <c r="U81" s="41"/>
      <c r="V81" s="41"/>
      <c r="W81" s="41"/>
      <c r="X81" s="41"/>
      <c r="Y81" s="33">
        <f t="shared" si="7"/>
        <v>0</v>
      </c>
    </row>
    <row r="82" spans="4:25" x14ac:dyDescent="0.25">
      <c r="D82" s="69"/>
      <c r="E82" s="34"/>
      <c r="F82" s="34"/>
      <c r="G82" s="38"/>
      <c r="H82" s="35"/>
      <c r="I82" s="36"/>
      <c r="J82" s="37"/>
      <c r="K82" s="38"/>
      <c r="L82" s="29"/>
      <c r="M82" s="29"/>
      <c r="N82" s="29"/>
      <c r="O82" s="39"/>
      <c r="P82" s="40">
        <f t="shared" si="4"/>
        <v>0</v>
      </c>
      <c r="Q82" s="40">
        <f t="shared" si="5"/>
        <v>0</v>
      </c>
      <c r="R82" s="40">
        <f t="shared" si="6"/>
        <v>0</v>
      </c>
      <c r="S82" s="41"/>
      <c r="T82" s="41"/>
      <c r="U82" s="41"/>
      <c r="V82" s="41"/>
      <c r="W82" s="41"/>
      <c r="X82" s="41"/>
      <c r="Y82" s="33">
        <f t="shared" si="7"/>
        <v>0</v>
      </c>
    </row>
    <row r="83" spans="4:25" x14ac:dyDescent="0.25">
      <c r="D83" s="69"/>
      <c r="E83" s="34"/>
      <c r="F83" s="34"/>
      <c r="G83" s="38"/>
      <c r="H83" s="35"/>
      <c r="I83" s="36"/>
      <c r="J83" s="37"/>
      <c r="K83" s="38"/>
      <c r="L83" s="29"/>
      <c r="M83" s="29"/>
      <c r="N83" s="29"/>
      <c r="O83" s="39"/>
      <c r="P83" s="40">
        <f t="shared" si="4"/>
        <v>0</v>
      </c>
      <c r="Q83" s="40">
        <f t="shared" si="5"/>
        <v>0</v>
      </c>
      <c r="R83" s="40">
        <f t="shared" si="6"/>
        <v>0</v>
      </c>
      <c r="S83" s="41"/>
      <c r="T83" s="41"/>
      <c r="U83" s="41"/>
      <c r="V83" s="41"/>
      <c r="W83" s="41"/>
      <c r="X83" s="41"/>
      <c r="Y83" s="33">
        <f t="shared" si="7"/>
        <v>0</v>
      </c>
    </row>
    <row r="84" spans="4:25" x14ac:dyDescent="0.25">
      <c r="D84" s="69"/>
      <c r="E84" s="34"/>
      <c r="F84" s="34"/>
      <c r="H84" s="35"/>
      <c r="I84" s="36"/>
      <c r="J84" s="37"/>
      <c r="K84" s="38"/>
      <c r="L84" s="29"/>
      <c r="M84" s="29"/>
      <c r="N84" s="29"/>
      <c r="O84" s="39"/>
      <c r="P84" s="40">
        <f t="shared" si="4"/>
        <v>0</v>
      </c>
      <c r="Q84" s="40">
        <f t="shared" si="5"/>
        <v>0</v>
      </c>
      <c r="R84" s="40">
        <f t="shared" si="6"/>
        <v>0</v>
      </c>
      <c r="S84" s="41"/>
      <c r="T84" s="41"/>
      <c r="U84" s="41"/>
      <c r="V84" s="41"/>
      <c r="W84" s="41"/>
      <c r="X84" s="41"/>
      <c r="Y84" s="33">
        <f t="shared" si="7"/>
        <v>0</v>
      </c>
    </row>
    <row r="85" spans="4:25" x14ac:dyDescent="0.25">
      <c r="D85" s="69"/>
      <c r="E85" s="34"/>
      <c r="F85" s="34"/>
      <c r="H85" s="35"/>
      <c r="I85" s="36"/>
      <c r="J85" s="37"/>
      <c r="K85" s="38"/>
      <c r="L85" s="29"/>
      <c r="M85" s="29"/>
      <c r="N85" s="29"/>
      <c r="O85" s="39"/>
      <c r="P85" s="40">
        <f t="shared" si="4"/>
        <v>0</v>
      </c>
      <c r="Q85" s="40">
        <f t="shared" si="5"/>
        <v>0</v>
      </c>
      <c r="R85" s="40">
        <f t="shared" si="6"/>
        <v>0</v>
      </c>
      <c r="S85" s="41"/>
      <c r="T85" s="41"/>
      <c r="U85" s="41"/>
      <c r="V85" s="41"/>
      <c r="W85" s="41"/>
      <c r="X85" s="41"/>
      <c r="Y85" s="33">
        <f t="shared" si="7"/>
        <v>0</v>
      </c>
    </row>
    <row r="86" spans="4:25" x14ac:dyDescent="0.25">
      <c r="D86" s="69"/>
      <c r="E86" s="34"/>
      <c r="F86" s="34"/>
      <c r="H86" s="35"/>
      <c r="I86" s="36"/>
      <c r="J86" s="37"/>
      <c r="K86" s="38"/>
      <c r="L86" s="29"/>
      <c r="M86" s="29"/>
      <c r="N86" s="29"/>
      <c r="O86" s="39"/>
      <c r="P86" s="40">
        <f t="shared" si="4"/>
        <v>0</v>
      </c>
      <c r="Q86" s="40">
        <f t="shared" si="5"/>
        <v>0</v>
      </c>
      <c r="R86" s="40">
        <f t="shared" si="6"/>
        <v>0</v>
      </c>
      <c r="S86" s="41"/>
      <c r="T86" s="41"/>
      <c r="U86" s="41"/>
      <c r="V86" s="41"/>
      <c r="W86" s="41"/>
      <c r="X86" s="41"/>
      <c r="Y86" s="33">
        <f t="shared" si="7"/>
        <v>0</v>
      </c>
    </row>
    <row r="87" spans="4:25" x14ac:dyDescent="0.25">
      <c r="D87" s="69"/>
      <c r="E87" s="34"/>
      <c r="F87" s="34"/>
      <c r="H87" s="35"/>
      <c r="I87" s="36"/>
      <c r="J87" s="37"/>
      <c r="K87" s="38"/>
      <c r="L87" s="29"/>
      <c r="M87" s="29"/>
      <c r="N87" s="29"/>
      <c r="O87" s="39"/>
      <c r="P87" s="40">
        <f t="shared" si="4"/>
        <v>0</v>
      </c>
      <c r="Q87" s="40">
        <f t="shared" si="5"/>
        <v>0</v>
      </c>
      <c r="R87" s="40">
        <f t="shared" si="6"/>
        <v>0</v>
      </c>
      <c r="S87" s="41"/>
      <c r="T87" s="41"/>
      <c r="U87" s="41"/>
      <c r="V87" s="41"/>
      <c r="W87" s="41"/>
      <c r="X87" s="41"/>
      <c r="Y87" s="33">
        <f t="shared" si="7"/>
        <v>0</v>
      </c>
    </row>
    <row r="88" spans="4:25" x14ac:dyDescent="0.25">
      <c r="D88" s="69"/>
      <c r="E88" s="34"/>
      <c r="F88" s="34"/>
      <c r="H88" s="35"/>
      <c r="I88" s="36"/>
      <c r="J88" s="37"/>
      <c r="K88" s="38"/>
      <c r="L88" s="29"/>
      <c r="M88" s="29"/>
      <c r="N88" s="29"/>
      <c r="O88" s="39"/>
      <c r="P88" s="40">
        <f t="shared" si="4"/>
        <v>0</v>
      </c>
      <c r="Q88" s="40">
        <f t="shared" si="5"/>
        <v>0</v>
      </c>
      <c r="R88" s="40">
        <f t="shared" si="6"/>
        <v>0</v>
      </c>
      <c r="S88" s="41"/>
      <c r="T88" s="41"/>
      <c r="U88" s="41"/>
      <c r="V88" s="41"/>
      <c r="W88" s="41"/>
      <c r="X88" s="41"/>
      <c r="Y88" s="33">
        <f t="shared" si="7"/>
        <v>0</v>
      </c>
    </row>
    <row r="89" spans="4:25" x14ac:dyDescent="0.25">
      <c r="D89" s="69"/>
      <c r="E89" s="34"/>
      <c r="F89" s="34"/>
      <c r="H89" s="35"/>
      <c r="I89" s="36"/>
      <c r="J89" s="37"/>
      <c r="K89" s="38"/>
      <c r="L89" s="29"/>
      <c r="M89" s="29"/>
      <c r="N89" s="29"/>
      <c r="O89" s="39"/>
      <c r="P89" s="40">
        <f t="shared" si="4"/>
        <v>0</v>
      </c>
      <c r="Q89" s="40">
        <f t="shared" si="5"/>
        <v>0</v>
      </c>
      <c r="R89" s="40">
        <f t="shared" si="6"/>
        <v>0</v>
      </c>
      <c r="S89" s="41"/>
      <c r="T89" s="41"/>
      <c r="U89" s="41"/>
      <c r="V89" s="41"/>
      <c r="W89" s="41"/>
      <c r="X89" s="41"/>
      <c r="Y89" s="33">
        <f t="shared" si="7"/>
        <v>0</v>
      </c>
    </row>
    <row r="90" spans="4:25" x14ac:dyDescent="0.25">
      <c r="D90" s="69"/>
      <c r="E90" s="34"/>
      <c r="F90" s="34"/>
      <c r="H90" s="35"/>
      <c r="I90" s="36"/>
      <c r="J90" s="37"/>
      <c r="K90" s="38"/>
      <c r="L90" s="29"/>
      <c r="M90" s="29"/>
      <c r="N90" s="29"/>
      <c r="O90" s="39"/>
      <c r="P90" s="40">
        <f t="shared" si="4"/>
        <v>0</v>
      </c>
      <c r="Q90" s="40">
        <f t="shared" si="5"/>
        <v>0</v>
      </c>
      <c r="R90" s="40">
        <f t="shared" si="6"/>
        <v>0</v>
      </c>
      <c r="S90" s="41"/>
      <c r="T90" s="41"/>
      <c r="U90" s="41"/>
      <c r="V90" s="41"/>
      <c r="W90" s="41"/>
      <c r="X90" s="41"/>
      <c r="Y90" s="33">
        <f t="shared" si="7"/>
        <v>0</v>
      </c>
    </row>
    <row r="91" spans="4:25" x14ac:dyDescent="0.25">
      <c r="D91" s="69"/>
      <c r="E91" s="34"/>
      <c r="F91" s="34"/>
      <c r="H91" s="35"/>
      <c r="I91" s="36"/>
      <c r="J91" s="37"/>
      <c r="K91" s="38"/>
      <c r="L91" s="29"/>
      <c r="M91" s="29"/>
      <c r="N91" s="29"/>
      <c r="O91" s="39"/>
      <c r="P91" s="40">
        <f t="shared" si="4"/>
        <v>0</v>
      </c>
      <c r="Q91" s="40">
        <f t="shared" si="5"/>
        <v>0</v>
      </c>
      <c r="R91" s="40">
        <f t="shared" si="6"/>
        <v>0</v>
      </c>
      <c r="S91" s="41"/>
      <c r="T91" s="41"/>
      <c r="U91" s="41"/>
      <c r="V91" s="41"/>
      <c r="W91" s="41"/>
      <c r="X91" s="41"/>
      <c r="Y91" s="33">
        <f t="shared" si="7"/>
        <v>0</v>
      </c>
    </row>
    <row r="92" spans="4:25" x14ac:dyDescent="0.25">
      <c r="D92" s="69"/>
      <c r="E92" s="34"/>
      <c r="F92" s="34"/>
      <c r="H92" s="35"/>
      <c r="I92" s="36"/>
      <c r="J92" s="37"/>
      <c r="K92" s="38"/>
      <c r="L92" s="29"/>
      <c r="M92" s="29"/>
      <c r="N92" s="29"/>
      <c r="O92" s="39"/>
      <c r="P92" s="40">
        <f t="shared" si="4"/>
        <v>0</v>
      </c>
      <c r="Q92" s="40">
        <f t="shared" si="5"/>
        <v>0</v>
      </c>
      <c r="R92" s="40">
        <f t="shared" si="6"/>
        <v>0</v>
      </c>
      <c r="S92" s="41"/>
      <c r="T92" s="41"/>
      <c r="U92" s="41"/>
      <c r="V92" s="41"/>
      <c r="W92" s="41"/>
      <c r="X92" s="41"/>
      <c r="Y92" s="33">
        <f t="shared" si="7"/>
        <v>0</v>
      </c>
    </row>
    <row r="93" spans="4:25" x14ac:dyDescent="0.25">
      <c r="D93" s="69"/>
      <c r="E93" s="34"/>
      <c r="F93" s="34"/>
      <c r="H93" s="35"/>
      <c r="I93" s="36"/>
      <c r="J93" s="37"/>
      <c r="K93" s="38"/>
      <c r="L93" s="29"/>
      <c r="M93" s="29"/>
      <c r="N93" s="29"/>
      <c r="O93" s="39"/>
      <c r="P93" s="40">
        <f t="shared" si="4"/>
        <v>0</v>
      </c>
      <c r="Q93" s="40">
        <f t="shared" si="5"/>
        <v>0</v>
      </c>
      <c r="R93" s="40">
        <f t="shared" si="6"/>
        <v>0</v>
      </c>
      <c r="S93" s="41"/>
      <c r="T93" s="41"/>
      <c r="U93" s="41"/>
      <c r="V93" s="41"/>
      <c r="W93" s="41"/>
      <c r="X93" s="41"/>
      <c r="Y93" s="33">
        <f t="shared" si="7"/>
        <v>0</v>
      </c>
    </row>
    <row r="94" spans="4:25" x14ac:dyDescent="0.25">
      <c r="D94" s="69"/>
      <c r="E94" s="34"/>
      <c r="F94" s="34"/>
      <c r="H94" s="35"/>
      <c r="I94" s="36"/>
      <c r="J94" s="37"/>
      <c r="K94" s="38"/>
      <c r="L94" s="29"/>
      <c r="M94" s="29"/>
      <c r="N94" s="29"/>
      <c r="O94" s="39"/>
      <c r="P94" s="40">
        <f t="shared" si="4"/>
        <v>0</v>
      </c>
      <c r="Q94" s="40">
        <f t="shared" si="5"/>
        <v>0</v>
      </c>
      <c r="R94" s="40">
        <f t="shared" si="6"/>
        <v>0</v>
      </c>
      <c r="S94" s="41"/>
      <c r="T94" s="41"/>
      <c r="U94" s="41"/>
      <c r="V94" s="41"/>
      <c r="W94" s="41"/>
      <c r="X94" s="41"/>
      <c r="Y94" s="33">
        <f t="shared" si="7"/>
        <v>0</v>
      </c>
    </row>
    <row r="95" spans="4:25" x14ac:dyDescent="0.25">
      <c r="D95" s="69"/>
      <c r="E95" s="34"/>
      <c r="F95" s="34"/>
      <c r="H95" s="35"/>
      <c r="I95" s="36"/>
      <c r="J95" s="37"/>
      <c r="K95" s="38"/>
      <c r="L95" s="29"/>
      <c r="M95" s="29"/>
      <c r="N95" s="29"/>
      <c r="O95" s="39"/>
      <c r="P95" s="40">
        <f t="shared" si="4"/>
        <v>0</v>
      </c>
      <c r="Q95" s="40">
        <f t="shared" si="5"/>
        <v>0</v>
      </c>
      <c r="R95" s="40">
        <f t="shared" si="6"/>
        <v>0</v>
      </c>
      <c r="S95" s="41"/>
      <c r="T95" s="41"/>
      <c r="U95" s="41"/>
      <c r="V95" s="41"/>
      <c r="W95" s="41"/>
      <c r="X95" s="41"/>
      <c r="Y95" s="33">
        <f t="shared" si="7"/>
        <v>0</v>
      </c>
    </row>
    <row r="96" spans="4:25" x14ac:dyDescent="0.25">
      <c r="D96" s="69"/>
      <c r="E96" s="34"/>
      <c r="F96" s="34"/>
      <c r="H96" s="35"/>
      <c r="I96" s="36"/>
      <c r="J96" s="37"/>
      <c r="K96" s="38"/>
      <c r="L96" s="29"/>
      <c r="M96" s="29"/>
      <c r="N96" s="29"/>
      <c r="O96" s="39"/>
      <c r="P96" s="40">
        <f t="shared" si="4"/>
        <v>0</v>
      </c>
      <c r="Q96" s="40">
        <f t="shared" si="5"/>
        <v>0</v>
      </c>
      <c r="R96" s="40">
        <f t="shared" si="6"/>
        <v>0</v>
      </c>
      <c r="S96" s="41"/>
      <c r="T96" s="41"/>
      <c r="U96" s="41"/>
      <c r="V96" s="41"/>
      <c r="W96" s="41"/>
      <c r="X96" s="41"/>
      <c r="Y96" s="33">
        <f t="shared" si="7"/>
        <v>0</v>
      </c>
    </row>
    <row r="97" spans="4:25" x14ac:dyDescent="0.25">
      <c r="D97" s="69"/>
      <c r="E97" s="34"/>
      <c r="F97" s="34"/>
      <c r="H97" s="35"/>
      <c r="I97" s="36"/>
      <c r="J97" s="37"/>
      <c r="K97" s="38"/>
      <c r="L97" s="29"/>
      <c r="M97" s="29"/>
      <c r="N97" s="29"/>
      <c r="O97" s="39"/>
      <c r="P97" s="40">
        <f t="shared" si="4"/>
        <v>0</v>
      </c>
      <c r="Q97" s="40">
        <f t="shared" si="5"/>
        <v>0</v>
      </c>
      <c r="R97" s="40">
        <f t="shared" si="6"/>
        <v>0</v>
      </c>
      <c r="S97" s="41"/>
      <c r="T97" s="41"/>
      <c r="U97" s="41"/>
      <c r="V97" s="41"/>
      <c r="W97" s="41"/>
      <c r="X97" s="41"/>
      <c r="Y97" s="33">
        <f t="shared" si="7"/>
        <v>0</v>
      </c>
    </row>
    <row r="98" spans="4:25" x14ac:dyDescent="0.25">
      <c r="D98" s="69"/>
      <c r="E98" s="34"/>
      <c r="F98" s="34"/>
      <c r="H98" s="35"/>
      <c r="I98" s="36"/>
      <c r="J98" s="37"/>
      <c r="K98" s="38"/>
      <c r="L98" s="29"/>
      <c r="M98" s="29"/>
      <c r="N98" s="29"/>
      <c r="O98" s="39"/>
      <c r="P98" s="40">
        <f t="shared" si="4"/>
        <v>0</v>
      </c>
      <c r="Q98" s="40">
        <f t="shared" si="5"/>
        <v>0</v>
      </c>
      <c r="R98" s="40">
        <f t="shared" si="6"/>
        <v>0</v>
      </c>
      <c r="S98" s="41"/>
      <c r="T98" s="41"/>
      <c r="U98" s="41"/>
      <c r="V98" s="41"/>
      <c r="W98" s="41"/>
      <c r="X98" s="41"/>
      <c r="Y98" s="33">
        <f t="shared" si="7"/>
        <v>0</v>
      </c>
    </row>
    <row r="99" spans="4:25" x14ac:dyDescent="0.25">
      <c r="D99" s="69"/>
      <c r="E99" s="34"/>
      <c r="F99" s="34"/>
      <c r="H99" s="35"/>
      <c r="I99" s="36"/>
      <c r="J99" s="37"/>
      <c r="K99" s="38"/>
      <c r="L99" s="29"/>
      <c r="M99" s="29"/>
      <c r="N99" s="29"/>
      <c r="O99" s="39"/>
      <c r="P99" s="40">
        <f t="shared" si="4"/>
        <v>0</v>
      </c>
      <c r="Q99" s="40">
        <f t="shared" si="5"/>
        <v>0</v>
      </c>
      <c r="R99" s="40">
        <f t="shared" si="6"/>
        <v>0</v>
      </c>
      <c r="S99" s="41"/>
      <c r="T99" s="41"/>
      <c r="U99" s="41"/>
      <c r="V99" s="41"/>
      <c r="W99" s="41"/>
      <c r="X99" s="41"/>
      <c r="Y99" s="33">
        <f t="shared" si="7"/>
        <v>0</v>
      </c>
    </row>
    <row r="100" spans="4:25" x14ac:dyDescent="0.25">
      <c r="D100" s="69"/>
      <c r="E100" s="34"/>
      <c r="F100" s="34"/>
      <c r="H100" s="35"/>
      <c r="I100" s="36"/>
      <c r="J100" s="37"/>
      <c r="K100" s="38"/>
      <c r="L100" s="29"/>
      <c r="M100" s="29"/>
      <c r="N100" s="29"/>
      <c r="O100" s="39"/>
      <c r="P100" s="40">
        <f t="shared" si="4"/>
        <v>0</v>
      </c>
      <c r="Q100" s="40">
        <f t="shared" si="5"/>
        <v>0</v>
      </c>
      <c r="R100" s="40">
        <f t="shared" si="6"/>
        <v>0</v>
      </c>
      <c r="S100" s="41"/>
      <c r="T100" s="41"/>
      <c r="U100" s="41"/>
      <c r="V100" s="41"/>
      <c r="W100" s="41"/>
      <c r="X100" s="41"/>
      <c r="Y100" s="33">
        <f t="shared" si="7"/>
        <v>0</v>
      </c>
    </row>
    <row r="101" spans="4:25" x14ac:dyDescent="0.25">
      <c r="D101" s="69"/>
      <c r="E101" s="34"/>
      <c r="F101" s="34"/>
      <c r="H101" s="35"/>
      <c r="I101" s="36"/>
      <c r="J101" s="37"/>
      <c r="K101" s="38"/>
      <c r="L101" s="29"/>
      <c r="M101" s="29"/>
      <c r="N101" s="29"/>
      <c r="O101" s="39"/>
      <c r="P101" s="40">
        <f t="shared" si="4"/>
        <v>0</v>
      </c>
      <c r="Q101" s="40">
        <f t="shared" si="5"/>
        <v>0</v>
      </c>
      <c r="R101" s="40">
        <f t="shared" si="6"/>
        <v>0</v>
      </c>
      <c r="S101" s="41"/>
      <c r="T101" s="41"/>
      <c r="U101" s="41"/>
      <c r="V101" s="41"/>
      <c r="W101" s="41"/>
      <c r="X101" s="41"/>
      <c r="Y101" s="33">
        <f t="shared" si="7"/>
        <v>0</v>
      </c>
    </row>
    <row r="102" spans="4:25" x14ac:dyDescent="0.25">
      <c r="D102" s="69"/>
      <c r="E102" s="34"/>
      <c r="F102" s="34"/>
      <c r="H102" s="35"/>
      <c r="I102" s="36"/>
      <c r="J102" s="37"/>
      <c r="K102" s="38"/>
      <c r="L102" s="29"/>
      <c r="M102" s="29"/>
      <c r="N102" s="29"/>
      <c r="O102" s="39"/>
      <c r="P102" s="40">
        <f t="shared" si="4"/>
        <v>0</v>
      </c>
      <c r="Q102" s="40">
        <f t="shared" si="5"/>
        <v>0</v>
      </c>
      <c r="R102" s="40">
        <f t="shared" si="6"/>
        <v>0</v>
      </c>
      <c r="S102" s="41"/>
      <c r="T102" s="41"/>
      <c r="U102" s="41"/>
      <c r="V102" s="41"/>
      <c r="W102" s="41"/>
      <c r="X102" s="41"/>
      <c r="Y102" s="33">
        <f t="shared" si="7"/>
        <v>0</v>
      </c>
    </row>
    <row r="103" spans="4:25" x14ac:dyDescent="0.25">
      <c r="D103" s="69"/>
      <c r="E103" s="34"/>
      <c r="F103" s="34"/>
      <c r="H103" s="35"/>
      <c r="I103" s="36"/>
      <c r="J103" s="37"/>
      <c r="K103" s="38"/>
      <c r="L103" s="29"/>
      <c r="M103" s="29"/>
      <c r="N103" s="29"/>
      <c r="O103" s="39"/>
      <c r="P103" s="40">
        <f t="shared" si="4"/>
        <v>0</v>
      </c>
      <c r="Q103" s="40">
        <f t="shared" si="5"/>
        <v>0</v>
      </c>
      <c r="R103" s="40">
        <f t="shared" si="6"/>
        <v>0</v>
      </c>
      <c r="S103" s="41"/>
      <c r="T103" s="41"/>
      <c r="U103" s="41"/>
      <c r="V103" s="41"/>
      <c r="W103" s="41"/>
      <c r="X103" s="41"/>
      <c r="Y103" s="33">
        <f t="shared" si="7"/>
        <v>0</v>
      </c>
    </row>
    <row r="104" spans="4:25" x14ac:dyDescent="0.25">
      <c r="D104" s="69"/>
      <c r="E104" s="34"/>
      <c r="F104" s="34"/>
      <c r="H104" s="35"/>
      <c r="I104" s="36"/>
      <c r="J104" s="37"/>
      <c r="K104" s="38"/>
      <c r="L104" s="29"/>
      <c r="M104" s="29"/>
      <c r="N104" s="29"/>
      <c r="O104" s="39"/>
      <c r="P104" s="40">
        <f t="shared" si="4"/>
        <v>0</v>
      </c>
      <c r="Q104" s="40">
        <f t="shared" si="5"/>
        <v>0</v>
      </c>
      <c r="R104" s="40">
        <f t="shared" si="6"/>
        <v>0</v>
      </c>
      <c r="S104" s="41"/>
      <c r="T104" s="41"/>
      <c r="U104" s="41"/>
      <c r="V104" s="41"/>
      <c r="W104" s="41"/>
      <c r="X104" s="41"/>
      <c r="Y104" s="33">
        <f t="shared" si="7"/>
        <v>0</v>
      </c>
    </row>
    <row r="105" spans="4:25" x14ac:dyDescent="0.25">
      <c r="D105" s="69"/>
      <c r="E105" s="34"/>
      <c r="F105" s="34"/>
      <c r="H105" s="35"/>
      <c r="I105" s="36"/>
      <c r="J105" s="37"/>
      <c r="K105" s="38"/>
      <c r="L105" s="29"/>
      <c r="M105" s="29"/>
      <c r="N105" s="29"/>
      <c r="O105" s="39"/>
      <c r="P105" s="40">
        <f t="shared" si="4"/>
        <v>0</v>
      </c>
      <c r="Q105" s="40">
        <f t="shared" si="5"/>
        <v>0</v>
      </c>
      <c r="R105" s="40">
        <f t="shared" si="6"/>
        <v>0</v>
      </c>
      <c r="S105" s="41"/>
      <c r="T105" s="41"/>
      <c r="U105" s="41"/>
      <c r="V105" s="41"/>
      <c r="W105" s="41"/>
      <c r="X105" s="41"/>
      <c r="Y105" s="33">
        <f t="shared" si="7"/>
        <v>0</v>
      </c>
    </row>
    <row r="106" spans="4:25" x14ac:dyDescent="0.25">
      <c r="D106" s="69"/>
      <c r="E106" s="34"/>
      <c r="F106" s="34"/>
      <c r="H106" s="35"/>
      <c r="I106" s="36"/>
      <c r="J106" s="37"/>
      <c r="K106" s="38"/>
      <c r="L106" s="29"/>
      <c r="M106" s="29"/>
      <c r="N106" s="29"/>
      <c r="O106" s="39"/>
      <c r="P106" s="40">
        <f t="shared" si="4"/>
        <v>0</v>
      </c>
      <c r="Q106" s="40">
        <f t="shared" si="5"/>
        <v>0</v>
      </c>
      <c r="R106" s="40">
        <f t="shared" si="6"/>
        <v>0</v>
      </c>
      <c r="S106" s="41"/>
      <c r="T106" s="41"/>
      <c r="U106" s="41"/>
      <c r="V106" s="41"/>
      <c r="W106" s="41"/>
      <c r="X106" s="41"/>
      <c r="Y106" s="33">
        <f t="shared" si="7"/>
        <v>0</v>
      </c>
    </row>
    <row r="107" spans="4:25" x14ac:dyDescent="0.25">
      <c r="D107" s="69"/>
      <c r="E107" s="34"/>
      <c r="F107" s="34"/>
      <c r="H107" s="35"/>
      <c r="I107" s="36"/>
      <c r="J107" s="37"/>
      <c r="K107" s="38"/>
      <c r="L107" s="29"/>
      <c r="M107" s="29"/>
      <c r="N107" s="29"/>
      <c r="O107" s="39"/>
      <c r="P107" s="40">
        <f t="shared" si="4"/>
        <v>0</v>
      </c>
      <c r="Q107" s="40">
        <f t="shared" si="5"/>
        <v>0</v>
      </c>
      <c r="R107" s="40">
        <f t="shared" si="6"/>
        <v>0</v>
      </c>
      <c r="S107" s="41"/>
      <c r="T107" s="41"/>
      <c r="U107" s="41"/>
      <c r="V107" s="41"/>
      <c r="W107" s="41"/>
      <c r="X107" s="41"/>
      <c r="Y107" s="33">
        <f t="shared" si="7"/>
        <v>0</v>
      </c>
    </row>
    <row r="108" spans="4:25" x14ac:dyDescent="0.25">
      <c r="D108" s="69"/>
      <c r="E108" s="34"/>
      <c r="F108" s="34"/>
      <c r="H108" s="35"/>
      <c r="I108" s="36"/>
      <c r="J108" s="37"/>
      <c r="K108" s="38"/>
      <c r="L108" s="29"/>
      <c r="M108" s="29"/>
      <c r="N108" s="29"/>
      <c r="O108" s="39"/>
      <c r="P108" s="40">
        <f t="shared" si="4"/>
        <v>0</v>
      </c>
      <c r="Q108" s="40">
        <f t="shared" si="5"/>
        <v>0</v>
      </c>
      <c r="R108" s="40">
        <f t="shared" si="6"/>
        <v>0</v>
      </c>
      <c r="S108" s="41"/>
      <c r="T108" s="41"/>
      <c r="U108" s="41"/>
      <c r="V108" s="41"/>
      <c r="W108" s="41"/>
      <c r="X108" s="41"/>
      <c r="Y108" s="33">
        <f t="shared" si="7"/>
        <v>0</v>
      </c>
    </row>
    <row r="109" spans="4:25" x14ac:dyDescent="0.25">
      <c r="D109" s="69"/>
      <c r="E109" s="34"/>
      <c r="F109" s="34"/>
      <c r="H109" s="35"/>
      <c r="I109" s="36"/>
      <c r="J109" s="37"/>
      <c r="K109" s="38"/>
      <c r="L109" s="29"/>
      <c r="M109" s="29"/>
      <c r="N109" s="29"/>
      <c r="O109" s="39"/>
      <c r="P109" s="40">
        <f t="shared" si="4"/>
        <v>0</v>
      </c>
      <c r="Q109" s="40">
        <f t="shared" si="5"/>
        <v>0</v>
      </c>
      <c r="R109" s="40">
        <f t="shared" si="6"/>
        <v>0</v>
      </c>
      <c r="S109" s="41"/>
      <c r="T109" s="41"/>
      <c r="U109" s="41"/>
      <c r="V109" s="41"/>
      <c r="W109" s="41"/>
      <c r="X109" s="41"/>
      <c r="Y109" s="33">
        <f t="shared" si="7"/>
        <v>0</v>
      </c>
    </row>
    <row r="110" spans="4:25" x14ac:dyDescent="0.25">
      <c r="D110" s="69"/>
      <c r="E110" s="34"/>
      <c r="F110" s="34"/>
      <c r="H110" s="35"/>
      <c r="I110" s="36"/>
      <c r="J110" s="37"/>
      <c r="K110" s="38"/>
      <c r="L110" s="29"/>
      <c r="M110" s="29"/>
      <c r="N110" s="29"/>
      <c r="O110" s="39"/>
      <c r="P110" s="40">
        <f t="shared" si="4"/>
        <v>0</v>
      </c>
      <c r="Q110" s="40">
        <f t="shared" si="5"/>
        <v>0</v>
      </c>
      <c r="R110" s="40">
        <f t="shared" si="6"/>
        <v>0</v>
      </c>
      <c r="S110" s="41"/>
      <c r="T110" s="41"/>
      <c r="U110" s="41"/>
      <c r="V110" s="41"/>
      <c r="W110" s="41"/>
      <c r="X110" s="41"/>
      <c r="Y110" s="33">
        <f t="shared" si="7"/>
        <v>0</v>
      </c>
    </row>
    <row r="111" spans="4:25" x14ac:dyDescent="0.25">
      <c r="D111" s="69"/>
      <c r="E111" s="34"/>
      <c r="F111" s="34"/>
      <c r="H111" s="35"/>
      <c r="I111" s="36"/>
      <c r="J111" s="37"/>
      <c r="K111" s="38"/>
      <c r="L111" s="29"/>
      <c r="M111" s="29"/>
      <c r="N111" s="29"/>
      <c r="O111" s="39"/>
      <c r="P111" s="40">
        <f t="shared" si="4"/>
        <v>0</v>
      </c>
      <c r="Q111" s="40">
        <f t="shared" si="5"/>
        <v>0</v>
      </c>
      <c r="R111" s="40">
        <f t="shared" si="6"/>
        <v>0</v>
      </c>
      <c r="S111" s="41"/>
      <c r="T111" s="41"/>
      <c r="U111" s="41"/>
      <c r="V111" s="41"/>
      <c r="W111" s="41"/>
      <c r="X111" s="41"/>
      <c r="Y111" s="33">
        <f t="shared" si="7"/>
        <v>0</v>
      </c>
    </row>
    <row r="112" spans="4:25" x14ac:dyDescent="0.25">
      <c r="D112" s="69"/>
      <c r="E112" s="34"/>
      <c r="F112" s="34"/>
      <c r="H112" s="35"/>
      <c r="I112" s="36"/>
      <c r="J112" s="37"/>
      <c r="K112" s="38"/>
      <c r="L112" s="29"/>
      <c r="M112" s="29"/>
      <c r="N112" s="29"/>
      <c r="O112" s="39"/>
      <c r="P112" s="40">
        <f t="shared" si="4"/>
        <v>0</v>
      </c>
      <c r="Q112" s="40">
        <f t="shared" si="5"/>
        <v>0</v>
      </c>
      <c r="R112" s="40">
        <f t="shared" si="6"/>
        <v>0</v>
      </c>
      <c r="S112" s="41"/>
      <c r="T112" s="41"/>
      <c r="U112" s="41"/>
      <c r="V112" s="41"/>
      <c r="W112" s="41"/>
      <c r="X112" s="41"/>
      <c r="Y112" s="33">
        <f t="shared" si="7"/>
        <v>0</v>
      </c>
    </row>
    <row r="113" spans="4:25" x14ac:dyDescent="0.25">
      <c r="D113" s="69"/>
      <c r="E113" s="34"/>
      <c r="F113" s="34"/>
      <c r="H113" s="35"/>
      <c r="I113" s="36"/>
      <c r="J113" s="37"/>
      <c r="K113" s="38"/>
      <c r="L113" s="29"/>
      <c r="M113" s="29"/>
      <c r="N113" s="29"/>
      <c r="O113" s="39"/>
      <c r="P113" s="40">
        <f t="shared" si="4"/>
        <v>0</v>
      </c>
      <c r="Q113" s="40">
        <f t="shared" si="5"/>
        <v>0</v>
      </c>
      <c r="R113" s="40">
        <f t="shared" si="6"/>
        <v>0</v>
      </c>
      <c r="S113" s="41"/>
      <c r="T113" s="41"/>
      <c r="U113" s="41"/>
      <c r="V113" s="41"/>
      <c r="W113" s="41"/>
      <c r="X113" s="41"/>
      <c r="Y113" s="33">
        <f t="shared" si="7"/>
        <v>0</v>
      </c>
    </row>
    <row r="114" spans="4:25" x14ac:dyDescent="0.25">
      <c r="D114" s="69"/>
      <c r="E114" s="34"/>
      <c r="F114" s="34"/>
      <c r="H114" s="35"/>
      <c r="I114" s="36"/>
      <c r="J114" s="37"/>
      <c r="K114" s="38"/>
      <c r="L114" s="29"/>
      <c r="M114" s="29"/>
      <c r="N114" s="29"/>
      <c r="O114" s="39"/>
      <c r="P114" s="40">
        <f t="shared" si="4"/>
        <v>0</v>
      </c>
      <c r="Q114" s="40">
        <f t="shared" si="5"/>
        <v>0</v>
      </c>
      <c r="R114" s="40">
        <f t="shared" si="6"/>
        <v>0</v>
      </c>
      <c r="S114" s="41"/>
      <c r="T114" s="41"/>
      <c r="U114" s="41"/>
      <c r="V114" s="41"/>
      <c r="W114" s="41"/>
      <c r="X114" s="41"/>
      <c r="Y114" s="33">
        <f t="shared" si="7"/>
        <v>0</v>
      </c>
    </row>
    <row r="115" spans="4:25" x14ac:dyDescent="0.25">
      <c r="D115" s="69"/>
      <c r="E115" s="34"/>
      <c r="F115" s="34"/>
      <c r="H115" s="35"/>
      <c r="I115" s="36"/>
      <c r="J115" s="37"/>
      <c r="K115" s="38"/>
      <c r="L115" s="29"/>
      <c r="M115" s="29"/>
      <c r="N115" s="29"/>
      <c r="O115" s="39"/>
      <c r="P115" s="40">
        <f t="shared" si="4"/>
        <v>0</v>
      </c>
      <c r="Q115" s="40">
        <f t="shared" si="5"/>
        <v>0</v>
      </c>
      <c r="R115" s="40">
        <f t="shared" si="6"/>
        <v>0</v>
      </c>
      <c r="S115" s="41"/>
      <c r="T115" s="41"/>
      <c r="U115" s="41"/>
      <c r="V115" s="41"/>
      <c r="W115" s="41"/>
      <c r="X115" s="41"/>
      <c r="Y115" s="33">
        <f t="shared" si="7"/>
        <v>0</v>
      </c>
    </row>
    <row r="116" spans="4:25" x14ac:dyDescent="0.25">
      <c r="D116" s="69"/>
      <c r="E116" s="34"/>
      <c r="F116" s="34"/>
      <c r="H116" s="35"/>
      <c r="I116" s="36"/>
      <c r="J116" s="37"/>
      <c r="K116" s="38"/>
      <c r="L116" s="29"/>
      <c r="M116" s="29"/>
      <c r="N116" s="29"/>
      <c r="O116" s="39"/>
      <c r="P116" s="40">
        <f t="shared" si="4"/>
        <v>0</v>
      </c>
      <c r="Q116" s="40">
        <f t="shared" si="5"/>
        <v>0</v>
      </c>
      <c r="R116" s="40">
        <f t="shared" si="6"/>
        <v>0</v>
      </c>
      <c r="S116" s="41"/>
      <c r="T116" s="41"/>
      <c r="U116" s="41"/>
      <c r="V116" s="41"/>
      <c r="W116" s="41"/>
      <c r="X116" s="41"/>
      <c r="Y116" s="33">
        <f t="shared" si="7"/>
        <v>0</v>
      </c>
    </row>
    <row r="117" spans="4:25" x14ac:dyDescent="0.25">
      <c r="D117" s="69"/>
      <c r="E117" s="34"/>
      <c r="F117" s="34"/>
      <c r="H117" s="35"/>
      <c r="I117" s="36"/>
      <c r="J117" s="37"/>
      <c r="K117" s="38"/>
      <c r="L117" s="29"/>
      <c r="M117" s="29"/>
      <c r="N117" s="29"/>
      <c r="O117" s="39"/>
      <c r="P117" s="40">
        <f t="shared" si="4"/>
        <v>0</v>
      </c>
      <c r="Q117" s="40">
        <f t="shared" si="5"/>
        <v>0</v>
      </c>
      <c r="R117" s="40">
        <f t="shared" si="6"/>
        <v>0</v>
      </c>
      <c r="S117" s="41"/>
      <c r="T117" s="41"/>
      <c r="U117" s="41"/>
      <c r="V117" s="41"/>
      <c r="W117" s="41"/>
      <c r="X117" s="41"/>
      <c r="Y117" s="33">
        <f t="shared" si="7"/>
        <v>0</v>
      </c>
    </row>
    <row r="118" spans="4:25" x14ac:dyDescent="0.25">
      <c r="D118" s="69"/>
      <c r="E118" s="34"/>
      <c r="F118" s="34"/>
      <c r="H118" s="35"/>
      <c r="I118" s="36"/>
      <c r="J118" s="37"/>
      <c r="K118" s="38"/>
      <c r="L118" s="29"/>
      <c r="M118" s="29"/>
      <c r="N118" s="29"/>
      <c r="O118" s="39"/>
      <c r="P118" s="40">
        <f t="shared" si="4"/>
        <v>0</v>
      </c>
      <c r="Q118" s="40">
        <f t="shared" si="5"/>
        <v>0</v>
      </c>
      <c r="R118" s="40">
        <f t="shared" si="6"/>
        <v>0</v>
      </c>
      <c r="S118" s="41"/>
      <c r="T118" s="41"/>
      <c r="U118" s="41"/>
      <c r="V118" s="41"/>
      <c r="W118" s="41"/>
      <c r="X118" s="41"/>
      <c r="Y118" s="33">
        <f t="shared" si="7"/>
        <v>0</v>
      </c>
    </row>
    <row r="119" spans="4:25" x14ac:dyDescent="0.25">
      <c r="D119" s="69"/>
      <c r="E119" s="34"/>
      <c r="F119" s="34"/>
      <c r="H119" s="35"/>
      <c r="I119" s="36"/>
      <c r="J119" s="37"/>
      <c r="K119" s="38"/>
      <c r="L119" s="29"/>
      <c r="M119" s="29"/>
      <c r="N119" s="29"/>
      <c r="O119" s="39"/>
      <c r="P119" s="40">
        <f t="shared" si="4"/>
        <v>0</v>
      </c>
      <c r="Q119" s="40">
        <f t="shared" si="5"/>
        <v>0</v>
      </c>
      <c r="R119" s="40">
        <f t="shared" si="6"/>
        <v>0</v>
      </c>
      <c r="S119" s="41"/>
      <c r="T119" s="41"/>
      <c r="U119" s="41"/>
      <c r="V119" s="41"/>
      <c r="W119" s="41"/>
      <c r="X119" s="41"/>
      <c r="Y119" s="33">
        <f t="shared" si="7"/>
        <v>0</v>
      </c>
    </row>
    <row r="120" spans="4:25" x14ac:dyDescent="0.25">
      <c r="D120" s="69"/>
      <c r="E120" s="34"/>
      <c r="F120" s="34"/>
      <c r="H120" s="35"/>
      <c r="I120" s="36"/>
      <c r="J120" s="37"/>
      <c r="K120" s="38"/>
      <c r="L120" s="29"/>
      <c r="M120" s="29"/>
      <c r="N120" s="29"/>
      <c r="O120" s="39"/>
      <c r="P120" s="40">
        <f t="shared" si="4"/>
        <v>0</v>
      </c>
      <c r="Q120" s="40">
        <f t="shared" si="5"/>
        <v>0</v>
      </c>
      <c r="R120" s="40">
        <f t="shared" si="6"/>
        <v>0</v>
      </c>
      <c r="S120" s="41"/>
      <c r="T120" s="41"/>
      <c r="U120" s="41"/>
      <c r="V120" s="41"/>
      <c r="W120" s="41"/>
      <c r="X120" s="41"/>
      <c r="Y120" s="33">
        <f t="shared" si="7"/>
        <v>0</v>
      </c>
    </row>
    <row r="121" spans="4:25" x14ac:dyDescent="0.25">
      <c r="D121" s="69"/>
      <c r="E121" s="34"/>
      <c r="F121" s="34"/>
      <c r="H121" s="35"/>
      <c r="I121" s="36"/>
      <c r="J121" s="37"/>
      <c r="K121" s="38"/>
      <c r="L121" s="29"/>
      <c r="M121" s="29"/>
      <c r="N121" s="29"/>
      <c r="O121" s="39"/>
      <c r="P121" s="40">
        <f t="shared" si="4"/>
        <v>0</v>
      </c>
      <c r="Q121" s="40">
        <f t="shared" si="5"/>
        <v>0</v>
      </c>
      <c r="R121" s="40">
        <f t="shared" si="6"/>
        <v>0</v>
      </c>
      <c r="S121" s="41"/>
      <c r="T121" s="41"/>
      <c r="U121" s="41"/>
      <c r="V121" s="41"/>
      <c r="W121" s="41"/>
      <c r="X121" s="41"/>
      <c r="Y121" s="33">
        <f t="shared" si="7"/>
        <v>0</v>
      </c>
    </row>
    <row r="122" spans="4:25" x14ac:dyDescent="0.25">
      <c r="D122" s="69"/>
      <c r="E122" s="34"/>
      <c r="F122" s="34"/>
      <c r="H122" s="35"/>
      <c r="I122" s="36"/>
      <c r="J122" s="37"/>
      <c r="K122" s="38"/>
      <c r="L122" s="29"/>
      <c r="M122" s="29"/>
      <c r="N122" s="29"/>
      <c r="O122" s="39"/>
      <c r="P122" s="40">
        <f t="shared" si="4"/>
        <v>0</v>
      </c>
      <c r="Q122" s="40">
        <f t="shared" si="5"/>
        <v>0</v>
      </c>
      <c r="R122" s="40">
        <f t="shared" si="6"/>
        <v>0</v>
      </c>
      <c r="S122" s="41"/>
      <c r="T122" s="41"/>
      <c r="U122" s="41"/>
      <c r="V122" s="41"/>
      <c r="W122" s="41"/>
      <c r="X122" s="41"/>
      <c r="Y122" s="33">
        <f t="shared" si="7"/>
        <v>0</v>
      </c>
    </row>
    <row r="123" spans="4:25" x14ac:dyDescent="0.25">
      <c r="D123" s="69"/>
      <c r="E123" s="34"/>
      <c r="F123" s="34"/>
      <c r="H123" s="35"/>
      <c r="I123" s="36"/>
      <c r="J123" s="37"/>
      <c r="K123" s="38"/>
      <c r="L123" s="29"/>
      <c r="M123" s="29"/>
      <c r="N123" s="29"/>
      <c r="O123" s="39"/>
      <c r="P123" s="40">
        <f t="shared" si="4"/>
        <v>0</v>
      </c>
      <c r="Q123" s="40">
        <f t="shared" si="5"/>
        <v>0</v>
      </c>
      <c r="R123" s="40">
        <f t="shared" si="6"/>
        <v>0</v>
      </c>
      <c r="S123" s="41"/>
      <c r="T123" s="41"/>
      <c r="U123" s="41"/>
      <c r="V123" s="41"/>
      <c r="W123" s="41"/>
      <c r="X123" s="41"/>
      <c r="Y123" s="33">
        <f t="shared" si="7"/>
        <v>0</v>
      </c>
    </row>
    <row r="124" spans="4:25" x14ac:dyDescent="0.25">
      <c r="D124" s="69"/>
      <c r="E124" s="34"/>
      <c r="F124" s="34"/>
      <c r="H124" s="35"/>
      <c r="I124" s="36"/>
      <c r="J124" s="37"/>
      <c r="K124" s="38"/>
      <c r="L124" s="29"/>
      <c r="M124" s="29"/>
      <c r="N124" s="29"/>
      <c r="O124" s="39"/>
      <c r="P124" s="40">
        <f t="shared" si="4"/>
        <v>0</v>
      </c>
      <c r="Q124" s="40">
        <f t="shared" si="5"/>
        <v>0</v>
      </c>
      <c r="R124" s="40">
        <f t="shared" si="6"/>
        <v>0</v>
      </c>
      <c r="S124" s="41"/>
      <c r="T124" s="41"/>
      <c r="U124" s="41"/>
      <c r="V124" s="41"/>
      <c r="W124" s="41"/>
      <c r="X124" s="41"/>
      <c r="Y124" s="33">
        <f t="shared" si="7"/>
        <v>0</v>
      </c>
    </row>
    <row r="125" spans="4:25" x14ac:dyDescent="0.25">
      <c r="D125" s="69"/>
      <c r="E125" s="34"/>
      <c r="F125" s="34"/>
      <c r="H125" s="35"/>
      <c r="I125" s="36"/>
      <c r="J125" s="37"/>
      <c r="K125" s="38"/>
      <c r="L125" s="29"/>
      <c r="M125" s="29"/>
      <c r="N125" s="29"/>
      <c r="O125" s="39"/>
      <c r="P125" s="40">
        <f t="shared" si="4"/>
        <v>0</v>
      </c>
      <c r="Q125" s="40">
        <f t="shared" si="5"/>
        <v>0</v>
      </c>
      <c r="R125" s="40">
        <f t="shared" si="6"/>
        <v>0</v>
      </c>
      <c r="S125" s="41"/>
      <c r="T125" s="41"/>
      <c r="U125" s="41"/>
      <c r="V125" s="41"/>
      <c r="W125" s="41"/>
      <c r="X125" s="41"/>
      <c r="Y125" s="33">
        <f t="shared" si="7"/>
        <v>0</v>
      </c>
    </row>
    <row r="126" spans="4:25" x14ac:dyDescent="0.25">
      <c r="D126" s="69"/>
      <c r="E126" s="34"/>
      <c r="F126" s="34"/>
      <c r="H126" s="35"/>
      <c r="I126" s="36"/>
      <c r="J126" s="37"/>
      <c r="K126" s="38"/>
      <c r="L126" s="29"/>
      <c r="M126" s="29"/>
      <c r="N126" s="29"/>
      <c r="O126" s="39"/>
      <c r="P126" s="40">
        <f t="shared" si="4"/>
        <v>0</v>
      </c>
      <c r="Q126" s="40">
        <f t="shared" si="5"/>
        <v>0</v>
      </c>
      <c r="R126" s="40">
        <f t="shared" si="6"/>
        <v>0</v>
      </c>
      <c r="S126" s="41"/>
      <c r="T126" s="41"/>
      <c r="U126" s="41"/>
      <c r="V126" s="41"/>
      <c r="W126" s="41"/>
      <c r="X126" s="41"/>
      <c r="Y126" s="33">
        <f t="shared" si="7"/>
        <v>0</v>
      </c>
    </row>
    <row r="127" spans="4:25" x14ac:dyDescent="0.25">
      <c r="D127" s="69"/>
      <c r="E127" s="34"/>
      <c r="F127" s="34"/>
      <c r="H127" s="35"/>
      <c r="I127" s="36"/>
      <c r="J127" s="37"/>
      <c r="K127" s="38"/>
      <c r="L127" s="29"/>
      <c r="M127" s="29"/>
      <c r="N127" s="29"/>
      <c r="O127" s="39"/>
      <c r="P127" s="40">
        <f t="shared" si="4"/>
        <v>0</v>
      </c>
      <c r="Q127" s="40">
        <f t="shared" si="5"/>
        <v>0</v>
      </c>
      <c r="R127" s="40">
        <f t="shared" si="6"/>
        <v>0</v>
      </c>
      <c r="S127" s="41"/>
      <c r="T127" s="41"/>
      <c r="U127" s="41"/>
      <c r="V127" s="41"/>
      <c r="W127" s="41"/>
      <c r="X127" s="41"/>
      <c r="Y127" s="33">
        <f t="shared" si="7"/>
        <v>0</v>
      </c>
    </row>
    <row r="128" spans="4:25" x14ac:dyDescent="0.25">
      <c r="D128" s="69"/>
      <c r="E128" s="34"/>
      <c r="F128" s="34"/>
      <c r="H128" s="35"/>
      <c r="I128" s="36"/>
      <c r="J128" s="37"/>
      <c r="K128" s="38"/>
      <c r="L128" s="29"/>
      <c r="M128" s="29"/>
      <c r="N128" s="29"/>
      <c r="O128" s="39"/>
      <c r="P128" s="40">
        <f t="shared" si="4"/>
        <v>0</v>
      </c>
      <c r="Q128" s="40">
        <f t="shared" si="5"/>
        <v>0</v>
      </c>
      <c r="R128" s="40">
        <f t="shared" si="6"/>
        <v>0</v>
      </c>
      <c r="S128" s="41"/>
      <c r="T128" s="41"/>
      <c r="U128" s="41"/>
      <c r="V128" s="41"/>
      <c r="W128" s="41"/>
      <c r="X128" s="41"/>
      <c r="Y128" s="33">
        <f t="shared" si="7"/>
        <v>0</v>
      </c>
    </row>
    <row r="129" spans="4:25" x14ac:dyDescent="0.25">
      <c r="D129" s="69"/>
      <c r="E129" s="34"/>
      <c r="F129" s="34"/>
      <c r="H129" s="35"/>
      <c r="I129" s="36"/>
      <c r="J129" s="37"/>
      <c r="K129" s="38"/>
      <c r="L129" s="29"/>
      <c r="M129" s="29"/>
      <c r="N129" s="29"/>
      <c r="O129" s="39"/>
      <c r="P129" s="40">
        <f t="shared" si="4"/>
        <v>0</v>
      </c>
      <c r="Q129" s="40">
        <f t="shared" si="5"/>
        <v>0</v>
      </c>
      <c r="R129" s="40">
        <f t="shared" si="6"/>
        <v>0</v>
      </c>
      <c r="S129" s="41"/>
      <c r="T129" s="41"/>
      <c r="U129" s="41"/>
      <c r="V129" s="41"/>
      <c r="W129" s="41"/>
      <c r="X129" s="41"/>
      <c r="Y129" s="33">
        <f t="shared" si="7"/>
        <v>0</v>
      </c>
    </row>
    <row r="130" spans="4:25" x14ac:dyDescent="0.25">
      <c r="D130" s="69"/>
      <c r="E130" s="34"/>
      <c r="F130" s="34"/>
      <c r="H130" s="35"/>
      <c r="I130" s="36"/>
      <c r="J130" s="37"/>
      <c r="K130" s="38"/>
      <c r="L130" s="29"/>
      <c r="M130" s="29"/>
      <c r="N130" s="29"/>
      <c r="O130" s="39"/>
      <c r="P130" s="40">
        <f t="shared" si="4"/>
        <v>0</v>
      </c>
      <c r="Q130" s="40">
        <f t="shared" si="5"/>
        <v>0</v>
      </c>
      <c r="R130" s="40">
        <f t="shared" si="6"/>
        <v>0</v>
      </c>
      <c r="S130" s="41"/>
      <c r="T130" s="41"/>
      <c r="U130" s="41"/>
      <c r="V130" s="41"/>
      <c r="W130" s="41"/>
      <c r="X130" s="41"/>
      <c r="Y130" s="33">
        <f t="shared" si="7"/>
        <v>0</v>
      </c>
    </row>
    <row r="131" spans="4:25" x14ac:dyDescent="0.25">
      <c r="D131" s="69"/>
      <c r="E131" s="34"/>
      <c r="F131" s="34"/>
      <c r="H131" s="35"/>
      <c r="I131" s="36"/>
      <c r="J131" s="37"/>
      <c r="K131" s="38"/>
      <c r="L131" s="29"/>
      <c r="M131" s="29"/>
      <c r="N131" s="29"/>
      <c r="O131" s="39"/>
      <c r="P131" s="40">
        <f t="shared" ref="P131:P194" si="8">$L131*$O131</f>
        <v>0</v>
      </c>
      <c r="Q131" s="40">
        <f t="shared" si="5"/>
        <v>0</v>
      </c>
      <c r="R131" s="40">
        <f t="shared" si="6"/>
        <v>0</v>
      </c>
      <c r="S131" s="41"/>
      <c r="T131" s="41"/>
      <c r="U131" s="41"/>
      <c r="V131" s="41"/>
      <c r="W131" s="41"/>
      <c r="X131" s="41"/>
      <c r="Y131" s="33">
        <f t="shared" si="7"/>
        <v>0</v>
      </c>
    </row>
    <row r="132" spans="4:25" x14ac:dyDescent="0.25">
      <c r="D132" s="69"/>
      <c r="E132" s="34"/>
      <c r="F132" s="34"/>
      <c r="H132" s="35"/>
      <c r="I132" s="36"/>
      <c r="J132" s="37"/>
      <c r="K132" s="38"/>
      <c r="L132" s="29"/>
      <c r="M132" s="29"/>
      <c r="N132" s="29"/>
      <c r="O132" s="39"/>
      <c r="P132" s="40">
        <f t="shared" si="8"/>
        <v>0</v>
      </c>
      <c r="Q132" s="40">
        <f t="shared" ref="Q132:Q195" si="9">IF(E132="NE",(M132*O132*1.5),(M132*O132))</f>
        <v>0</v>
      </c>
      <c r="R132" s="40">
        <f t="shared" ref="R132:R195" si="10">P132+Q132</f>
        <v>0</v>
      </c>
      <c r="S132" s="41"/>
      <c r="T132" s="41"/>
      <c r="U132" s="41"/>
      <c r="V132" s="41"/>
      <c r="W132" s="41"/>
      <c r="X132" s="41"/>
      <c r="Y132" s="33">
        <f t="shared" ref="Y132:Y195" si="11">SUM(R132:X132)</f>
        <v>0</v>
      </c>
    </row>
    <row r="133" spans="4:25" x14ac:dyDescent="0.25">
      <c r="D133" s="69"/>
      <c r="E133" s="34"/>
      <c r="F133" s="34"/>
      <c r="H133" s="35"/>
      <c r="I133" s="36"/>
      <c r="J133" s="37"/>
      <c r="K133" s="38"/>
      <c r="L133" s="29"/>
      <c r="M133" s="29"/>
      <c r="N133" s="29"/>
      <c r="O133" s="39"/>
      <c r="P133" s="40">
        <f t="shared" si="8"/>
        <v>0</v>
      </c>
      <c r="Q133" s="40">
        <f t="shared" si="9"/>
        <v>0</v>
      </c>
      <c r="R133" s="40">
        <f t="shared" si="10"/>
        <v>0</v>
      </c>
      <c r="S133" s="41"/>
      <c r="T133" s="41"/>
      <c r="U133" s="41"/>
      <c r="V133" s="41"/>
      <c r="W133" s="41"/>
      <c r="X133" s="41"/>
      <c r="Y133" s="33">
        <f t="shared" si="11"/>
        <v>0</v>
      </c>
    </row>
    <row r="134" spans="4:25" x14ac:dyDescent="0.25">
      <c r="D134" s="69"/>
      <c r="E134" s="34"/>
      <c r="F134" s="34"/>
      <c r="H134" s="35"/>
      <c r="I134" s="36"/>
      <c r="J134" s="37"/>
      <c r="K134" s="38"/>
      <c r="L134" s="29"/>
      <c r="M134" s="29"/>
      <c r="N134" s="29"/>
      <c r="O134" s="39"/>
      <c r="P134" s="40">
        <f t="shared" si="8"/>
        <v>0</v>
      </c>
      <c r="Q134" s="40">
        <f t="shared" si="9"/>
        <v>0</v>
      </c>
      <c r="R134" s="40">
        <f t="shared" si="10"/>
        <v>0</v>
      </c>
      <c r="S134" s="41"/>
      <c r="T134" s="41"/>
      <c r="U134" s="41"/>
      <c r="V134" s="41"/>
      <c r="W134" s="41"/>
      <c r="X134" s="41"/>
      <c r="Y134" s="33">
        <f t="shared" si="11"/>
        <v>0</v>
      </c>
    </row>
    <row r="135" spans="4:25" x14ac:dyDescent="0.25">
      <c r="D135" s="69"/>
      <c r="E135" s="34"/>
      <c r="F135" s="34"/>
      <c r="H135" s="35"/>
      <c r="I135" s="36"/>
      <c r="J135" s="37"/>
      <c r="K135" s="38"/>
      <c r="L135" s="29"/>
      <c r="M135" s="29"/>
      <c r="N135" s="29"/>
      <c r="O135" s="39"/>
      <c r="P135" s="40">
        <f t="shared" si="8"/>
        <v>0</v>
      </c>
      <c r="Q135" s="40">
        <f t="shared" si="9"/>
        <v>0</v>
      </c>
      <c r="R135" s="40">
        <f t="shared" si="10"/>
        <v>0</v>
      </c>
      <c r="S135" s="41"/>
      <c r="T135" s="41"/>
      <c r="U135" s="41"/>
      <c r="V135" s="41"/>
      <c r="W135" s="41"/>
      <c r="X135" s="41"/>
      <c r="Y135" s="33">
        <f t="shared" si="11"/>
        <v>0</v>
      </c>
    </row>
    <row r="136" spans="4:25" x14ac:dyDescent="0.25">
      <c r="D136" s="69"/>
      <c r="E136" s="34"/>
      <c r="F136" s="34"/>
      <c r="H136" s="35"/>
      <c r="I136" s="36"/>
      <c r="J136" s="37"/>
      <c r="K136" s="38"/>
      <c r="L136" s="29"/>
      <c r="M136" s="29"/>
      <c r="N136" s="29"/>
      <c r="O136" s="39"/>
      <c r="P136" s="40">
        <f t="shared" si="8"/>
        <v>0</v>
      </c>
      <c r="Q136" s="40">
        <f t="shared" si="9"/>
        <v>0</v>
      </c>
      <c r="R136" s="40">
        <f t="shared" si="10"/>
        <v>0</v>
      </c>
      <c r="S136" s="41"/>
      <c r="T136" s="41"/>
      <c r="U136" s="41"/>
      <c r="V136" s="41"/>
      <c r="W136" s="41"/>
      <c r="X136" s="41"/>
      <c r="Y136" s="33">
        <f t="shared" si="11"/>
        <v>0</v>
      </c>
    </row>
    <row r="137" spans="4:25" x14ac:dyDescent="0.25">
      <c r="D137" s="69"/>
      <c r="E137" s="34"/>
      <c r="F137" s="34"/>
      <c r="H137" s="35"/>
      <c r="I137" s="36"/>
      <c r="J137" s="37"/>
      <c r="K137" s="38"/>
      <c r="L137" s="29"/>
      <c r="M137" s="29"/>
      <c r="N137" s="29"/>
      <c r="O137" s="39"/>
      <c r="P137" s="40">
        <f t="shared" si="8"/>
        <v>0</v>
      </c>
      <c r="Q137" s="40">
        <f t="shared" si="9"/>
        <v>0</v>
      </c>
      <c r="R137" s="40">
        <f t="shared" si="10"/>
        <v>0</v>
      </c>
      <c r="S137" s="41"/>
      <c r="T137" s="41"/>
      <c r="U137" s="41"/>
      <c r="V137" s="41"/>
      <c r="W137" s="41"/>
      <c r="X137" s="41"/>
      <c r="Y137" s="33">
        <f t="shared" si="11"/>
        <v>0</v>
      </c>
    </row>
    <row r="138" spans="4:25" x14ac:dyDescent="0.25">
      <c r="D138" s="69"/>
      <c r="E138" s="34"/>
      <c r="F138" s="34"/>
      <c r="H138" s="35"/>
      <c r="I138" s="36"/>
      <c r="J138" s="37"/>
      <c r="K138" s="38"/>
      <c r="L138" s="29"/>
      <c r="M138" s="29"/>
      <c r="N138" s="29"/>
      <c r="O138" s="39"/>
      <c r="P138" s="40">
        <f t="shared" si="8"/>
        <v>0</v>
      </c>
      <c r="Q138" s="40">
        <f t="shared" si="9"/>
        <v>0</v>
      </c>
      <c r="R138" s="40">
        <f t="shared" si="10"/>
        <v>0</v>
      </c>
      <c r="S138" s="41"/>
      <c r="T138" s="41"/>
      <c r="U138" s="41"/>
      <c r="V138" s="41"/>
      <c r="W138" s="41"/>
      <c r="X138" s="41"/>
      <c r="Y138" s="33">
        <f t="shared" si="11"/>
        <v>0</v>
      </c>
    </row>
    <row r="139" spans="4:25" x14ac:dyDescent="0.25">
      <c r="D139" s="69"/>
      <c r="E139" s="34"/>
      <c r="F139" s="34"/>
      <c r="H139" s="35"/>
      <c r="I139" s="36"/>
      <c r="J139" s="37"/>
      <c r="K139" s="38"/>
      <c r="L139" s="29"/>
      <c r="M139" s="29"/>
      <c r="N139" s="29"/>
      <c r="O139" s="39"/>
      <c r="P139" s="40">
        <f t="shared" si="8"/>
        <v>0</v>
      </c>
      <c r="Q139" s="40">
        <f t="shared" si="9"/>
        <v>0</v>
      </c>
      <c r="R139" s="40">
        <f t="shared" si="10"/>
        <v>0</v>
      </c>
      <c r="S139" s="41"/>
      <c r="T139" s="41"/>
      <c r="U139" s="41"/>
      <c r="V139" s="41"/>
      <c r="W139" s="41"/>
      <c r="X139" s="41"/>
      <c r="Y139" s="33">
        <f t="shared" si="11"/>
        <v>0</v>
      </c>
    </row>
    <row r="140" spans="4:25" x14ac:dyDescent="0.25">
      <c r="D140" s="69"/>
      <c r="E140" s="34"/>
      <c r="F140" s="34"/>
      <c r="H140" s="35"/>
      <c r="I140" s="36"/>
      <c r="J140" s="37"/>
      <c r="K140" s="38"/>
      <c r="L140" s="29"/>
      <c r="M140" s="29"/>
      <c r="N140" s="29"/>
      <c r="O140" s="39"/>
      <c r="P140" s="40">
        <f t="shared" si="8"/>
        <v>0</v>
      </c>
      <c r="Q140" s="40">
        <f t="shared" si="9"/>
        <v>0</v>
      </c>
      <c r="R140" s="40">
        <f t="shared" si="10"/>
        <v>0</v>
      </c>
      <c r="S140" s="41"/>
      <c r="T140" s="41"/>
      <c r="U140" s="41"/>
      <c r="V140" s="41"/>
      <c r="W140" s="41"/>
      <c r="X140" s="41"/>
      <c r="Y140" s="33">
        <f t="shared" si="11"/>
        <v>0</v>
      </c>
    </row>
    <row r="141" spans="4:25" x14ac:dyDescent="0.25">
      <c r="D141" s="69"/>
      <c r="E141" s="34"/>
      <c r="F141" s="34"/>
      <c r="H141" s="35"/>
      <c r="I141" s="36"/>
      <c r="J141" s="37"/>
      <c r="K141" s="38"/>
      <c r="L141" s="29"/>
      <c r="M141" s="29"/>
      <c r="N141" s="29"/>
      <c r="O141" s="39"/>
      <c r="P141" s="40">
        <f t="shared" si="8"/>
        <v>0</v>
      </c>
      <c r="Q141" s="40">
        <f t="shared" si="9"/>
        <v>0</v>
      </c>
      <c r="R141" s="40">
        <f t="shared" si="10"/>
        <v>0</v>
      </c>
      <c r="S141" s="41"/>
      <c r="T141" s="41"/>
      <c r="U141" s="41"/>
      <c r="V141" s="41"/>
      <c r="W141" s="41"/>
      <c r="X141" s="41"/>
      <c r="Y141" s="33">
        <f t="shared" si="11"/>
        <v>0</v>
      </c>
    </row>
    <row r="142" spans="4:25" x14ac:dyDescent="0.25">
      <c r="D142" s="69"/>
      <c r="E142" s="34"/>
      <c r="F142" s="34"/>
      <c r="G142" s="38"/>
      <c r="H142" s="35"/>
      <c r="I142" s="36"/>
      <c r="J142" s="37"/>
      <c r="K142" s="38"/>
      <c r="L142" s="29"/>
      <c r="M142" s="29"/>
      <c r="N142" s="29"/>
      <c r="O142" s="39"/>
      <c r="P142" s="40">
        <f t="shared" si="8"/>
        <v>0</v>
      </c>
      <c r="Q142" s="40">
        <f t="shared" si="9"/>
        <v>0</v>
      </c>
      <c r="R142" s="40">
        <f t="shared" si="10"/>
        <v>0</v>
      </c>
      <c r="S142" s="41"/>
      <c r="T142" s="41"/>
      <c r="U142" s="41"/>
      <c r="V142" s="41"/>
      <c r="W142" s="41"/>
      <c r="X142" s="41"/>
      <c r="Y142" s="33">
        <f t="shared" si="11"/>
        <v>0</v>
      </c>
    </row>
    <row r="143" spans="4:25" x14ac:dyDescent="0.25">
      <c r="D143" s="69"/>
      <c r="E143" s="34"/>
      <c r="F143" s="34"/>
      <c r="G143" s="38"/>
      <c r="H143" s="35"/>
      <c r="I143" s="36"/>
      <c r="J143" s="37"/>
      <c r="K143" s="38"/>
      <c r="L143" s="29"/>
      <c r="M143" s="29"/>
      <c r="N143" s="29"/>
      <c r="O143" s="39"/>
      <c r="P143" s="40">
        <f t="shared" si="8"/>
        <v>0</v>
      </c>
      <c r="Q143" s="40">
        <f t="shared" si="9"/>
        <v>0</v>
      </c>
      <c r="R143" s="40">
        <f t="shared" si="10"/>
        <v>0</v>
      </c>
      <c r="S143" s="41"/>
      <c r="T143" s="41"/>
      <c r="U143" s="41"/>
      <c r="V143" s="41"/>
      <c r="W143" s="41"/>
      <c r="X143" s="41"/>
      <c r="Y143" s="33">
        <f t="shared" si="11"/>
        <v>0</v>
      </c>
    </row>
    <row r="144" spans="4:25" x14ac:dyDescent="0.25">
      <c r="D144" s="69"/>
      <c r="E144" s="34"/>
      <c r="F144" s="34"/>
      <c r="H144" s="35"/>
      <c r="I144" s="36"/>
      <c r="J144" s="37"/>
      <c r="K144" s="38"/>
      <c r="L144" s="29"/>
      <c r="M144" s="29"/>
      <c r="N144" s="29"/>
      <c r="O144" s="39"/>
      <c r="P144" s="40">
        <f t="shared" si="8"/>
        <v>0</v>
      </c>
      <c r="Q144" s="40">
        <f t="shared" si="9"/>
        <v>0</v>
      </c>
      <c r="R144" s="40">
        <f t="shared" si="10"/>
        <v>0</v>
      </c>
      <c r="S144" s="41"/>
      <c r="T144" s="41"/>
      <c r="U144" s="41"/>
      <c r="V144" s="41"/>
      <c r="W144" s="41"/>
      <c r="X144" s="41"/>
      <c r="Y144" s="33">
        <f t="shared" si="11"/>
        <v>0</v>
      </c>
    </row>
    <row r="145" spans="4:25" x14ac:dyDescent="0.25">
      <c r="D145" s="69"/>
      <c r="E145" s="34"/>
      <c r="F145" s="34"/>
      <c r="H145" s="35"/>
      <c r="I145" s="36"/>
      <c r="J145" s="37"/>
      <c r="K145" s="38"/>
      <c r="L145" s="29"/>
      <c r="M145" s="29"/>
      <c r="N145" s="29"/>
      <c r="O145" s="39"/>
      <c r="P145" s="40">
        <f t="shared" si="8"/>
        <v>0</v>
      </c>
      <c r="Q145" s="40">
        <f t="shared" si="9"/>
        <v>0</v>
      </c>
      <c r="R145" s="40">
        <f t="shared" si="10"/>
        <v>0</v>
      </c>
      <c r="S145" s="41"/>
      <c r="T145" s="41"/>
      <c r="U145" s="41"/>
      <c r="V145" s="41"/>
      <c r="W145" s="41"/>
      <c r="X145" s="41"/>
      <c r="Y145" s="33">
        <f t="shared" si="11"/>
        <v>0</v>
      </c>
    </row>
    <row r="146" spans="4:25" x14ac:dyDescent="0.25">
      <c r="D146" s="69"/>
      <c r="E146" s="34"/>
      <c r="F146" s="34"/>
      <c r="H146" s="35"/>
      <c r="I146" s="36"/>
      <c r="J146" s="37"/>
      <c r="K146" s="38"/>
      <c r="L146" s="29"/>
      <c r="M146" s="29"/>
      <c r="N146" s="29"/>
      <c r="O146" s="39"/>
      <c r="P146" s="40">
        <f t="shared" si="8"/>
        <v>0</v>
      </c>
      <c r="Q146" s="40">
        <f t="shared" si="9"/>
        <v>0</v>
      </c>
      <c r="R146" s="40">
        <f t="shared" si="10"/>
        <v>0</v>
      </c>
      <c r="S146" s="41"/>
      <c r="T146" s="41"/>
      <c r="U146" s="41"/>
      <c r="V146" s="41"/>
      <c r="W146" s="41"/>
      <c r="X146" s="41"/>
      <c r="Y146" s="33">
        <f t="shared" si="11"/>
        <v>0</v>
      </c>
    </row>
    <row r="147" spans="4:25" x14ac:dyDescent="0.25">
      <c r="D147" s="69"/>
      <c r="E147" s="34"/>
      <c r="F147" s="34"/>
      <c r="H147" s="35"/>
      <c r="I147" s="36"/>
      <c r="J147" s="37"/>
      <c r="K147" s="38"/>
      <c r="L147" s="29"/>
      <c r="M147" s="29"/>
      <c r="N147" s="29"/>
      <c r="O147" s="39"/>
      <c r="P147" s="40">
        <f t="shared" si="8"/>
        <v>0</v>
      </c>
      <c r="Q147" s="40">
        <f t="shared" si="9"/>
        <v>0</v>
      </c>
      <c r="R147" s="40">
        <f t="shared" si="10"/>
        <v>0</v>
      </c>
      <c r="S147" s="41"/>
      <c r="T147" s="41"/>
      <c r="U147" s="41"/>
      <c r="V147" s="41"/>
      <c r="W147" s="41"/>
      <c r="X147" s="41"/>
      <c r="Y147" s="33">
        <f t="shared" si="11"/>
        <v>0</v>
      </c>
    </row>
    <row r="148" spans="4:25" x14ac:dyDescent="0.25">
      <c r="D148" s="69"/>
      <c r="E148" s="34"/>
      <c r="F148" s="34"/>
      <c r="H148" s="35"/>
      <c r="I148" s="36"/>
      <c r="J148" s="37"/>
      <c r="K148" s="38"/>
      <c r="L148" s="29"/>
      <c r="M148" s="29"/>
      <c r="N148" s="29"/>
      <c r="O148" s="39"/>
      <c r="P148" s="40">
        <f t="shared" si="8"/>
        <v>0</v>
      </c>
      <c r="Q148" s="40">
        <f t="shared" si="9"/>
        <v>0</v>
      </c>
      <c r="R148" s="40">
        <f t="shared" si="10"/>
        <v>0</v>
      </c>
      <c r="S148" s="41"/>
      <c r="T148" s="41"/>
      <c r="U148" s="41"/>
      <c r="V148" s="41"/>
      <c r="W148" s="41"/>
      <c r="X148" s="41"/>
      <c r="Y148" s="33">
        <f t="shared" si="11"/>
        <v>0</v>
      </c>
    </row>
    <row r="149" spans="4:25" x14ac:dyDescent="0.25">
      <c r="D149" s="69"/>
      <c r="E149" s="34"/>
      <c r="F149" s="34"/>
      <c r="H149" s="35"/>
      <c r="I149" s="36"/>
      <c r="J149" s="37"/>
      <c r="K149" s="38"/>
      <c r="L149" s="29"/>
      <c r="M149" s="29"/>
      <c r="N149" s="29"/>
      <c r="O149" s="39"/>
      <c r="P149" s="40">
        <f t="shared" si="8"/>
        <v>0</v>
      </c>
      <c r="Q149" s="40">
        <f t="shared" si="9"/>
        <v>0</v>
      </c>
      <c r="R149" s="40">
        <f t="shared" si="10"/>
        <v>0</v>
      </c>
      <c r="S149" s="41"/>
      <c r="T149" s="41"/>
      <c r="U149" s="41"/>
      <c r="V149" s="41"/>
      <c r="W149" s="41"/>
      <c r="X149" s="41"/>
      <c r="Y149" s="33">
        <f t="shared" si="11"/>
        <v>0</v>
      </c>
    </row>
    <row r="150" spans="4:25" x14ac:dyDescent="0.25">
      <c r="D150" s="69"/>
      <c r="E150" s="34"/>
      <c r="F150" s="34"/>
      <c r="H150" s="35"/>
      <c r="I150" s="36"/>
      <c r="J150" s="37"/>
      <c r="K150" s="38"/>
      <c r="L150" s="29"/>
      <c r="M150" s="29"/>
      <c r="N150" s="29"/>
      <c r="O150" s="39"/>
      <c r="P150" s="40">
        <f t="shared" si="8"/>
        <v>0</v>
      </c>
      <c r="Q150" s="40">
        <f t="shared" si="9"/>
        <v>0</v>
      </c>
      <c r="R150" s="40">
        <f t="shared" si="10"/>
        <v>0</v>
      </c>
      <c r="S150" s="41"/>
      <c r="T150" s="41"/>
      <c r="U150" s="41"/>
      <c r="V150" s="41"/>
      <c r="W150" s="41"/>
      <c r="X150" s="41"/>
      <c r="Y150" s="33">
        <f t="shared" si="11"/>
        <v>0</v>
      </c>
    </row>
    <row r="151" spans="4:25" x14ac:dyDescent="0.25">
      <c r="D151" s="69"/>
      <c r="E151" s="34"/>
      <c r="F151" s="34"/>
      <c r="H151" s="35"/>
      <c r="I151" s="36"/>
      <c r="J151" s="37"/>
      <c r="K151" s="38"/>
      <c r="L151" s="29"/>
      <c r="M151" s="29"/>
      <c r="N151" s="29"/>
      <c r="O151" s="39"/>
      <c r="P151" s="40">
        <f t="shared" si="8"/>
        <v>0</v>
      </c>
      <c r="Q151" s="40">
        <f t="shared" si="9"/>
        <v>0</v>
      </c>
      <c r="R151" s="40">
        <f t="shared" si="10"/>
        <v>0</v>
      </c>
      <c r="S151" s="41"/>
      <c r="T151" s="41"/>
      <c r="U151" s="41"/>
      <c r="V151" s="41"/>
      <c r="W151" s="41"/>
      <c r="X151" s="41"/>
      <c r="Y151" s="33">
        <f t="shared" si="11"/>
        <v>0</v>
      </c>
    </row>
    <row r="152" spans="4:25" x14ac:dyDescent="0.25">
      <c r="D152" s="69"/>
      <c r="E152" s="34"/>
      <c r="F152" s="34"/>
      <c r="H152" s="35"/>
      <c r="I152" s="36"/>
      <c r="J152" s="37"/>
      <c r="K152" s="38"/>
      <c r="L152" s="29"/>
      <c r="M152" s="29"/>
      <c r="N152" s="29"/>
      <c r="O152" s="39"/>
      <c r="P152" s="40">
        <f t="shared" si="8"/>
        <v>0</v>
      </c>
      <c r="Q152" s="40">
        <f t="shared" si="9"/>
        <v>0</v>
      </c>
      <c r="R152" s="40">
        <f t="shared" si="10"/>
        <v>0</v>
      </c>
      <c r="S152" s="41"/>
      <c r="T152" s="41"/>
      <c r="U152" s="41"/>
      <c r="V152" s="41"/>
      <c r="W152" s="41"/>
      <c r="X152" s="41"/>
      <c r="Y152" s="33">
        <f t="shared" si="11"/>
        <v>0</v>
      </c>
    </row>
    <row r="153" spans="4:25" x14ac:dyDescent="0.25">
      <c r="D153" s="69"/>
      <c r="E153" s="34"/>
      <c r="F153" s="34"/>
      <c r="H153" s="35"/>
      <c r="I153" s="36"/>
      <c r="J153" s="37"/>
      <c r="K153" s="38"/>
      <c r="L153" s="29"/>
      <c r="M153" s="29"/>
      <c r="N153" s="29"/>
      <c r="O153" s="39"/>
      <c r="P153" s="40">
        <f t="shared" si="8"/>
        <v>0</v>
      </c>
      <c r="Q153" s="40">
        <f t="shared" si="9"/>
        <v>0</v>
      </c>
      <c r="R153" s="40">
        <f t="shared" si="10"/>
        <v>0</v>
      </c>
      <c r="S153" s="41"/>
      <c r="T153" s="41"/>
      <c r="U153" s="41"/>
      <c r="V153" s="41"/>
      <c r="W153" s="41"/>
      <c r="X153" s="41"/>
      <c r="Y153" s="33">
        <f t="shared" si="11"/>
        <v>0</v>
      </c>
    </row>
    <row r="154" spans="4:25" x14ac:dyDescent="0.25">
      <c r="D154" s="69"/>
      <c r="E154" s="34"/>
      <c r="F154" s="34"/>
      <c r="H154" s="35"/>
      <c r="I154" s="36"/>
      <c r="J154" s="37"/>
      <c r="K154" s="38"/>
      <c r="L154" s="29"/>
      <c r="M154" s="29"/>
      <c r="N154" s="29"/>
      <c r="O154" s="39"/>
      <c r="P154" s="40">
        <f t="shared" si="8"/>
        <v>0</v>
      </c>
      <c r="Q154" s="40">
        <f t="shared" si="9"/>
        <v>0</v>
      </c>
      <c r="R154" s="40">
        <f t="shared" si="10"/>
        <v>0</v>
      </c>
      <c r="S154" s="41"/>
      <c r="T154" s="41"/>
      <c r="U154" s="41"/>
      <c r="V154" s="41"/>
      <c r="W154" s="41"/>
      <c r="X154" s="41"/>
      <c r="Y154" s="33">
        <f t="shared" si="11"/>
        <v>0</v>
      </c>
    </row>
    <row r="155" spans="4:25" x14ac:dyDescent="0.25">
      <c r="D155" s="69"/>
      <c r="E155" s="34"/>
      <c r="F155" s="34"/>
      <c r="H155" s="35"/>
      <c r="I155" s="36"/>
      <c r="J155" s="37"/>
      <c r="K155" s="38"/>
      <c r="L155" s="29"/>
      <c r="M155" s="29"/>
      <c r="N155" s="29"/>
      <c r="O155" s="39"/>
      <c r="P155" s="40">
        <f t="shared" si="8"/>
        <v>0</v>
      </c>
      <c r="Q155" s="40">
        <f t="shared" si="9"/>
        <v>0</v>
      </c>
      <c r="R155" s="40">
        <f t="shared" si="10"/>
        <v>0</v>
      </c>
      <c r="S155" s="41"/>
      <c r="T155" s="41"/>
      <c r="U155" s="41"/>
      <c r="V155" s="41"/>
      <c r="W155" s="41"/>
      <c r="X155" s="41"/>
      <c r="Y155" s="33">
        <f t="shared" si="11"/>
        <v>0</v>
      </c>
    </row>
    <row r="156" spans="4:25" x14ac:dyDescent="0.25">
      <c r="D156" s="69"/>
      <c r="E156" s="34"/>
      <c r="F156" s="34"/>
      <c r="H156" s="35"/>
      <c r="I156" s="36"/>
      <c r="J156" s="37"/>
      <c r="K156" s="38"/>
      <c r="L156" s="29"/>
      <c r="M156" s="29"/>
      <c r="N156" s="29"/>
      <c r="O156" s="39"/>
      <c r="P156" s="40">
        <f t="shared" si="8"/>
        <v>0</v>
      </c>
      <c r="Q156" s="40">
        <f t="shared" si="9"/>
        <v>0</v>
      </c>
      <c r="R156" s="40">
        <f t="shared" si="10"/>
        <v>0</v>
      </c>
      <c r="S156" s="41"/>
      <c r="T156" s="41"/>
      <c r="U156" s="41"/>
      <c r="V156" s="41"/>
      <c r="W156" s="41"/>
      <c r="X156" s="41"/>
      <c r="Y156" s="33">
        <f t="shared" si="11"/>
        <v>0</v>
      </c>
    </row>
    <row r="157" spans="4:25" x14ac:dyDescent="0.25">
      <c r="D157" s="69"/>
      <c r="E157" s="34"/>
      <c r="F157" s="34"/>
      <c r="H157" s="35"/>
      <c r="I157" s="36"/>
      <c r="J157" s="37"/>
      <c r="K157" s="38"/>
      <c r="L157" s="29"/>
      <c r="M157" s="29"/>
      <c r="N157" s="29"/>
      <c r="O157" s="39"/>
      <c r="P157" s="40">
        <f t="shared" si="8"/>
        <v>0</v>
      </c>
      <c r="Q157" s="40">
        <f t="shared" si="9"/>
        <v>0</v>
      </c>
      <c r="R157" s="40">
        <f t="shared" si="10"/>
        <v>0</v>
      </c>
      <c r="S157" s="41"/>
      <c r="T157" s="41"/>
      <c r="U157" s="41"/>
      <c r="V157" s="41"/>
      <c r="W157" s="41"/>
      <c r="X157" s="41"/>
      <c r="Y157" s="33">
        <f t="shared" si="11"/>
        <v>0</v>
      </c>
    </row>
    <row r="158" spans="4:25" x14ac:dyDescent="0.25">
      <c r="D158" s="69"/>
      <c r="E158" s="34"/>
      <c r="F158" s="34"/>
      <c r="H158" s="35"/>
      <c r="I158" s="36"/>
      <c r="J158" s="37"/>
      <c r="K158" s="38"/>
      <c r="L158" s="29"/>
      <c r="M158" s="29"/>
      <c r="N158" s="29"/>
      <c r="O158" s="39"/>
      <c r="P158" s="40">
        <f t="shared" si="8"/>
        <v>0</v>
      </c>
      <c r="Q158" s="40">
        <f t="shared" si="9"/>
        <v>0</v>
      </c>
      <c r="R158" s="40">
        <f t="shared" si="10"/>
        <v>0</v>
      </c>
      <c r="S158" s="41"/>
      <c r="T158" s="41"/>
      <c r="U158" s="41"/>
      <c r="V158" s="41"/>
      <c r="W158" s="41"/>
      <c r="X158" s="41"/>
      <c r="Y158" s="33">
        <f t="shared" si="11"/>
        <v>0</v>
      </c>
    </row>
    <row r="159" spans="4:25" x14ac:dyDescent="0.25">
      <c r="D159" s="69"/>
      <c r="E159" s="34"/>
      <c r="F159" s="34"/>
      <c r="H159" s="35"/>
      <c r="I159" s="36"/>
      <c r="J159" s="37"/>
      <c r="K159" s="38"/>
      <c r="L159" s="29"/>
      <c r="M159" s="29"/>
      <c r="N159" s="29"/>
      <c r="O159" s="39"/>
      <c r="P159" s="40">
        <f t="shared" si="8"/>
        <v>0</v>
      </c>
      <c r="Q159" s="40">
        <f t="shared" si="9"/>
        <v>0</v>
      </c>
      <c r="R159" s="40">
        <f t="shared" si="10"/>
        <v>0</v>
      </c>
      <c r="S159" s="41"/>
      <c r="T159" s="41"/>
      <c r="U159" s="41"/>
      <c r="V159" s="41"/>
      <c r="W159" s="41"/>
      <c r="X159" s="41"/>
      <c r="Y159" s="33">
        <f t="shared" si="11"/>
        <v>0</v>
      </c>
    </row>
    <row r="160" spans="4:25" x14ac:dyDescent="0.25">
      <c r="D160" s="69"/>
      <c r="E160" s="34"/>
      <c r="F160" s="34"/>
      <c r="H160" s="35"/>
      <c r="I160" s="36"/>
      <c r="J160" s="37"/>
      <c r="K160" s="38"/>
      <c r="L160" s="29"/>
      <c r="M160" s="29"/>
      <c r="N160" s="29"/>
      <c r="O160" s="39"/>
      <c r="P160" s="40">
        <f t="shared" si="8"/>
        <v>0</v>
      </c>
      <c r="Q160" s="40">
        <f t="shared" si="9"/>
        <v>0</v>
      </c>
      <c r="R160" s="40">
        <f t="shared" si="10"/>
        <v>0</v>
      </c>
      <c r="S160" s="41"/>
      <c r="T160" s="41"/>
      <c r="U160" s="41"/>
      <c r="V160" s="41"/>
      <c r="W160" s="41"/>
      <c r="X160" s="41"/>
      <c r="Y160" s="33">
        <f t="shared" si="11"/>
        <v>0</v>
      </c>
    </row>
    <row r="161" spans="4:25" x14ac:dyDescent="0.25">
      <c r="D161" s="69"/>
      <c r="E161" s="34"/>
      <c r="F161" s="34"/>
      <c r="H161" s="35"/>
      <c r="I161" s="36"/>
      <c r="J161" s="37"/>
      <c r="K161" s="38"/>
      <c r="L161" s="29"/>
      <c r="M161" s="29"/>
      <c r="N161" s="29"/>
      <c r="O161" s="39"/>
      <c r="P161" s="40">
        <f t="shared" si="8"/>
        <v>0</v>
      </c>
      <c r="Q161" s="40">
        <f t="shared" si="9"/>
        <v>0</v>
      </c>
      <c r="R161" s="40">
        <f t="shared" si="10"/>
        <v>0</v>
      </c>
      <c r="S161" s="41"/>
      <c r="T161" s="41"/>
      <c r="U161" s="41"/>
      <c r="V161" s="41"/>
      <c r="W161" s="41"/>
      <c r="X161" s="41"/>
      <c r="Y161" s="33">
        <f t="shared" si="11"/>
        <v>0</v>
      </c>
    </row>
    <row r="162" spans="4:25" x14ac:dyDescent="0.25">
      <c r="D162" s="69"/>
      <c r="E162" s="34"/>
      <c r="F162" s="34"/>
      <c r="H162" s="35"/>
      <c r="I162" s="36"/>
      <c r="J162" s="37"/>
      <c r="K162" s="38"/>
      <c r="L162" s="29"/>
      <c r="M162" s="29"/>
      <c r="N162" s="29"/>
      <c r="O162" s="39"/>
      <c r="P162" s="40">
        <f t="shared" si="8"/>
        <v>0</v>
      </c>
      <c r="Q162" s="40">
        <f t="shared" si="9"/>
        <v>0</v>
      </c>
      <c r="R162" s="40">
        <f t="shared" si="10"/>
        <v>0</v>
      </c>
      <c r="S162" s="41"/>
      <c r="T162" s="41"/>
      <c r="U162" s="41"/>
      <c r="V162" s="41"/>
      <c r="W162" s="41"/>
      <c r="X162" s="41"/>
      <c r="Y162" s="33">
        <f t="shared" si="11"/>
        <v>0</v>
      </c>
    </row>
    <row r="163" spans="4:25" x14ac:dyDescent="0.25">
      <c r="D163" s="69"/>
      <c r="E163" s="34"/>
      <c r="F163" s="34"/>
      <c r="H163" s="35"/>
      <c r="I163" s="36"/>
      <c r="J163" s="37"/>
      <c r="K163" s="38"/>
      <c r="L163" s="29"/>
      <c r="M163" s="29"/>
      <c r="N163" s="29"/>
      <c r="O163" s="39"/>
      <c r="P163" s="40">
        <f t="shared" si="8"/>
        <v>0</v>
      </c>
      <c r="Q163" s="40">
        <f t="shared" si="9"/>
        <v>0</v>
      </c>
      <c r="R163" s="40">
        <f t="shared" si="10"/>
        <v>0</v>
      </c>
      <c r="S163" s="41"/>
      <c r="T163" s="41"/>
      <c r="U163" s="41"/>
      <c r="V163" s="41"/>
      <c r="W163" s="41"/>
      <c r="X163" s="41"/>
      <c r="Y163" s="33">
        <f t="shared" si="11"/>
        <v>0</v>
      </c>
    </row>
    <row r="164" spans="4:25" x14ac:dyDescent="0.25">
      <c r="D164" s="69"/>
      <c r="E164" s="34"/>
      <c r="F164" s="34"/>
      <c r="H164" s="35"/>
      <c r="I164" s="36"/>
      <c r="J164" s="37"/>
      <c r="K164" s="38"/>
      <c r="L164" s="29"/>
      <c r="M164" s="29"/>
      <c r="N164" s="29"/>
      <c r="O164" s="39"/>
      <c r="P164" s="40">
        <f t="shared" si="8"/>
        <v>0</v>
      </c>
      <c r="Q164" s="40">
        <f t="shared" si="9"/>
        <v>0</v>
      </c>
      <c r="R164" s="40">
        <f t="shared" si="10"/>
        <v>0</v>
      </c>
      <c r="S164" s="41"/>
      <c r="T164" s="41"/>
      <c r="U164" s="41"/>
      <c r="V164" s="41"/>
      <c r="W164" s="41"/>
      <c r="X164" s="41"/>
      <c r="Y164" s="33">
        <f t="shared" si="11"/>
        <v>0</v>
      </c>
    </row>
    <row r="165" spans="4:25" x14ac:dyDescent="0.25">
      <c r="D165" s="69"/>
      <c r="E165" s="34"/>
      <c r="F165" s="34"/>
      <c r="H165" s="35"/>
      <c r="I165" s="36"/>
      <c r="J165" s="37"/>
      <c r="K165" s="38"/>
      <c r="L165" s="29"/>
      <c r="M165" s="29"/>
      <c r="N165" s="29"/>
      <c r="O165" s="39"/>
      <c r="P165" s="40">
        <f t="shared" si="8"/>
        <v>0</v>
      </c>
      <c r="Q165" s="40">
        <f t="shared" si="9"/>
        <v>0</v>
      </c>
      <c r="R165" s="40">
        <f t="shared" si="10"/>
        <v>0</v>
      </c>
      <c r="S165" s="41"/>
      <c r="T165" s="41"/>
      <c r="U165" s="41"/>
      <c r="V165" s="41"/>
      <c r="W165" s="41"/>
      <c r="X165" s="41"/>
      <c r="Y165" s="33">
        <f t="shared" si="11"/>
        <v>0</v>
      </c>
    </row>
    <row r="166" spans="4:25" x14ac:dyDescent="0.25">
      <c r="D166" s="69"/>
      <c r="E166" s="34"/>
      <c r="F166" s="34"/>
      <c r="H166" s="35"/>
      <c r="I166" s="36"/>
      <c r="J166" s="37"/>
      <c r="K166" s="38"/>
      <c r="L166" s="29"/>
      <c r="M166" s="29"/>
      <c r="N166" s="29"/>
      <c r="O166" s="39"/>
      <c r="P166" s="40">
        <f t="shared" si="8"/>
        <v>0</v>
      </c>
      <c r="Q166" s="40">
        <f t="shared" si="9"/>
        <v>0</v>
      </c>
      <c r="R166" s="40">
        <f t="shared" si="10"/>
        <v>0</v>
      </c>
      <c r="S166" s="41"/>
      <c r="T166" s="41"/>
      <c r="U166" s="41"/>
      <c r="V166" s="41"/>
      <c r="W166" s="41"/>
      <c r="X166" s="41"/>
      <c r="Y166" s="33">
        <f t="shared" si="11"/>
        <v>0</v>
      </c>
    </row>
    <row r="167" spans="4:25" x14ac:dyDescent="0.25">
      <c r="D167" s="69"/>
      <c r="E167" s="34"/>
      <c r="F167" s="34"/>
      <c r="H167" s="35"/>
      <c r="I167" s="36"/>
      <c r="J167" s="37"/>
      <c r="K167" s="38"/>
      <c r="L167" s="29"/>
      <c r="M167" s="29"/>
      <c r="N167" s="29"/>
      <c r="O167" s="39"/>
      <c r="P167" s="40">
        <f t="shared" si="8"/>
        <v>0</v>
      </c>
      <c r="Q167" s="40">
        <f t="shared" si="9"/>
        <v>0</v>
      </c>
      <c r="R167" s="40">
        <f t="shared" si="10"/>
        <v>0</v>
      </c>
      <c r="S167" s="41"/>
      <c r="T167" s="41"/>
      <c r="U167" s="41"/>
      <c r="V167" s="41"/>
      <c r="W167" s="41"/>
      <c r="X167" s="41"/>
      <c r="Y167" s="33">
        <f t="shared" si="11"/>
        <v>0</v>
      </c>
    </row>
    <row r="168" spans="4:25" x14ac:dyDescent="0.25">
      <c r="D168" s="69"/>
      <c r="E168" s="34"/>
      <c r="F168" s="34"/>
      <c r="H168" s="35"/>
      <c r="I168" s="36"/>
      <c r="J168" s="37"/>
      <c r="K168" s="38"/>
      <c r="L168" s="29"/>
      <c r="M168" s="29"/>
      <c r="N168" s="29"/>
      <c r="O168" s="39"/>
      <c r="P168" s="40">
        <f t="shared" si="8"/>
        <v>0</v>
      </c>
      <c r="Q168" s="40">
        <f t="shared" si="9"/>
        <v>0</v>
      </c>
      <c r="R168" s="40">
        <f t="shared" si="10"/>
        <v>0</v>
      </c>
      <c r="S168" s="41"/>
      <c r="T168" s="41"/>
      <c r="U168" s="41"/>
      <c r="V168" s="41"/>
      <c r="W168" s="41"/>
      <c r="X168" s="41"/>
      <c r="Y168" s="33">
        <f t="shared" si="11"/>
        <v>0</v>
      </c>
    </row>
    <row r="169" spans="4:25" x14ac:dyDescent="0.25">
      <c r="D169" s="69"/>
      <c r="E169" s="34"/>
      <c r="F169" s="34"/>
      <c r="H169" s="35"/>
      <c r="I169" s="36"/>
      <c r="J169" s="37"/>
      <c r="K169" s="38"/>
      <c r="L169" s="29"/>
      <c r="M169" s="29"/>
      <c r="N169" s="29"/>
      <c r="O169" s="39"/>
      <c r="P169" s="40">
        <f t="shared" si="8"/>
        <v>0</v>
      </c>
      <c r="Q169" s="40">
        <f t="shared" si="9"/>
        <v>0</v>
      </c>
      <c r="R169" s="40">
        <f t="shared" si="10"/>
        <v>0</v>
      </c>
      <c r="S169" s="41"/>
      <c r="T169" s="41"/>
      <c r="U169" s="41"/>
      <c r="V169" s="41"/>
      <c r="W169" s="41"/>
      <c r="X169" s="41"/>
      <c r="Y169" s="33">
        <f t="shared" si="11"/>
        <v>0</v>
      </c>
    </row>
    <row r="170" spans="4:25" x14ac:dyDescent="0.25">
      <c r="D170" s="69"/>
      <c r="E170" s="34"/>
      <c r="F170" s="34"/>
      <c r="H170" s="35"/>
      <c r="I170" s="36"/>
      <c r="J170" s="37"/>
      <c r="K170" s="38"/>
      <c r="L170" s="29"/>
      <c r="M170" s="29"/>
      <c r="N170" s="29"/>
      <c r="O170" s="39"/>
      <c r="P170" s="40">
        <f t="shared" si="8"/>
        <v>0</v>
      </c>
      <c r="Q170" s="40">
        <f t="shared" si="9"/>
        <v>0</v>
      </c>
      <c r="R170" s="40">
        <f t="shared" si="10"/>
        <v>0</v>
      </c>
      <c r="S170" s="41"/>
      <c r="T170" s="41"/>
      <c r="U170" s="41"/>
      <c r="V170" s="41"/>
      <c r="W170" s="41"/>
      <c r="X170" s="41"/>
      <c r="Y170" s="33">
        <f t="shared" si="11"/>
        <v>0</v>
      </c>
    </row>
    <row r="171" spans="4:25" x14ac:dyDescent="0.25">
      <c r="D171" s="69"/>
      <c r="E171" s="34"/>
      <c r="F171" s="34"/>
      <c r="H171" s="35"/>
      <c r="I171" s="36"/>
      <c r="J171" s="37"/>
      <c r="K171" s="38"/>
      <c r="L171" s="29"/>
      <c r="M171" s="29"/>
      <c r="N171" s="29"/>
      <c r="O171" s="39"/>
      <c r="P171" s="40">
        <f t="shared" si="8"/>
        <v>0</v>
      </c>
      <c r="Q171" s="40">
        <f t="shared" si="9"/>
        <v>0</v>
      </c>
      <c r="R171" s="40">
        <f t="shared" si="10"/>
        <v>0</v>
      </c>
      <c r="S171" s="41"/>
      <c r="T171" s="41"/>
      <c r="U171" s="41"/>
      <c r="V171" s="41"/>
      <c r="W171" s="41"/>
      <c r="X171" s="41"/>
      <c r="Y171" s="33">
        <f t="shared" si="11"/>
        <v>0</v>
      </c>
    </row>
    <row r="172" spans="4:25" x14ac:dyDescent="0.25">
      <c r="D172" s="69"/>
      <c r="E172" s="34"/>
      <c r="F172" s="34"/>
      <c r="H172" s="35"/>
      <c r="I172" s="36"/>
      <c r="J172" s="37"/>
      <c r="K172" s="38"/>
      <c r="L172" s="29"/>
      <c r="M172" s="29"/>
      <c r="N172" s="29"/>
      <c r="O172" s="39"/>
      <c r="P172" s="40">
        <f t="shared" si="8"/>
        <v>0</v>
      </c>
      <c r="Q172" s="40">
        <f t="shared" si="9"/>
        <v>0</v>
      </c>
      <c r="R172" s="40">
        <f t="shared" si="10"/>
        <v>0</v>
      </c>
      <c r="S172" s="41"/>
      <c r="T172" s="41"/>
      <c r="U172" s="41"/>
      <c r="V172" s="41"/>
      <c r="W172" s="41"/>
      <c r="X172" s="41"/>
      <c r="Y172" s="33">
        <f t="shared" si="11"/>
        <v>0</v>
      </c>
    </row>
    <row r="173" spans="4:25" x14ac:dyDescent="0.25">
      <c r="D173" s="69"/>
      <c r="E173" s="34"/>
      <c r="F173" s="34"/>
      <c r="H173" s="35"/>
      <c r="I173" s="36"/>
      <c r="J173" s="37"/>
      <c r="K173" s="38"/>
      <c r="L173" s="29"/>
      <c r="M173" s="29"/>
      <c r="N173" s="29"/>
      <c r="O173" s="39"/>
      <c r="P173" s="40">
        <f t="shared" si="8"/>
        <v>0</v>
      </c>
      <c r="Q173" s="40">
        <f t="shared" si="9"/>
        <v>0</v>
      </c>
      <c r="R173" s="40">
        <f t="shared" si="10"/>
        <v>0</v>
      </c>
      <c r="S173" s="41"/>
      <c r="T173" s="41"/>
      <c r="U173" s="41"/>
      <c r="V173" s="41"/>
      <c r="W173" s="41"/>
      <c r="X173" s="41"/>
      <c r="Y173" s="33">
        <f t="shared" si="11"/>
        <v>0</v>
      </c>
    </row>
    <row r="174" spans="4:25" x14ac:dyDescent="0.25">
      <c r="D174" s="69"/>
      <c r="E174" s="34"/>
      <c r="F174" s="34"/>
      <c r="H174" s="35"/>
      <c r="I174" s="36"/>
      <c r="J174" s="37"/>
      <c r="K174" s="38"/>
      <c r="L174" s="29"/>
      <c r="M174" s="29"/>
      <c r="N174" s="29"/>
      <c r="O174" s="39"/>
      <c r="P174" s="40">
        <f t="shared" si="8"/>
        <v>0</v>
      </c>
      <c r="Q174" s="40">
        <f t="shared" si="9"/>
        <v>0</v>
      </c>
      <c r="R174" s="40">
        <f t="shared" si="10"/>
        <v>0</v>
      </c>
      <c r="S174" s="41"/>
      <c r="T174" s="41"/>
      <c r="U174" s="41"/>
      <c r="V174" s="41"/>
      <c r="W174" s="41"/>
      <c r="X174" s="41"/>
      <c r="Y174" s="33">
        <f t="shared" si="11"/>
        <v>0</v>
      </c>
    </row>
    <row r="175" spans="4:25" x14ac:dyDescent="0.25">
      <c r="D175" s="69"/>
      <c r="E175" s="34"/>
      <c r="F175" s="34"/>
      <c r="H175" s="35"/>
      <c r="I175" s="36"/>
      <c r="J175" s="37"/>
      <c r="K175" s="38"/>
      <c r="L175" s="29"/>
      <c r="M175" s="29"/>
      <c r="N175" s="29"/>
      <c r="O175" s="39"/>
      <c r="P175" s="40">
        <f t="shared" si="8"/>
        <v>0</v>
      </c>
      <c r="Q175" s="40">
        <f t="shared" si="9"/>
        <v>0</v>
      </c>
      <c r="R175" s="40">
        <f t="shared" si="10"/>
        <v>0</v>
      </c>
      <c r="S175" s="41"/>
      <c r="T175" s="41"/>
      <c r="U175" s="41"/>
      <c r="V175" s="41"/>
      <c r="W175" s="41"/>
      <c r="X175" s="41"/>
      <c r="Y175" s="33">
        <f t="shared" si="11"/>
        <v>0</v>
      </c>
    </row>
    <row r="176" spans="4:25" x14ac:dyDescent="0.25">
      <c r="D176" s="69"/>
      <c r="E176" s="34"/>
      <c r="F176" s="34"/>
      <c r="H176" s="35"/>
      <c r="I176" s="36"/>
      <c r="J176" s="37"/>
      <c r="K176" s="38"/>
      <c r="L176" s="29"/>
      <c r="M176" s="29"/>
      <c r="N176" s="29"/>
      <c r="O176" s="39"/>
      <c r="P176" s="40">
        <f t="shared" si="8"/>
        <v>0</v>
      </c>
      <c r="Q176" s="40">
        <f t="shared" si="9"/>
        <v>0</v>
      </c>
      <c r="R176" s="40">
        <f t="shared" si="10"/>
        <v>0</v>
      </c>
      <c r="S176" s="41"/>
      <c r="T176" s="41"/>
      <c r="U176" s="41"/>
      <c r="V176" s="41"/>
      <c r="W176" s="41"/>
      <c r="X176" s="41"/>
      <c r="Y176" s="33">
        <f t="shared" si="11"/>
        <v>0</v>
      </c>
    </row>
    <row r="177" spans="4:25" x14ac:dyDescent="0.25">
      <c r="D177" s="69"/>
      <c r="E177" s="34"/>
      <c r="F177" s="34"/>
      <c r="H177" s="35"/>
      <c r="I177" s="36"/>
      <c r="J177" s="37"/>
      <c r="K177" s="38"/>
      <c r="L177" s="29"/>
      <c r="M177" s="29"/>
      <c r="N177" s="29"/>
      <c r="O177" s="39"/>
      <c r="P177" s="40">
        <f t="shared" si="8"/>
        <v>0</v>
      </c>
      <c r="Q177" s="40">
        <f t="shared" si="9"/>
        <v>0</v>
      </c>
      <c r="R177" s="40">
        <f t="shared" si="10"/>
        <v>0</v>
      </c>
      <c r="S177" s="41"/>
      <c r="T177" s="41"/>
      <c r="U177" s="41"/>
      <c r="V177" s="41"/>
      <c r="W177" s="41"/>
      <c r="X177" s="41"/>
      <c r="Y177" s="33">
        <f t="shared" si="11"/>
        <v>0</v>
      </c>
    </row>
    <row r="178" spans="4:25" x14ac:dyDescent="0.25">
      <c r="D178" s="69"/>
      <c r="E178" s="34"/>
      <c r="F178" s="34"/>
      <c r="H178" s="35"/>
      <c r="I178" s="36"/>
      <c r="J178" s="37"/>
      <c r="K178" s="38"/>
      <c r="L178" s="29"/>
      <c r="M178" s="29"/>
      <c r="N178" s="29"/>
      <c r="O178" s="39"/>
      <c r="P178" s="40">
        <f t="shared" si="8"/>
        <v>0</v>
      </c>
      <c r="Q178" s="40">
        <f t="shared" si="9"/>
        <v>0</v>
      </c>
      <c r="R178" s="40">
        <f t="shared" si="10"/>
        <v>0</v>
      </c>
      <c r="S178" s="41"/>
      <c r="T178" s="41"/>
      <c r="U178" s="41"/>
      <c r="V178" s="41"/>
      <c r="W178" s="41"/>
      <c r="X178" s="41"/>
      <c r="Y178" s="33">
        <f t="shared" si="11"/>
        <v>0</v>
      </c>
    </row>
    <row r="179" spans="4:25" x14ac:dyDescent="0.25">
      <c r="D179" s="69"/>
      <c r="E179" s="34"/>
      <c r="F179" s="34"/>
      <c r="H179" s="35"/>
      <c r="I179" s="36"/>
      <c r="J179" s="37"/>
      <c r="K179" s="38"/>
      <c r="L179" s="29"/>
      <c r="M179" s="29"/>
      <c r="N179" s="29"/>
      <c r="O179" s="39"/>
      <c r="P179" s="40">
        <f t="shared" si="8"/>
        <v>0</v>
      </c>
      <c r="Q179" s="40">
        <f t="shared" si="9"/>
        <v>0</v>
      </c>
      <c r="R179" s="40">
        <f t="shared" si="10"/>
        <v>0</v>
      </c>
      <c r="S179" s="41"/>
      <c r="T179" s="41"/>
      <c r="U179" s="41"/>
      <c r="V179" s="41"/>
      <c r="W179" s="41"/>
      <c r="X179" s="41"/>
      <c r="Y179" s="33">
        <f t="shared" si="11"/>
        <v>0</v>
      </c>
    </row>
    <row r="180" spans="4:25" x14ac:dyDescent="0.25">
      <c r="D180" s="69"/>
      <c r="E180" s="34"/>
      <c r="F180" s="34"/>
      <c r="H180" s="35"/>
      <c r="I180" s="36"/>
      <c r="J180" s="37"/>
      <c r="K180" s="38"/>
      <c r="L180" s="29"/>
      <c r="M180" s="29"/>
      <c r="N180" s="29"/>
      <c r="O180" s="39"/>
      <c r="P180" s="40">
        <f t="shared" si="8"/>
        <v>0</v>
      </c>
      <c r="Q180" s="40">
        <f t="shared" si="9"/>
        <v>0</v>
      </c>
      <c r="R180" s="40">
        <f t="shared" si="10"/>
        <v>0</v>
      </c>
      <c r="S180" s="41"/>
      <c r="T180" s="41"/>
      <c r="U180" s="41"/>
      <c r="V180" s="41"/>
      <c r="W180" s="41"/>
      <c r="X180" s="41"/>
      <c r="Y180" s="33">
        <f t="shared" si="11"/>
        <v>0</v>
      </c>
    </row>
    <row r="181" spans="4:25" x14ac:dyDescent="0.25">
      <c r="D181" s="69"/>
      <c r="E181" s="34"/>
      <c r="F181" s="34"/>
      <c r="H181" s="35"/>
      <c r="I181" s="36"/>
      <c r="J181" s="37"/>
      <c r="K181" s="38"/>
      <c r="L181" s="29"/>
      <c r="M181" s="29"/>
      <c r="N181" s="29"/>
      <c r="O181" s="39"/>
      <c r="P181" s="40">
        <f t="shared" si="8"/>
        <v>0</v>
      </c>
      <c r="Q181" s="40">
        <f t="shared" si="9"/>
        <v>0</v>
      </c>
      <c r="R181" s="40">
        <f t="shared" si="10"/>
        <v>0</v>
      </c>
      <c r="S181" s="41"/>
      <c r="T181" s="41"/>
      <c r="U181" s="41"/>
      <c r="V181" s="41"/>
      <c r="W181" s="41"/>
      <c r="X181" s="41"/>
      <c r="Y181" s="33">
        <f t="shared" si="11"/>
        <v>0</v>
      </c>
    </row>
    <row r="182" spans="4:25" x14ac:dyDescent="0.25">
      <c r="D182" s="69"/>
      <c r="E182" s="34"/>
      <c r="F182" s="34"/>
      <c r="H182" s="35"/>
      <c r="I182" s="36"/>
      <c r="J182" s="37"/>
      <c r="K182" s="38"/>
      <c r="L182" s="29"/>
      <c r="M182" s="29"/>
      <c r="N182" s="29"/>
      <c r="O182" s="39"/>
      <c r="P182" s="40">
        <f t="shared" si="8"/>
        <v>0</v>
      </c>
      <c r="Q182" s="40">
        <f t="shared" si="9"/>
        <v>0</v>
      </c>
      <c r="R182" s="40">
        <f t="shared" si="10"/>
        <v>0</v>
      </c>
      <c r="S182" s="41"/>
      <c r="T182" s="41"/>
      <c r="U182" s="41"/>
      <c r="V182" s="41"/>
      <c r="W182" s="41"/>
      <c r="X182" s="41"/>
      <c r="Y182" s="33">
        <f t="shared" si="11"/>
        <v>0</v>
      </c>
    </row>
    <row r="183" spans="4:25" x14ac:dyDescent="0.25">
      <c r="D183" s="69"/>
      <c r="E183" s="34"/>
      <c r="F183" s="34"/>
      <c r="H183" s="35"/>
      <c r="I183" s="36"/>
      <c r="J183" s="37"/>
      <c r="K183" s="38"/>
      <c r="L183" s="29"/>
      <c r="M183" s="29"/>
      <c r="N183" s="29"/>
      <c r="O183" s="39"/>
      <c r="P183" s="40">
        <f t="shared" si="8"/>
        <v>0</v>
      </c>
      <c r="Q183" s="40">
        <f t="shared" si="9"/>
        <v>0</v>
      </c>
      <c r="R183" s="40">
        <f t="shared" si="10"/>
        <v>0</v>
      </c>
      <c r="S183" s="41"/>
      <c r="T183" s="41"/>
      <c r="U183" s="41"/>
      <c r="V183" s="41"/>
      <c r="W183" s="41"/>
      <c r="X183" s="41"/>
      <c r="Y183" s="33">
        <f t="shared" si="11"/>
        <v>0</v>
      </c>
    </row>
    <row r="184" spans="4:25" x14ac:dyDescent="0.25">
      <c r="D184" s="69"/>
      <c r="E184" s="34"/>
      <c r="F184" s="34"/>
      <c r="H184" s="35"/>
      <c r="I184" s="36"/>
      <c r="J184" s="37"/>
      <c r="K184" s="38"/>
      <c r="L184" s="29"/>
      <c r="M184" s="29"/>
      <c r="N184" s="29"/>
      <c r="O184" s="39"/>
      <c r="P184" s="40">
        <f t="shared" si="8"/>
        <v>0</v>
      </c>
      <c r="Q184" s="40">
        <f t="shared" si="9"/>
        <v>0</v>
      </c>
      <c r="R184" s="40">
        <f t="shared" si="10"/>
        <v>0</v>
      </c>
      <c r="S184" s="41"/>
      <c r="T184" s="41"/>
      <c r="U184" s="41"/>
      <c r="V184" s="41"/>
      <c r="W184" s="41"/>
      <c r="X184" s="41"/>
      <c r="Y184" s="33">
        <f t="shared" si="11"/>
        <v>0</v>
      </c>
    </row>
    <row r="185" spans="4:25" x14ac:dyDescent="0.25">
      <c r="D185" s="69"/>
      <c r="E185" s="34"/>
      <c r="F185" s="34"/>
      <c r="H185" s="35"/>
      <c r="I185" s="36"/>
      <c r="J185" s="37"/>
      <c r="K185" s="38"/>
      <c r="L185" s="29"/>
      <c r="M185" s="29"/>
      <c r="N185" s="29"/>
      <c r="O185" s="39"/>
      <c r="P185" s="40">
        <f t="shared" si="8"/>
        <v>0</v>
      </c>
      <c r="Q185" s="40">
        <f t="shared" si="9"/>
        <v>0</v>
      </c>
      <c r="R185" s="40">
        <f t="shared" si="10"/>
        <v>0</v>
      </c>
      <c r="S185" s="41"/>
      <c r="T185" s="41"/>
      <c r="U185" s="41"/>
      <c r="V185" s="41"/>
      <c r="W185" s="41"/>
      <c r="X185" s="41"/>
      <c r="Y185" s="33">
        <f t="shared" si="11"/>
        <v>0</v>
      </c>
    </row>
    <row r="186" spans="4:25" x14ac:dyDescent="0.25">
      <c r="D186" s="69"/>
      <c r="E186" s="34"/>
      <c r="F186" s="34"/>
      <c r="H186" s="35"/>
      <c r="I186" s="36"/>
      <c r="J186" s="37"/>
      <c r="K186" s="38"/>
      <c r="L186" s="29"/>
      <c r="M186" s="29"/>
      <c r="N186" s="29"/>
      <c r="O186" s="39"/>
      <c r="P186" s="40">
        <f t="shared" si="8"/>
        <v>0</v>
      </c>
      <c r="Q186" s="40">
        <f t="shared" si="9"/>
        <v>0</v>
      </c>
      <c r="R186" s="40">
        <f t="shared" si="10"/>
        <v>0</v>
      </c>
      <c r="S186" s="41"/>
      <c r="T186" s="41"/>
      <c r="U186" s="41"/>
      <c r="V186" s="41"/>
      <c r="W186" s="41"/>
      <c r="X186" s="41"/>
      <c r="Y186" s="33">
        <f t="shared" si="11"/>
        <v>0</v>
      </c>
    </row>
    <row r="187" spans="4:25" x14ac:dyDescent="0.25">
      <c r="D187" s="69"/>
      <c r="E187" s="34"/>
      <c r="F187" s="34"/>
      <c r="H187" s="35"/>
      <c r="I187" s="36"/>
      <c r="J187" s="37"/>
      <c r="K187" s="38"/>
      <c r="L187" s="29"/>
      <c r="M187" s="29"/>
      <c r="N187" s="29"/>
      <c r="O187" s="39"/>
      <c r="P187" s="40">
        <f t="shared" si="8"/>
        <v>0</v>
      </c>
      <c r="Q187" s="40">
        <f t="shared" si="9"/>
        <v>0</v>
      </c>
      <c r="R187" s="40">
        <f t="shared" si="10"/>
        <v>0</v>
      </c>
      <c r="S187" s="41"/>
      <c r="T187" s="41"/>
      <c r="U187" s="41"/>
      <c r="V187" s="41"/>
      <c r="W187" s="41"/>
      <c r="X187" s="41"/>
      <c r="Y187" s="33">
        <f t="shared" si="11"/>
        <v>0</v>
      </c>
    </row>
    <row r="188" spans="4:25" x14ac:dyDescent="0.25">
      <c r="D188" s="69"/>
      <c r="E188" s="34"/>
      <c r="F188" s="34"/>
      <c r="H188" s="35"/>
      <c r="I188" s="36"/>
      <c r="J188" s="37"/>
      <c r="K188" s="38"/>
      <c r="L188" s="29"/>
      <c r="M188" s="29"/>
      <c r="N188" s="29"/>
      <c r="O188" s="39"/>
      <c r="P188" s="40">
        <f t="shared" si="8"/>
        <v>0</v>
      </c>
      <c r="Q188" s="40">
        <f t="shared" si="9"/>
        <v>0</v>
      </c>
      <c r="R188" s="40">
        <f t="shared" si="10"/>
        <v>0</v>
      </c>
      <c r="S188" s="41"/>
      <c r="T188" s="41"/>
      <c r="U188" s="41"/>
      <c r="V188" s="41"/>
      <c r="W188" s="41"/>
      <c r="X188" s="41"/>
      <c r="Y188" s="33">
        <f t="shared" si="11"/>
        <v>0</v>
      </c>
    </row>
    <row r="189" spans="4:25" x14ac:dyDescent="0.25">
      <c r="D189" s="69"/>
      <c r="E189" s="34"/>
      <c r="F189" s="34"/>
      <c r="H189" s="35"/>
      <c r="I189" s="36"/>
      <c r="J189" s="37"/>
      <c r="K189" s="38"/>
      <c r="L189" s="29"/>
      <c r="M189" s="29"/>
      <c r="N189" s="29"/>
      <c r="O189" s="39"/>
      <c r="P189" s="40">
        <f t="shared" si="8"/>
        <v>0</v>
      </c>
      <c r="Q189" s="40">
        <f t="shared" si="9"/>
        <v>0</v>
      </c>
      <c r="R189" s="40">
        <f t="shared" si="10"/>
        <v>0</v>
      </c>
      <c r="S189" s="41"/>
      <c r="T189" s="41"/>
      <c r="U189" s="41"/>
      <c r="V189" s="41"/>
      <c r="W189" s="41"/>
      <c r="X189" s="41"/>
      <c r="Y189" s="33">
        <f t="shared" si="11"/>
        <v>0</v>
      </c>
    </row>
    <row r="190" spans="4:25" x14ac:dyDescent="0.25">
      <c r="D190" s="69"/>
      <c r="E190" s="34"/>
      <c r="F190" s="34"/>
      <c r="H190" s="35"/>
      <c r="I190" s="36"/>
      <c r="J190" s="37"/>
      <c r="K190" s="38"/>
      <c r="L190" s="29"/>
      <c r="M190" s="29"/>
      <c r="N190" s="29"/>
      <c r="O190" s="39"/>
      <c r="P190" s="40">
        <f t="shared" si="8"/>
        <v>0</v>
      </c>
      <c r="Q190" s="40">
        <f t="shared" si="9"/>
        <v>0</v>
      </c>
      <c r="R190" s="40">
        <f t="shared" si="10"/>
        <v>0</v>
      </c>
      <c r="S190" s="41"/>
      <c r="T190" s="41"/>
      <c r="U190" s="41"/>
      <c r="V190" s="41"/>
      <c r="W190" s="41"/>
      <c r="X190" s="41"/>
      <c r="Y190" s="33">
        <f t="shared" si="11"/>
        <v>0</v>
      </c>
    </row>
    <row r="191" spans="4:25" x14ac:dyDescent="0.25">
      <c r="D191" s="69"/>
      <c r="E191" s="34"/>
      <c r="F191" s="34"/>
      <c r="H191" s="35"/>
      <c r="I191" s="36"/>
      <c r="J191" s="37"/>
      <c r="K191" s="38"/>
      <c r="L191" s="29"/>
      <c r="M191" s="29"/>
      <c r="N191" s="29"/>
      <c r="O191" s="39"/>
      <c r="P191" s="40">
        <f t="shared" si="8"/>
        <v>0</v>
      </c>
      <c r="Q191" s="40">
        <f t="shared" si="9"/>
        <v>0</v>
      </c>
      <c r="R191" s="40">
        <f t="shared" si="10"/>
        <v>0</v>
      </c>
      <c r="S191" s="41"/>
      <c r="T191" s="41"/>
      <c r="U191" s="41"/>
      <c r="V191" s="41"/>
      <c r="W191" s="41"/>
      <c r="X191" s="41"/>
      <c r="Y191" s="33">
        <f t="shared" si="11"/>
        <v>0</v>
      </c>
    </row>
    <row r="192" spans="4:25" x14ac:dyDescent="0.25">
      <c r="D192" s="69"/>
      <c r="E192" s="34"/>
      <c r="F192" s="34"/>
      <c r="H192" s="35"/>
      <c r="I192" s="36"/>
      <c r="J192" s="37"/>
      <c r="K192" s="38"/>
      <c r="L192" s="29"/>
      <c r="M192" s="29"/>
      <c r="N192" s="29"/>
      <c r="O192" s="39"/>
      <c r="P192" s="40">
        <f t="shared" si="8"/>
        <v>0</v>
      </c>
      <c r="Q192" s="40">
        <f t="shared" si="9"/>
        <v>0</v>
      </c>
      <c r="R192" s="40">
        <f t="shared" si="10"/>
        <v>0</v>
      </c>
      <c r="S192" s="41"/>
      <c r="T192" s="41"/>
      <c r="U192" s="41"/>
      <c r="V192" s="41"/>
      <c r="W192" s="41"/>
      <c r="X192" s="41"/>
      <c r="Y192" s="33">
        <f t="shared" si="11"/>
        <v>0</v>
      </c>
    </row>
    <row r="193" spans="4:25" x14ac:dyDescent="0.25">
      <c r="D193" s="69"/>
      <c r="E193" s="34"/>
      <c r="F193" s="34"/>
      <c r="H193" s="35"/>
      <c r="I193" s="36"/>
      <c r="J193" s="37"/>
      <c r="K193" s="38"/>
      <c r="L193" s="29"/>
      <c r="M193" s="29"/>
      <c r="N193" s="29"/>
      <c r="O193" s="39"/>
      <c r="P193" s="40">
        <f t="shared" si="8"/>
        <v>0</v>
      </c>
      <c r="Q193" s="40">
        <f t="shared" si="9"/>
        <v>0</v>
      </c>
      <c r="R193" s="40">
        <f t="shared" si="10"/>
        <v>0</v>
      </c>
      <c r="S193" s="41"/>
      <c r="T193" s="41"/>
      <c r="U193" s="41"/>
      <c r="V193" s="41"/>
      <c r="W193" s="41"/>
      <c r="X193" s="41"/>
      <c r="Y193" s="33">
        <f t="shared" si="11"/>
        <v>0</v>
      </c>
    </row>
    <row r="194" spans="4:25" x14ac:dyDescent="0.25">
      <c r="D194" s="69"/>
      <c r="E194" s="34"/>
      <c r="F194" s="34"/>
      <c r="H194" s="35"/>
      <c r="I194" s="36"/>
      <c r="J194" s="37"/>
      <c r="K194" s="38"/>
      <c r="L194" s="29"/>
      <c r="M194" s="29"/>
      <c r="N194" s="29"/>
      <c r="O194" s="39"/>
      <c r="P194" s="40">
        <f t="shared" si="8"/>
        <v>0</v>
      </c>
      <c r="Q194" s="40">
        <f t="shared" si="9"/>
        <v>0</v>
      </c>
      <c r="R194" s="40">
        <f t="shared" si="10"/>
        <v>0</v>
      </c>
      <c r="S194" s="41"/>
      <c r="T194" s="41"/>
      <c r="U194" s="41"/>
      <c r="V194" s="41"/>
      <c r="W194" s="41"/>
      <c r="X194" s="41"/>
      <c r="Y194" s="33">
        <f t="shared" si="11"/>
        <v>0</v>
      </c>
    </row>
    <row r="195" spans="4:25" x14ac:dyDescent="0.25">
      <c r="D195" s="69"/>
      <c r="E195" s="34"/>
      <c r="F195" s="34"/>
      <c r="H195" s="35"/>
      <c r="I195" s="36"/>
      <c r="J195" s="37"/>
      <c r="K195" s="38"/>
      <c r="L195" s="29"/>
      <c r="M195" s="29"/>
      <c r="N195" s="29"/>
      <c r="O195" s="39"/>
      <c r="P195" s="40">
        <f t="shared" ref="P195:P258" si="12">$L195*$O195</f>
        <v>0</v>
      </c>
      <c r="Q195" s="40">
        <f t="shared" si="9"/>
        <v>0</v>
      </c>
      <c r="R195" s="40">
        <f t="shared" si="10"/>
        <v>0</v>
      </c>
      <c r="S195" s="41"/>
      <c r="T195" s="41"/>
      <c r="U195" s="41"/>
      <c r="V195" s="41"/>
      <c r="W195" s="41"/>
      <c r="X195" s="41"/>
      <c r="Y195" s="33">
        <f t="shared" si="11"/>
        <v>0</v>
      </c>
    </row>
    <row r="196" spans="4:25" x14ac:dyDescent="0.25">
      <c r="D196" s="69"/>
      <c r="E196" s="34"/>
      <c r="F196" s="34"/>
      <c r="H196" s="35"/>
      <c r="I196" s="36"/>
      <c r="J196" s="37"/>
      <c r="K196" s="38"/>
      <c r="L196" s="29"/>
      <c r="M196" s="29"/>
      <c r="N196" s="29"/>
      <c r="O196" s="39"/>
      <c r="P196" s="40">
        <f t="shared" si="12"/>
        <v>0</v>
      </c>
      <c r="Q196" s="40">
        <f t="shared" ref="Q196:Q259" si="13">IF(E196="NE",(M196*O196*1.5),(M196*O196))</f>
        <v>0</v>
      </c>
      <c r="R196" s="40">
        <f t="shared" ref="R196:R259" si="14">P196+Q196</f>
        <v>0</v>
      </c>
      <c r="S196" s="41"/>
      <c r="T196" s="41"/>
      <c r="U196" s="41"/>
      <c r="V196" s="41"/>
      <c r="W196" s="41"/>
      <c r="X196" s="41"/>
      <c r="Y196" s="33">
        <f t="shared" ref="Y196:Y259" si="15">SUM(R196:X196)</f>
        <v>0</v>
      </c>
    </row>
    <row r="197" spans="4:25" x14ac:dyDescent="0.25">
      <c r="D197" s="69"/>
      <c r="E197" s="34"/>
      <c r="F197" s="34"/>
      <c r="H197" s="35"/>
      <c r="I197" s="36"/>
      <c r="J197" s="37"/>
      <c r="K197" s="38"/>
      <c r="L197" s="29"/>
      <c r="M197" s="29"/>
      <c r="N197" s="29"/>
      <c r="O197" s="39"/>
      <c r="P197" s="40">
        <f t="shared" si="12"/>
        <v>0</v>
      </c>
      <c r="Q197" s="40">
        <f t="shared" si="13"/>
        <v>0</v>
      </c>
      <c r="R197" s="40">
        <f t="shared" si="14"/>
        <v>0</v>
      </c>
      <c r="S197" s="41"/>
      <c r="T197" s="41"/>
      <c r="U197" s="41"/>
      <c r="V197" s="41"/>
      <c r="W197" s="41"/>
      <c r="X197" s="41"/>
      <c r="Y197" s="33">
        <f t="shared" si="15"/>
        <v>0</v>
      </c>
    </row>
    <row r="198" spans="4:25" x14ac:dyDescent="0.25">
      <c r="D198" s="69"/>
      <c r="E198" s="34"/>
      <c r="F198" s="34"/>
      <c r="H198" s="35"/>
      <c r="I198" s="36"/>
      <c r="J198" s="37"/>
      <c r="K198" s="38"/>
      <c r="L198" s="29"/>
      <c r="M198" s="29"/>
      <c r="N198" s="29"/>
      <c r="O198" s="39"/>
      <c r="P198" s="40">
        <f t="shared" si="12"/>
        <v>0</v>
      </c>
      <c r="Q198" s="40">
        <f t="shared" si="13"/>
        <v>0</v>
      </c>
      <c r="R198" s="40">
        <f t="shared" si="14"/>
        <v>0</v>
      </c>
      <c r="S198" s="41"/>
      <c r="T198" s="41"/>
      <c r="U198" s="41"/>
      <c r="V198" s="41"/>
      <c r="W198" s="41"/>
      <c r="X198" s="41"/>
      <c r="Y198" s="33">
        <f t="shared" si="15"/>
        <v>0</v>
      </c>
    </row>
    <row r="199" spans="4:25" x14ac:dyDescent="0.25">
      <c r="D199" s="69"/>
      <c r="E199" s="34"/>
      <c r="F199" s="34"/>
      <c r="H199" s="35"/>
      <c r="I199" s="36"/>
      <c r="J199" s="37"/>
      <c r="K199" s="38"/>
      <c r="L199" s="29"/>
      <c r="M199" s="29"/>
      <c r="N199" s="29"/>
      <c r="O199" s="39"/>
      <c r="P199" s="40">
        <f t="shared" si="12"/>
        <v>0</v>
      </c>
      <c r="Q199" s="40">
        <f t="shared" si="13"/>
        <v>0</v>
      </c>
      <c r="R199" s="40">
        <f t="shared" si="14"/>
        <v>0</v>
      </c>
      <c r="S199" s="41"/>
      <c r="T199" s="41"/>
      <c r="U199" s="41"/>
      <c r="V199" s="41"/>
      <c r="W199" s="41"/>
      <c r="X199" s="41"/>
      <c r="Y199" s="33">
        <f t="shared" si="15"/>
        <v>0</v>
      </c>
    </row>
    <row r="200" spans="4:25" x14ac:dyDescent="0.25">
      <c r="D200" s="69"/>
      <c r="E200" s="34"/>
      <c r="F200" s="34"/>
      <c r="H200" s="35"/>
      <c r="I200" s="36"/>
      <c r="J200" s="37"/>
      <c r="K200" s="38"/>
      <c r="L200" s="29"/>
      <c r="M200" s="29"/>
      <c r="N200" s="29"/>
      <c r="O200" s="39"/>
      <c r="P200" s="40">
        <f t="shared" si="12"/>
        <v>0</v>
      </c>
      <c r="Q200" s="40">
        <f t="shared" si="13"/>
        <v>0</v>
      </c>
      <c r="R200" s="40">
        <f t="shared" si="14"/>
        <v>0</v>
      </c>
      <c r="S200" s="41"/>
      <c r="T200" s="41"/>
      <c r="U200" s="41"/>
      <c r="V200" s="41"/>
      <c r="W200" s="41"/>
      <c r="X200" s="41"/>
      <c r="Y200" s="33">
        <f t="shared" si="15"/>
        <v>0</v>
      </c>
    </row>
    <row r="201" spans="4:25" x14ac:dyDescent="0.25">
      <c r="D201" s="69"/>
      <c r="E201" s="34"/>
      <c r="F201" s="34"/>
      <c r="H201" s="35"/>
      <c r="I201" s="36"/>
      <c r="J201" s="37"/>
      <c r="K201" s="38"/>
      <c r="L201" s="29"/>
      <c r="M201" s="29"/>
      <c r="N201" s="29"/>
      <c r="O201" s="39"/>
      <c r="P201" s="40">
        <f t="shared" si="12"/>
        <v>0</v>
      </c>
      <c r="Q201" s="40">
        <f t="shared" si="13"/>
        <v>0</v>
      </c>
      <c r="R201" s="40">
        <f t="shared" si="14"/>
        <v>0</v>
      </c>
      <c r="S201" s="41"/>
      <c r="T201" s="41"/>
      <c r="U201" s="41"/>
      <c r="V201" s="41"/>
      <c r="W201" s="41"/>
      <c r="X201" s="41"/>
      <c r="Y201" s="33">
        <f t="shared" si="15"/>
        <v>0</v>
      </c>
    </row>
    <row r="202" spans="4:25" x14ac:dyDescent="0.25">
      <c r="D202" s="69"/>
      <c r="E202" s="34"/>
      <c r="F202" s="34"/>
      <c r="G202" s="38"/>
      <c r="H202" s="35"/>
      <c r="I202" s="36"/>
      <c r="J202" s="37"/>
      <c r="K202" s="38"/>
      <c r="L202" s="29"/>
      <c r="M202" s="29"/>
      <c r="N202" s="29"/>
      <c r="O202" s="39"/>
      <c r="P202" s="40">
        <f t="shared" si="12"/>
        <v>0</v>
      </c>
      <c r="Q202" s="40">
        <f t="shared" si="13"/>
        <v>0</v>
      </c>
      <c r="R202" s="40">
        <f t="shared" si="14"/>
        <v>0</v>
      </c>
      <c r="S202" s="41"/>
      <c r="T202" s="41"/>
      <c r="U202" s="41"/>
      <c r="V202" s="41"/>
      <c r="W202" s="41"/>
      <c r="X202" s="41"/>
      <c r="Y202" s="33">
        <f t="shared" si="15"/>
        <v>0</v>
      </c>
    </row>
    <row r="203" spans="4:25" x14ac:dyDescent="0.25">
      <c r="D203" s="69"/>
      <c r="E203" s="34"/>
      <c r="F203" s="34"/>
      <c r="G203" s="38"/>
      <c r="H203" s="35"/>
      <c r="I203" s="36"/>
      <c r="J203" s="37"/>
      <c r="K203" s="38"/>
      <c r="L203" s="29"/>
      <c r="M203" s="29"/>
      <c r="N203" s="29"/>
      <c r="O203" s="39"/>
      <c r="P203" s="40">
        <f t="shared" si="12"/>
        <v>0</v>
      </c>
      <c r="Q203" s="40">
        <f t="shared" si="13"/>
        <v>0</v>
      </c>
      <c r="R203" s="40">
        <f t="shared" si="14"/>
        <v>0</v>
      </c>
      <c r="S203" s="41"/>
      <c r="T203" s="41"/>
      <c r="U203" s="41"/>
      <c r="V203" s="41"/>
      <c r="W203" s="41"/>
      <c r="X203" s="41"/>
      <c r="Y203" s="33">
        <f t="shared" si="15"/>
        <v>0</v>
      </c>
    </row>
    <row r="204" spans="4:25" x14ac:dyDescent="0.25">
      <c r="D204" s="69"/>
      <c r="E204" s="34"/>
      <c r="F204" s="34"/>
      <c r="H204" s="35"/>
      <c r="I204" s="36"/>
      <c r="J204" s="37"/>
      <c r="K204" s="38"/>
      <c r="L204" s="29"/>
      <c r="M204" s="29"/>
      <c r="N204" s="29"/>
      <c r="O204" s="39"/>
      <c r="P204" s="40">
        <f t="shared" si="12"/>
        <v>0</v>
      </c>
      <c r="Q204" s="40">
        <f t="shared" si="13"/>
        <v>0</v>
      </c>
      <c r="R204" s="40">
        <f t="shared" si="14"/>
        <v>0</v>
      </c>
      <c r="S204" s="41"/>
      <c r="T204" s="41"/>
      <c r="U204" s="41"/>
      <c r="V204" s="41"/>
      <c r="W204" s="41"/>
      <c r="X204" s="41"/>
      <c r="Y204" s="33">
        <f t="shared" si="15"/>
        <v>0</v>
      </c>
    </row>
    <row r="205" spans="4:25" x14ac:dyDescent="0.25">
      <c r="D205" s="69"/>
      <c r="E205" s="34"/>
      <c r="F205" s="34"/>
      <c r="H205" s="35"/>
      <c r="I205" s="36"/>
      <c r="J205" s="37"/>
      <c r="K205" s="38"/>
      <c r="L205" s="29"/>
      <c r="M205" s="29"/>
      <c r="N205" s="29"/>
      <c r="O205" s="39"/>
      <c r="P205" s="40">
        <f t="shared" si="12"/>
        <v>0</v>
      </c>
      <c r="Q205" s="40">
        <f t="shared" si="13"/>
        <v>0</v>
      </c>
      <c r="R205" s="40">
        <f t="shared" si="14"/>
        <v>0</v>
      </c>
      <c r="S205" s="41"/>
      <c r="T205" s="41"/>
      <c r="U205" s="41"/>
      <c r="V205" s="41"/>
      <c r="W205" s="41"/>
      <c r="X205" s="41"/>
      <c r="Y205" s="33">
        <f t="shared" si="15"/>
        <v>0</v>
      </c>
    </row>
    <row r="206" spans="4:25" x14ac:dyDescent="0.25">
      <c r="D206" s="69"/>
      <c r="E206" s="34"/>
      <c r="F206" s="34"/>
      <c r="H206" s="35"/>
      <c r="I206" s="36"/>
      <c r="J206" s="37"/>
      <c r="K206" s="38"/>
      <c r="L206" s="29"/>
      <c r="M206" s="29"/>
      <c r="N206" s="29"/>
      <c r="O206" s="39"/>
      <c r="P206" s="40">
        <f t="shared" si="12"/>
        <v>0</v>
      </c>
      <c r="Q206" s="40">
        <f t="shared" si="13"/>
        <v>0</v>
      </c>
      <c r="R206" s="40">
        <f t="shared" si="14"/>
        <v>0</v>
      </c>
      <c r="S206" s="41"/>
      <c r="T206" s="41"/>
      <c r="U206" s="41"/>
      <c r="V206" s="41"/>
      <c r="W206" s="41"/>
      <c r="X206" s="41"/>
      <c r="Y206" s="33">
        <f t="shared" si="15"/>
        <v>0</v>
      </c>
    </row>
    <row r="207" spans="4:25" x14ac:dyDescent="0.25">
      <c r="D207" s="69"/>
      <c r="E207" s="34"/>
      <c r="F207" s="34"/>
      <c r="H207" s="35"/>
      <c r="I207" s="36"/>
      <c r="J207" s="37"/>
      <c r="K207" s="38"/>
      <c r="L207" s="29"/>
      <c r="M207" s="29"/>
      <c r="N207" s="29"/>
      <c r="O207" s="39"/>
      <c r="P207" s="40">
        <f t="shared" si="12"/>
        <v>0</v>
      </c>
      <c r="Q207" s="40">
        <f t="shared" si="13"/>
        <v>0</v>
      </c>
      <c r="R207" s="40">
        <f t="shared" si="14"/>
        <v>0</v>
      </c>
      <c r="S207" s="41"/>
      <c r="T207" s="41"/>
      <c r="U207" s="41"/>
      <c r="V207" s="41"/>
      <c r="W207" s="41"/>
      <c r="X207" s="41"/>
      <c r="Y207" s="33">
        <f t="shared" si="15"/>
        <v>0</v>
      </c>
    </row>
    <row r="208" spans="4:25" x14ac:dyDescent="0.25">
      <c r="D208" s="69"/>
      <c r="E208" s="34"/>
      <c r="F208" s="34"/>
      <c r="H208" s="35"/>
      <c r="I208" s="36"/>
      <c r="J208" s="37"/>
      <c r="K208" s="38"/>
      <c r="L208" s="29"/>
      <c r="M208" s="29"/>
      <c r="N208" s="29"/>
      <c r="O208" s="39"/>
      <c r="P208" s="40">
        <f t="shared" si="12"/>
        <v>0</v>
      </c>
      <c r="Q208" s="40">
        <f t="shared" si="13"/>
        <v>0</v>
      </c>
      <c r="R208" s="40">
        <f t="shared" si="14"/>
        <v>0</v>
      </c>
      <c r="S208" s="41"/>
      <c r="T208" s="41"/>
      <c r="U208" s="41"/>
      <c r="V208" s="41"/>
      <c r="W208" s="41"/>
      <c r="X208" s="41"/>
      <c r="Y208" s="33">
        <f t="shared" si="15"/>
        <v>0</v>
      </c>
    </row>
    <row r="209" spans="4:25" x14ac:dyDescent="0.25">
      <c r="D209" s="69"/>
      <c r="E209" s="34"/>
      <c r="F209" s="34"/>
      <c r="H209" s="35"/>
      <c r="I209" s="36"/>
      <c r="J209" s="37"/>
      <c r="K209" s="38"/>
      <c r="L209" s="29"/>
      <c r="M209" s="29"/>
      <c r="N209" s="29"/>
      <c r="O209" s="39"/>
      <c r="P209" s="40">
        <f t="shared" si="12"/>
        <v>0</v>
      </c>
      <c r="Q209" s="40">
        <f t="shared" si="13"/>
        <v>0</v>
      </c>
      <c r="R209" s="40">
        <f t="shared" si="14"/>
        <v>0</v>
      </c>
      <c r="S209" s="41"/>
      <c r="T209" s="41"/>
      <c r="U209" s="41"/>
      <c r="V209" s="41"/>
      <c r="W209" s="41"/>
      <c r="X209" s="41"/>
      <c r="Y209" s="33">
        <f t="shared" si="15"/>
        <v>0</v>
      </c>
    </row>
    <row r="210" spans="4:25" x14ac:dyDescent="0.25">
      <c r="D210" s="69"/>
      <c r="E210" s="34"/>
      <c r="F210" s="34"/>
      <c r="H210" s="35"/>
      <c r="I210" s="36"/>
      <c r="J210" s="37"/>
      <c r="K210" s="38"/>
      <c r="L210" s="29"/>
      <c r="M210" s="29"/>
      <c r="N210" s="29"/>
      <c r="O210" s="39"/>
      <c r="P210" s="40">
        <f t="shared" si="12"/>
        <v>0</v>
      </c>
      <c r="Q210" s="40">
        <f t="shared" si="13"/>
        <v>0</v>
      </c>
      <c r="R210" s="40">
        <f t="shared" si="14"/>
        <v>0</v>
      </c>
      <c r="S210" s="41"/>
      <c r="T210" s="41"/>
      <c r="U210" s="41"/>
      <c r="V210" s="41"/>
      <c r="W210" s="41"/>
      <c r="X210" s="41"/>
      <c r="Y210" s="33">
        <f t="shared" si="15"/>
        <v>0</v>
      </c>
    </row>
    <row r="211" spans="4:25" x14ac:dyDescent="0.25">
      <c r="D211" s="69"/>
      <c r="E211" s="34"/>
      <c r="F211" s="34"/>
      <c r="H211" s="35"/>
      <c r="I211" s="36"/>
      <c r="J211" s="37"/>
      <c r="K211" s="38"/>
      <c r="L211" s="29"/>
      <c r="M211" s="29"/>
      <c r="N211" s="29"/>
      <c r="O211" s="39"/>
      <c r="P211" s="40">
        <f t="shared" si="12"/>
        <v>0</v>
      </c>
      <c r="Q211" s="40">
        <f t="shared" si="13"/>
        <v>0</v>
      </c>
      <c r="R211" s="40">
        <f t="shared" si="14"/>
        <v>0</v>
      </c>
      <c r="S211" s="41"/>
      <c r="T211" s="41"/>
      <c r="U211" s="41"/>
      <c r="V211" s="41"/>
      <c r="W211" s="41"/>
      <c r="X211" s="41"/>
      <c r="Y211" s="33">
        <f t="shared" si="15"/>
        <v>0</v>
      </c>
    </row>
    <row r="212" spans="4:25" x14ac:dyDescent="0.25">
      <c r="D212" s="69"/>
      <c r="E212" s="34"/>
      <c r="F212" s="34"/>
      <c r="H212" s="35"/>
      <c r="I212" s="36"/>
      <c r="J212" s="37"/>
      <c r="K212" s="38"/>
      <c r="L212" s="29"/>
      <c r="M212" s="29"/>
      <c r="N212" s="29"/>
      <c r="O212" s="39"/>
      <c r="P212" s="40">
        <f t="shared" si="12"/>
        <v>0</v>
      </c>
      <c r="Q212" s="40">
        <f t="shared" si="13"/>
        <v>0</v>
      </c>
      <c r="R212" s="40">
        <f t="shared" si="14"/>
        <v>0</v>
      </c>
      <c r="S212" s="41"/>
      <c r="T212" s="41"/>
      <c r="U212" s="41"/>
      <c r="V212" s="41"/>
      <c r="W212" s="41"/>
      <c r="X212" s="41"/>
      <c r="Y212" s="33">
        <f t="shared" si="15"/>
        <v>0</v>
      </c>
    </row>
    <row r="213" spans="4:25" x14ac:dyDescent="0.25">
      <c r="D213" s="69"/>
      <c r="E213" s="34"/>
      <c r="F213" s="34"/>
      <c r="H213" s="35"/>
      <c r="I213" s="36"/>
      <c r="J213" s="37"/>
      <c r="K213" s="38"/>
      <c r="L213" s="29"/>
      <c r="M213" s="29"/>
      <c r="N213" s="29"/>
      <c r="O213" s="39"/>
      <c r="P213" s="40">
        <f t="shared" si="12"/>
        <v>0</v>
      </c>
      <c r="Q213" s="40">
        <f t="shared" si="13"/>
        <v>0</v>
      </c>
      <c r="R213" s="40">
        <f t="shared" si="14"/>
        <v>0</v>
      </c>
      <c r="S213" s="41"/>
      <c r="T213" s="41"/>
      <c r="U213" s="41"/>
      <c r="V213" s="41"/>
      <c r="W213" s="41"/>
      <c r="X213" s="41"/>
      <c r="Y213" s="33">
        <f t="shared" si="15"/>
        <v>0</v>
      </c>
    </row>
    <row r="214" spans="4:25" x14ac:dyDescent="0.25">
      <c r="D214" s="69"/>
      <c r="E214" s="34"/>
      <c r="F214" s="34"/>
      <c r="H214" s="35"/>
      <c r="I214" s="36"/>
      <c r="J214" s="37"/>
      <c r="K214" s="38"/>
      <c r="L214" s="29"/>
      <c r="M214" s="29"/>
      <c r="N214" s="29"/>
      <c r="O214" s="39"/>
      <c r="P214" s="40">
        <f t="shared" si="12"/>
        <v>0</v>
      </c>
      <c r="Q214" s="40">
        <f t="shared" si="13"/>
        <v>0</v>
      </c>
      <c r="R214" s="40">
        <f t="shared" si="14"/>
        <v>0</v>
      </c>
      <c r="S214" s="41"/>
      <c r="T214" s="41"/>
      <c r="U214" s="41"/>
      <c r="V214" s="41"/>
      <c r="W214" s="41"/>
      <c r="X214" s="41"/>
      <c r="Y214" s="33">
        <f t="shared" si="15"/>
        <v>0</v>
      </c>
    </row>
    <row r="215" spans="4:25" x14ac:dyDescent="0.25">
      <c r="D215" s="69"/>
      <c r="E215" s="34"/>
      <c r="F215" s="34"/>
      <c r="H215" s="35"/>
      <c r="I215" s="36"/>
      <c r="J215" s="37"/>
      <c r="K215" s="38"/>
      <c r="L215" s="29"/>
      <c r="M215" s="29"/>
      <c r="N215" s="29"/>
      <c r="O215" s="39"/>
      <c r="P215" s="40">
        <f t="shared" si="12"/>
        <v>0</v>
      </c>
      <c r="Q215" s="40">
        <f t="shared" si="13"/>
        <v>0</v>
      </c>
      <c r="R215" s="40">
        <f t="shared" si="14"/>
        <v>0</v>
      </c>
      <c r="S215" s="41"/>
      <c r="T215" s="41"/>
      <c r="U215" s="41"/>
      <c r="V215" s="41"/>
      <c r="W215" s="41"/>
      <c r="X215" s="41"/>
      <c r="Y215" s="33">
        <f t="shared" si="15"/>
        <v>0</v>
      </c>
    </row>
    <row r="216" spans="4:25" x14ac:dyDescent="0.25">
      <c r="D216" s="69"/>
      <c r="E216" s="34"/>
      <c r="F216" s="34"/>
      <c r="H216" s="35"/>
      <c r="I216" s="36"/>
      <c r="J216" s="37"/>
      <c r="K216" s="38"/>
      <c r="L216" s="29"/>
      <c r="M216" s="29"/>
      <c r="N216" s="29"/>
      <c r="O216" s="39"/>
      <c r="P216" s="40">
        <f t="shared" si="12"/>
        <v>0</v>
      </c>
      <c r="Q216" s="40">
        <f t="shared" si="13"/>
        <v>0</v>
      </c>
      <c r="R216" s="40">
        <f t="shared" si="14"/>
        <v>0</v>
      </c>
      <c r="S216" s="41"/>
      <c r="T216" s="41"/>
      <c r="U216" s="41"/>
      <c r="V216" s="41"/>
      <c r="W216" s="41"/>
      <c r="X216" s="41"/>
      <c r="Y216" s="33">
        <f t="shared" si="15"/>
        <v>0</v>
      </c>
    </row>
    <row r="217" spans="4:25" x14ac:dyDescent="0.25">
      <c r="D217" s="69"/>
      <c r="E217" s="34"/>
      <c r="F217" s="34"/>
      <c r="H217" s="35"/>
      <c r="I217" s="36"/>
      <c r="J217" s="37"/>
      <c r="K217" s="38"/>
      <c r="L217" s="29"/>
      <c r="M217" s="29"/>
      <c r="N217" s="29"/>
      <c r="O217" s="39"/>
      <c r="P217" s="40">
        <f t="shared" si="12"/>
        <v>0</v>
      </c>
      <c r="Q217" s="40">
        <f t="shared" si="13"/>
        <v>0</v>
      </c>
      <c r="R217" s="40">
        <f t="shared" si="14"/>
        <v>0</v>
      </c>
      <c r="S217" s="41"/>
      <c r="T217" s="41"/>
      <c r="U217" s="41"/>
      <c r="V217" s="41"/>
      <c r="W217" s="41"/>
      <c r="X217" s="41"/>
      <c r="Y217" s="33">
        <f t="shared" si="15"/>
        <v>0</v>
      </c>
    </row>
    <row r="218" spans="4:25" x14ac:dyDescent="0.25">
      <c r="D218" s="69"/>
      <c r="E218" s="34"/>
      <c r="F218" s="34"/>
      <c r="H218" s="35"/>
      <c r="I218" s="36"/>
      <c r="J218" s="37"/>
      <c r="K218" s="38"/>
      <c r="L218" s="29"/>
      <c r="M218" s="29"/>
      <c r="N218" s="29"/>
      <c r="O218" s="39"/>
      <c r="P218" s="40">
        <f t="shared" si="12"/>
        <v>0</v>
      </c>
      <c r="Q218" s="40">
        <f t="shared" si="13"/>
        <v>0</v>
      </c>
      <c r="R218" s="40">
        <f t="shared" si="14"/>
        <v>0</v>
      </c>
      <c r="S218" s="41"/>
      <c r="T218" s="41"/>
      <c r="U218" s="41"/>
      <c r="V218" s="41"/>
      <c r="W218" s="41"/>
      <c r="X218" s="41"/>
      <c r="Y218" s="33">
        <f t="shared" si="15"/>
        <v>0</v>
      </c>
    </row>
    <row r="219" spans="4:25" x14ac:dyDescent="0.25">
      <c r="D219" s="69"/>
      <c r="E219" s="34"/>
      <c r="F219" s="34"/>
      <c r="H219" s="35"/>
      <c r="I219" s="36"/>
      <c r="J219" s="37"/>
      <c r="K219" s="38"/>
      <c r="L219" s="29"/>
      <c r="M219" s="29"/>
      <c r="N219" s="29"/>
      <c r="O219" s="39"/>
      <c r="P219" s="40">
        <f t="shared" si="12"/>
        <v>0</v>
      </c>
      <c r="Q219" s="40">
        <f t="shared" si="13"/>
        <v>0</v>
      </c>
      <c r="R219" s="40">
        <f t="shared" si="14"/>
        <v>0</v>
      </c>
      <c r="S219" s="41"/>
      <c r="T219" s="41"/>
      <c r="U219" s="41"/>
      <c r="V219" s="41"/>
      <c r="W219" s="41"/>
      <c r="X219" s="41"/>
      <c r="Y219" s="33">
        <f t="shared" si="15"/>
        <v>0</v>
      </c>
    </row>
    <row r="220" spans="4:25" x14ac:dyDescent="0.25">
      <c r="D220" s="69"/>
      <c r="E220" s="34"/>
      <c r="F220" s="34"/>
      <c r="H220" s="35"/>
      <c r="I220" s="36"/>
      <c r="J220" s="37"/>
      <c r="K220" s="38"/>
      <c r="L220" s="29"/>
      <c r="M220" s="29"/>
      <c r="N220" s="29"/>
      <c r="O220" s="39"/>
      <c r="P220" s="40">
        <f t="shared" si="12"/>
        <v>0</v>
      </c>
      <c r="Q220" s="40">
        <f t="shared" si="13"/>
        <v>0</v>
      </c>
      <c r="R220" s="40">
        <f t="shared" si="14"/>
        <v>0</v>
      </c>
      <c r="S220" s="41"/>
      <c r="T220" s="41"/>
      <c r="U220" s="41"/>
      <c r="V220" s="41"/>
      <c r="W220" s="41"/>
      <c r="X220" s="41"/>
      <c r="Y220" s="33">
        <f t="shared" si="15"/>
        <v>0</v>
      </c>
    </row>
    <row r="221" spans="4:25" x14ac:dyDescent="0.25">
      <c r="D221" s="69"/>
      <c r="E221" s="34"/>
      <c r="F221" s="34"/>
      <c r="H221" s="35"/>
      <c r="I221" s="36"/>
      <c r="J221" s="37"/>
      <c r="K221" s="38"/>
      <c r="L221" s="29"/>
      <c r="M221" s="29"/>
      <c r="N221" s="29"/>
      <c r="O221" s="39"/>
      <c r="P221" s="40">
        <f t="shared" si="12"/>
        <v>0</v>
      </c>
      <c r="Q221" s="40">
        <f t="shared" si="13"/>
        <v>0</v>
      </c>
      <c r="R221" s="40">
        <f t="shared" si="14"/>
        <v>0</v>
      </c>
      <c r="S221" s="41"/>
      <c r="T221" s="41"/>
      <c r="U221" s="41"/>
      <c r="V221" s="41"/>
      <c r="W221" s="41"/>
      <c r="X221" s="41"/>
      <c r="Y221" s="33">
        <f t="shared" si="15"/>
        <v>0</v>
      </c>
    </row>
    <row r="222" spans="4:25" x14ac:dyDescent="0.25">
      <c r="D222" s="69"/>
      <c r="E222" s="34"/>
      <c r="F222" s="34"/>
      <c r="H222" s="35"/>
      <c r="I222" s="36"/>
      <c r="J222" s="37"/>
      <c r="K222" s="38"/>
      <c r="L222" s="29"/>
      <c r="M222" s="29"/>
      <c r="N222" s="29"/>
      <c r="O222" s="39"/>
      <c r="P222" s="40">
        <f t="shared" si="12"/>
        <v>0</v>
      </c>
      <c r="Q222" s="40">
        <f t="shared" si="13"/>
        <v>0</v>
      </c>
      <c r="R222" s="40">
        <f t="shared" si="14"/>
        <v>0</v>
      </c>
      <c r="S222" s="41"/>
      <c r="T222" s="41"/>
      <c r="U222" s="41"/>
      <c r="V222" s="41"/>
      <c r="W222" s="41"/>
      <c r="X222" s="41"/>
      <c r="Y222" s="33">
        <f t="shared" si="15"/>
        <v>0</v>
      </c>
    </row>
    <row r="223" spans="4:25" x14ac:dyDescent="0.25">
      <c r="D223" s="69"/>
      <c r="E223" s="34"/>
      <c r="F223" s="34"/>
      <c r="H223" s="35"/>
      <c r="I223" s="36"/>
      <c r="J223" s="37"/>
      <c r="K223" s="38"/>
      <c r="L223" s="29"/>
      <c r="M223" s="29"/>
      <c r="N223" s="29"/>
      <c r="O223" s="39"/>
      <c r="P223" s="40">
        <f t="shared" si="12"/>
        <v>0</v>
      </c>
      <c r="Q223" s="40">
        <f t="shared" si="13"/>
        <v>0</v>
      </c>
      <c r="R223" s="40">
        <f t="shared" si="14"/>
        <v>0</v>
      </c>
      <c r="S223" s="41"/>
      <c r="T223" s="41"/>
      <c r="U223" s="41"/>
      <c r="V223" s="41"/>
      <c r="W223" s="41"/>
      <c r="X223" s="41"/>
      <c r="Y223" s="33">
        <f t="shared" si="15"/>
        <v>0</v>
      </c>
    </row>
    <row r="224" spans="4:25" x14ac:dyDescent="0.25">
      <c r="D224" s="69"/>
      <c r="E224" s="34"/>
      <c r="F224" s="34"/>
      <c r="H224" s="35"/>
      <c r="I224" s="36"/>
      <c r="J224" s="37"/>
      <c r="K224" s="38"/>
      <c r="L224" s="29"/>
      <c r="M224" s="29"/>
      <c r="N224" s="29"/>
      <c r="O224" s="39"/>
      <c r="P224" s="40">
        <f t="shared" si="12"/>
        <v>0</v>
      </c>
      <c r="Q224" s="40">
        <f t="shared" si="13"/>
        <v>0</v>
      </c>
      <c r="R224" s="40">
        <f t="shared" si="14"/>
        <v>0</v>
      </c>
      <c r="S224" s="41"/>
      <c r="T224" s="41"/>
      <c r="U224" s="41"/>
      <c r="V224" s="41"/>
      <c r="W224" s="41"/>
      <c r="X224" s="41"/>
      <c r="Y224" s="33">
        <f t="shared" si="15"/>
        <v>0</v>
      </c>
    </row>
    <row r="225" spans="4:25" x14ac:dyDescent="0.25">
      <c r="D225" s="69"/>
      <c r="E225" s="34"/>
      <c r="F225" s="34"/>
      <c r="H225" s="35"/>
      <c r="I225" s="36"/>
      <c r="J225" s="37"/>
      <c r="K225" s="38"/>
      <c r="L225" s="29"/>
      <c r="M225" s="29"/>
      <c r="N225" s="29"/>
      <c r="O225" s="39"/>
      <c r="P225" s="40">
        <f t="shared" si="12"/>
        <v>0</v>
      </c>
      <c r="Q225" s="40">
        <f t="shared" si="13"/>
        <v>0</v>
      </c>
      <c r="R225" s="40">
        <f t="shared" si="14"/>
        <v>0</v>
      </c>
      <c r="S225" s="41"/>
      <c r="T225" s="41"/>
      <c r="U225" s="41"/>
      <c r="V225" s="41"/>
      <c r="W225" s="41"/>
      <c r="X225" s="41"/>
      <c r="Y225" s="33">
        <f t="shared" si="15"/>
        <v>0</v>
      </c>
    </row>
    <row r="226" spans="4:25" x14ac:dyDescent="0.25">
      <c r="D226" s="69"/>
      <c r="E226" s="34"/>
      <c r="F226" s="34"/>
      <c r="H226" s="35"/>
      <c r="I226" s="36"/>
      <c r="J226" s="37"/>
      <c r="K226" s="38"/>
      <c r="L226" s="29"/>
      <c r="M226" s="29"/>
      <c r="N226" s="29"/>
      <c r="O226" s="39"/>
      <c r="P226" s="40">
        <f t="shared" si="12"/>
        <v>0</v>
      </c>
      <c r="Q226" s="40">
        <f t="shared" si="13"/>
        <v>0</v>
      </c>
      <c r="R226" s="40">
        <f t="shared" si="14"/>
        <v>0</v>
      </c>
      <c r="S226" s="41"/>
      <c r="T226" s="41"/>
      <c r="U226" s="41"/>
      <c r="V226" s="41"/>
      <c r="W226" s="41"/>
      <c r="X226" s="41"/>
      <c r="Y226" s="33">
        <f t="shared" si="15"/>
        <v>0</v>
      </c>
    </row>
    <row r="227" spans="4:25" x14ac:dyDescent="0.25">
      <c r="D227" s="69"/>
      <c r="E227" s="34"/>
      <c r="F227" s="34"/>
      <c r="H227" s="35"/>
      <c r="I227" s="36"/>
      <c r="J227" s="37"/>
      <c r="K227" s="38"/>
      <c r="L227" s="29"/>
      <c r="M227" s="29"/>
      <c r="N227" s="29"/>
      <c r="O227" s="39"/>
      <c r="P227" s="40">
        <f t="shared" si="12"/>
        <v>0</v>
      </c>
      <c r="Q227" s="40">
        <f t="shared" si="13"/>
        <v>0</v>
      </c>
      <c r="R227" s="40">
        <f t="shared" si="14"/>
        <v>0</v>
      </c>
      <c r="S227" s="41"/>
      <c r="T227" s="41"/>
      <c r="U227" s="41"/>
      <c r="V227" s="41"/>
      <c r="W227" s="41"/>
      <c r="X227" s="41"/>
      <c r="Y227" s="33">
        <f t="shared" si="15"/>
        <v>0</v>
      </c>
    </row>
    <row r="228" spans="4:25" x14ac:dyDescent="0.25">
      <c r="D228" s="69"/>
      <c r="E228" s="34"/>
      <c r="F228" s="34"/>
      <c r="H228" s="35"/>
      <c r="I228" s="36"/>
      <c r="J228" s="37"/>
      <c r="K228" s="38"/>
      <c r="L228" s="29"/>
      <c r="M228" s="29"/>
      <c r="N228" s="29"/>
      <c r="O228" s="39"/>
      <c r="P228" s="40">
        <f t="shared" si="12"/>
        <v>0</v>
      </c>
      <c r="Q228" s="40">
        <f t="shared" si="13"/>
        <v>0</v>
      </c>
      <c r="R228" s="40">
        <f t="shared" si="14"/>
        <v>0</v>
      </c>
      <c r="S228" s="41"/>
      <c r="T228" s="41"/>
      <c r="U228" s="41"/>
      <c r="V228" s="41"/>
      <c r="W228" s="41"/>
      <c r="X228" s="41"/>
      <c r="Y228" s="33">
        <f t="shared" si="15"/>
        <v>0</v>
      </c>
    </row>
    <row r="229" spans="4:25" x14ac:dyDescent="0.25">
      <c r="D229" s="69"/>
      <c r="E229" s="34"/>
      <c r="F229" s="34"/>
      <c r="H229" s="35"/>
      <c r="I229" s="36"/>
      <c r="J229" s="37"/>
      <c r="K229" s="38"/>
      <c r="L229" s="29"/>
      <c r="M229" s="29"/>
      <c r="N229" s="29"/>
      <c r="O229" s="39"/>
      <c r="P229" s="40">
        <f t="shared" si="12"/>
        <v>0</v>
      </c>
      <c r="Q229" s="40">
        <f t="shared" si="13"/>
        <v>0</v>
      </c>
      <c r="R229" s="40">
        <f t="shared" si="14"/>
        <v>0</v>
      </c>
      <c r="S229" s="41"/>
      <c r="T229" s="41"/>
      <c r="U229" s="41"/>
      <c r="V229" s="41"/>
      <c r="W229" s="41"/>
      <c r="X229" s="41"/>
      <c r="Y229" s="33">
        <f t="shared" si="15"/>
        <v>0</v>
      </c>
    </row>
    <row r="230" spans="4:25" x14ac:dyDescent="0.25">
      <c r="D230" s="69"/>
      <c r="E230" s="34"/>
      <c r="F230" s="34"/>
      <c r="H230" s="35"/>
      <c r="I230" s="36"/>
      <c r="J230" s="37"/>
      <c r="K230" s="38"/>
      <c r="L230" s="29"/>
      <c r="M230" s="29"/>
      <c r="N230" s="29"/>
      <c r="O230" s="39"/>
      <c r="P230" s="40">
        <f t="shared" si="12"/>
        <v>0</v>
      </c>
      <c r="Q230" s="40">
        <f t="shared" si="13"/>
        <v>0</v>
      </c>
      <c r="R230" s="40">
        <f t="shared" si="14"/>
        <v>0</v>
      </c>
      <c r="S230" s="41"/>
      <c r="T230" s="41"/>
      <c r="U230" s="41"/>
      <c r="V230" s="41"/>
      <c r="W230" s="41"/>
      <c r="X230" s="41"/>
      <c r="Y230" s="33">
        <f t="shared" si="15"/>
        <v>0</v>
      </c>
    </row>
    <row r="231" spans="4:25" x14ac:dyDescent="0.25">
      <c r="D231" s="69"/>
      <c r="E231" s="34"/>
      <c r="F231" s="34"/>
      <c r="H231" s="35"/>
      <c r="I231" s="36"/>
      <c r="J231" s="37"/>
      <c r="K231" s="38"/>
      <c r="L231" s="29"/>
      <c r="M231" s="29"/>
      <c r="N231" s="29"/>
      <c r="O231" s="39"/>
      <c r="P231" s="40">
        <f t="shared" si="12"/>
        <v>0</v>
      </c>
      <c r="Q231" s="40">
        <f t="shared" si="13"/>
        <v>0</v>
      </c>
      <c r="R231" s="40">
        <f t="shared" si="14"/>
        <v>0</v>
      </c>
      <c r="S231" s="41"/>
      <c r="T231" s="41"/>
      <c r="U231" s="41"/>
      <c r="V231" s="41"/>
      <c r="W231" s="41"/>
      <c r="X231" s="41"/>
      <c r="Y231" s="33">
        <f t="shared" si="15"/>
        <v>0</v>
      </c>
    </row>
    <row r="232" spans="4:25" x14ac:dyDescent="0.25">
      <c r="D232" s="69"/>
      <c r="E232" s="34"/>
      <c r="F232" s="34"/>
      <c r="H232" s="35"/>
      <c r="I232" s="36"/>
      <c r="J232" s="37"/>
      <c r="K232" s="38"/>
      <c r="L232" s="29"/>
      <c r="M232" s="29"/>
      <c r="N232" s="29"/>
      <c r="O232" s="39"/>
      <c r="P232" s="40">
        <f t="shared" si="12"/>
        <v>0</v>
      </c>
      <c r="Q232" s="40">
        <f t="shared" si="13"/>
        <v>0</v>
      </c>
      <c r="R232" s="40">
        <f t="shared" si="14"/>
        <v>0</v>
      </c>
      <c r="S232" s="41"/>
      <c r="T232" s="41"/>
      <c r="U232" s="41"/>
      <c r="V232" s="41"/>
      <c r="W232" s="41"/>
      <c r="X232" s="41"/>
      <c r="Y232" s="33">
        <f t="shared" si="15"/>
        <v>0</v>
      </c>
    </row>
    <row r="233" spans="4:25" x14ac:dyDescent="0.25">
      <c r="D233" s="69"/>
      <c r="E233" s="34"/>
      <c r="F233" s="34"/>
      <c r="H233" s="35"/>
      <c r="I233" s="36"/>
      <c r="J233" s="37"/>
      <c r="K233" s="38"/>
      <c r="L233" s="29"/>
      <c r="M233" s="29"/>
      <c r="N233" s="29"/>
      <c r="O233" s="39"/>
      <c r="P233" s="40">
        <f t="shared" si="12"/>
        <v>0</v>
      </c>
      <c r="Q233" s="40">
        <f t="shared" si="13"/>
        <v>0</v>
      </c>
      <c r="R233" s="40">
        <f t="shared" si="14"/>
        <v>0</v>
      </c>
      <c r="S233" s="41"/>
      <c r="T233" s="41"/>
      <c r="U233" s="41"/>
      <c r="V233" s="41"/>
      <c r="W233" s="41"/>
      <c r="X233" s="41"/>
      <c r="Y233" s="33">
        <f t="shared" si="15"/>
        <v>0</v>
      </c>
    </row>
    <row r="234" spans="4:25" x14ac:dyDescent="0.25">
      <c r="D234" s="69"/>
      <c r="E234" s="34"/>
      <c r="F234" s="34"/>
      <c r="H234" s="35"/>
      <c r="I234" s="36"/>
      <c r="J234" s="37"/>
      <c r="K234" s="38"/>
      <c r="L234" s="29"/>
      <c r="M234" s="29"/>
      <c r="N234" s="29"/>
      <c r="O234" s="39"/>
      <c r="P234" s="40">
        <f t="shared" si="12"/>
        <v>0</v>
      </c>
      <c r="Q234" s="40">
        <f t="shared" si="13"/>
        <v>0</v>
      </c>
      <c r="R234" s="40">
        <f t="shared" si="14"/>
        <v>0</v>
      </c>
      <c r="S234" s="41"/>
      <c r="T234" s="41"/>
      <c r="U234" s="41"/>
      <c r="V234" s="41"/>
      <c r="W234" s="41"/>
      <c r="X234" s="41"/>
      <c r="Y234" s="33">
        <f t="shared" si="15"/>
        <v>0</v>
      </c>
    </row>
    <row r="235" spans="4:25" x14ac:dyDescent="0.25">
      <c r="D235" s="69"/>
      <c r="E235" s="34"/>
      <c r="F235" s="34"/>
      <c r="H235" s="35"/>
      <c r="I235" s="36"/>
      <c r="J235" s="37"/>
      <c r="K235" s="38"/>
      <c r="L235" s="29"/>
      <c r="M235" s="29"/>
      <c r="N235" s="29"/>
      <c r="O235" s="39"/>
      <c r="P235" s="40">
        <f t="shared" si="12"/>
        <v>0</v>
      </c>
      <c r="Q235" s="40">
        <f t="shared" si="13"/>
        <v>0</v>
      </c>
      <c r="R235" s="40">
        <f t="shared" si="14"/>
        <v>0</v>
      </c>
      <c r="S235" s="41"/>
      <c r="T235" s="41"/>
      <c r="U235" s="41"/>
      <c r="V235" s="41"/>
      <c r="W235" s="41"/>
      <c r="X235" s="41"/>
      <c r="Y235" s="33">
        <f t="shared" si="15"/>
        <v>0</v>
      </c>
    </row>
    <row r="236" spans="4:25" x14ac:dyDescent="0.25">
      <c r="D236" s="69"/>
      <c r="E236" s="34"/>
      <c r="F236" s="34"/>
      <c r="H236" s="35"/>
      <c r="I236" s="36"/>
      <c r="J236" s="37"/>
      <c r="K236" s="38"/>
      <c r="L236" s="29"/>
      <c r="M236" s="29"/>
      <c r="N236" s="29"/>
      <c r="O236" s="39"/>
      <c r="P236" s="40">
        <f t="shared" si="12"/>
        <v>0</v>
      </c>
      <c r="Q236" s="40">
        <f t="shared" si="13"/>
        <v>0</v>
      </c>
      <c r="R236" s="40">
        <f t="shared" si="14"/>
        <v>0</v>
      </c>
      <c r="S236" s="41"/>
      <c r="T236" s="41"/>
      <c r="U236" s="41"/>
      <c r="V236" s="41"/>
      <c r="W236" s="41"/>
      <c r="X236" s="41"/>
      <c r="Y236" s="33">
        <f t="shared" si="15"/>
        <v>0</v>
      </c>
    </row>
    <row r="237" spans="4:25" x14ac:dyDescent="0.25">
      <c r="D237" s="69"/>
      <c r="E237" s="34"/>
      <c r="F237" s="34"/>
      <c r="H237" s="35"/>
      <c r="I237" s="36"/>
      <c r="J237" s="37"/>
      <c r="K237" s="38"/>
      <c r="L237" s="29"/>
      <c r="M237" s="29"/>
      <c r="N237" s="29"/>
      <c r="O237" s="39"/>
      <c r="P237" s="40">
        <f t="shared" si="12"/>
        <v>0</v>
      </c>
      <c r="Q237" s="40">
        <f t="shared" si="13"/>
        <v>0</v>
      </c>
      <c r="R237" s="40">
        <f t="shared" si="14"/>
        <v>0</v>
      </c>
      <c r="S237" s="41"/>
      <c r="T237" s="41"/>
      <c r="U237" s="41"/>
      <c r="V237" s="41"/>
      <c r="W237" s="41"/>
      <c r="X237" s="41"/>
      <c r="Y237" s="33">
        <f t="shared" si="15"/>
        <v>0</v>
      </c>
    </row>
    <row r="238" spans="4:25" x14ac:dyDescent="0.25">
      <c r="D238" s="69"/>
      <c r="E238" s="34"/>
      <c r="F238" s="34"/>
      <c r="H238" s="35"/>
      <c r="I238" s="36"/>
      <c r="J238" s="37"/>
      <c r="K238" s="38"/>
      <c r="L238" s="29"/>
      <c r="M238" s="29"/>
      <c r="N238" s="29"/>
      <c r="O238" s="39"/>
      <c r="P238" s="40">
        <f t="shared" si="12"/>
        <v>0</v>
      </c>
      <c r="Q238" s="40">
        <f t="shared" si="13"/>
        <v>0</v>
      </c>
      <c r="R238" s="40">
        <f t="shared" si="14"/>
        <v>0</v>
      </c>
      <c r="S238" s="41"/>
      <c r="T238" s="41"/>
      <c r="U238" s="41"/>
      <c r="V238" s="41"/>
      <c r="W238" s="41"/>
      <c r="X238" s="41"/>
      <c r="Y238" s="33">
        <f t="shared" si="15"/>
        <v>0</v>
      </c>
    </row>
    <row r="239" spans="4:25" x14ac:dyDescent="0.25">
      <c r="D239" s="69"/>
      <c r="E239" s="34"/>
      <c r="F239" s="34"/>
      <c r="H239" s="35"/>
      <c r="I239" s="36"/>
      <c r="J239" s="37"/>
      <c r="K239" s="38"/>
      <c r="L239" s="29"/>
      <c r="M239" s="29"/>
      <c r="N239" s="29"/>
      <c r="O239" s="39"/>
      <c r="P239" s="40">
        <f t="shared" si="12"/>
        <v>0</v>
      </c>
      <c r="Q239" s="40">
        <f t="shared" si="13"/>
        <v>0</v>
      </c>
      <c r="R239" s="40">
        <f t="shared" si="14"/>
        <v>0</v>
      </c>
      <c r="S239" s="41"/>
      <c r="T239" s="41"/>
      <c r="U239" s="41"/>
      <c r="V239" s="41"/>
      <c r="W239" s="41"/>
      <c r="X239" s="41"/>
      <c r="Y239" s="33">
        <f t="shared" si="15"/>
        <v>0</v>
      </c>
    </row>
    <row r="240" spans="4:25" x14ac:dyDescent="0.25">
      <c r="D240" s="69"/>
      <c r="E240" s="34"/>
      <c r="F240" s="34"/>
      <c r="H240" s="35"/>
      <c r="I240" s="36"/>
      <c r="J240" s="37"/>
      <c r="K240" s="38"/>
      <c r="L240" s="29"/>
      <c r="M240" s="29"/>
      <c r="N240" s="29"/>
      <c r="O240" s="39"/>
      <c r="P240" s="40">
        <f t="shared" si="12"/>
        <v>0</v>
      </c>
      <c r="Q240" s="40">
        <f t="shared" si="13"/>
        <v>0</v>
      </c>
      <c r="R240" s="40">
        <f t="shared" si="14"/>
        <v>0</v>
      </c>
      <c r="S240" s="41"/>
      <c r="T240" s="41"/>
      <c r="U240" s="41"/>
      <c r="V240" s="41"/>
      <c r="W240" s="41"/>
      <c r="X240" s="41"/>
      <c r="Y240" s="33">
        <f t="shared" si="15"/>
        <v>0</v>
      </c>
    </row>
    <row r="241" spans="4:25" x14ac:dyDescent="0.25">
      <c r="D241" s="69"/>
      <c r="E241" s="34"/>
      <c r="F241" s="34"/>
      <c r="H241" s="35"/>
      <c r="I241" s="36"/>
      <c r="J241" s="37"/>
      <c r="K241" s="38"/>
      <c r="L241" s="29"/>
      <c r="M241" s="29"/>
      <c r="N241" s="29"/>
      <c r="O241" s="39"/>
      <c r="P241" s="40">
        <f t="shared" si="12"/>
        <v>0</v>
      </c>
      <c r="Q241" s="40">
        <f t="shared" si="13"/>
        <v>0</v>
      </c>
      <c r="R241" s="40">
        <f t="shared" si="14"/>
        <v>0</v>
      </c>
      <c r="S241" s="41"/>
      <c r="T241" s="41"/>
      <c r="U241" s="41"/>
      <c r="V241" s="41"/>
      <c r="W241" s="41"/>
      <c r="X241" s="41"/>
      <c r="Y241" s="33">
        <f t="shared" si="15"/>
        <v>0</v>
      </c>
    </row>
    <row r="242" spans="4:25" x14ac:dyDescent="0.25">
      <c r="D242" s="69"/>
      <c r="E242" s="34"/>
      <c r="F242" s="34"/>
      <c r="H242" s="35"/>
      <c r="I242" s="36"/>
      <c r="J242" s="37"/>
      <c r="K242" s="38"/>
      <c r="L242" s="29"/>
      <c r="M242" s="29"/>
      <c r="N242" s="29"/>
      <c r="O242" s="39"/>
      <c r="P242" s="40">
        <f t="shared" si="12"/>
        <v>0</v>
      </c>
      <c r="Q242" s="40">
        <f t="shared" si="13"/>
        <v>0</v>
      </c>
      <c r="R242" s="40">
        <f t="shared" si="14"/>
        <v>0</v>
      </c>
      <c r="S242" s="41"/>
      <c r="T242" s="41"/>
      <c r="U242" s="41"/>
      <c r="V242" s="41"/>
      <c r="W242" s="41"/>
      <c r="X242" s="41"/>
      <c r="Y242" s="33">
        <f t="shared" si="15"/>
        <v>0</v>
      </c>
    </row>
    <row r="243" spans="4:25" x14ac:dyDescent="0.25">
      <c r="D243" s="69"/>
      <c r="E243" s="34"/>
      <c r="F243" s="34"/>
      <c r="H243" s="35"/>
      <c r="I243" s="36"/>
      <c r="J243" s="37"/>
      <c r="K243" s="38"/>
      <c r="L243" s="29"/>
      <c r="M243" s="29"/>
      <c r="N243" s="29"/>
      <c r="O243" s="39"/>
      <c r="P243" s="40">
        <f t="shared" si="12"/>
        <v>0</v>
      </c>
      <c r="Q243" s="40">
        <f t="shared" si="13"/>
        <v>0</v>
      </c>
      <c r="R243" s="40">
        <f t="shared" si="14"/>
        <v>0</v>
      </c>
      <c r="S243" s="41"/>
      <c r="T243" s="41"/>
      <c r="U243" s="41"/>
      <c r="V243" s="41"/>
      <c r="W243" s="41"/>
      <c r="X243" s="41"/>
      <c r="Y243" s="33">
        <f t="shared" si="15"/>
        <v>0</v>
      </c>
    </row>
    <row r="244" spans="4:25" x14ac:dyDescent="0.25">
      <c r="D244" s="69"/>
      <c r="E244" s="34"/>
      <c r="F244" s="34"/>
      <c r="H244" s="35"/>
      <c r="I244" s="36"/>
      <c r="J244" s="37"/>
      <c r="K244" s="38"/>
      <c r="L244" s="29"/>
      <c r="M244" s="29"/>
      <c r="N244" s="29"/>
      <c r="O244" s="39"/>
      <c r="P244" s="40">
        <f t="shared" si="12"/>
        <v>0</v>
      </c>
      <c r="Q244" s="40">
        <f t="shared" si="13"/>
        <v>0</v>
      </c>
      <c r="R244" s="40">
        <f t="shared" si="14"/>
        <v>0</v>
      </c>
      <c r="S244" s="41"/>
      <c r="T244" s="41"/>
      <c r="U244" s="41"/>
      <c r="V244" s="41"/>
      <c r="W244" s="41"/>
      <c r="X244" s="41"/>
      <c r="Y244" s="33">
        <f t="shared" si="15"/>
        <v>0</v>
      </c>
    </row>
    <row r="245" spans="4:25" x14ac:dyDescent="0.25">
      <c r="D245" s="69"/>
      <c r="E245" s="34"/>
      <c r="F245" s="34"/>
      <c r="H245" s="35"/>
      <c r="I245" s="36"/>
      <c r="J245" s="37"/>
      <c r="K245" s="38"/>
      <c r="L245" s="29"/>
      <c r="M245" s="29"/>
      <c r="N245" s="29"/>
      <c r="O245" s="39"/>
      <c r="P245" s="40">
        <f t="shared" si="12"/>
        <v>0</v>
      </c>
      <c r="Q245" s="40">
        <f t="shared" si="13"/>
        <v>0</v>
      </c>
      <c r="R245" s="40">
        <f t="shared" si="14"/>
        <v>0</v>
      </c>
      <c r="S245" s="41"/>
      <c r="T245" s="41"/>
      <c r="U245" s="41"/>
      <c r="V245" s="41"/>
      <c r="W245" s="41"/>
      <c r="X245" s="41"/>
      <c r="Y245" s="33">
        <f t="shared" si="15"/>
        <v>0</v>
      </c>
    </row>
    <row r="246" spans="4:25" x14ac:dyDescent="0.25">
      <c r="D246" s="69"/>
      <c r="E246" s="34"/>
      <c r="F246" s="34"/>
      <c r="H246" s="35"/>
      <c r="I246" s="36"/>
      <c r="J246" s="37"/>
      <c r="K246" s="38"/>
      <c r="L246" s="29"/>
      <c r="M246" s="29"/>
      <c r="N246" s="29"/>
      <c r="O246" s="39"/>
      <c r="P246" s="40">
        <f t="shared" si="12"/>
        <v>0</v>
      </c>
      <c r="Q246" s="40">
        <f t="shared" si="13"/>
        <v>0</v>
      </c>
      <c r="R246" s="40">
        <f t="shared" si="14"/>
        <v>0</v>
      </c>
      <c r="S246" s="41"/>
      <c r="T246" s="41"/>
      <c r="U246" s="41"/>
      <c r="V246" s="41"/>
      <c r="W246" s="41"/>
      <c r="X246" s="41"/>
      <c r="Y246" s="33">
        <f t="shared" si="15"/>
        <v>0</v>
      </c>
    </row>
    <row r="247" spans="4:25" x14ac:dyDescent="0.25">
      <c r="D247" s="69"/>
      <c r="E247" s="34"/>
      <c r="F247" s="34"/>
      <c r="H247" s="35"/>
      <c r="I247" s="36"/>
      <c r="J247" s="37"/>
      <c r="K247" s="38"/>
      <c r="L247" s="29"/>
      <c r="M247" s="29"/>
      <c r="N247" s="29"/>
      <c r="O247" s="39"/>
      <c r="P247" s="40">
        <f t="shared" si="12"/>
        <v>0</v>
      </c>
      <c r="Q247" s="40">
        <f t="shared" si="13"/>
        <v>0</v>
      </c>
      <c r="R247" s="40">
        <f t="shared" si="14"/>
        <v>0</v>
      </c>
      <c r="S247" s="41"/>
      <c r="T247" s="41"/>
      <c r="U247" s="41"/>
      <c r="V247" s="41"/>
      <c r="W247" s="41"/>
      <c r="X247" s="41"/>
      <c r="Y247" s="33">
        <f t="shared" si="15"/>
        <v>0</v>
      </c>
    </row>
    <row r="248" spans="4:25" x14ac:dyDescent="0.25">
      <c r="D248" s="69"/>
      <c r="E248" s="34"/>
      <c r="F248" s="34"/>
      <c r="H248" s="35"/>
      <c r="I248" s="36"/>
      <c r="J248" s="37"/>
      <c r="K248" s="38"/>
      <c r="L248" s="29"/>
      <c r="M248" s="29"/>
      <c r="N248" s="29"/>
      <c r="O248" s="39"/>
      <c r="P248" s="40">
        <f t="shared" si="12"/>
        <v>0</v>
      </c>
      <c r="Q248" s="40">
        <f t="shared" si="13"/>
        <v>0</v>
      </c>
      <c r="R248" s="40">
        <f t="shared" si="14"/>
        <v>0</v>
      </c>
      <c r="S248" s="41"/>
      <c r="T248" s="41"/>
      <c r="U248" s="41"/>
      <c r="V248" s="41"/>
      <c r="W248" s="41"/>
      <c r="X248" s="41"/>
      <c r="Y248" s="33">
        <f t="shared" si="15"/>
        <v>0</v>
      </c>
    </row>
    <row r="249" spans="4:25" x14ac:dyDescent="0.25">
      <c r="D249" s="69"/>
      <c r="E249" s="34"/>
      <c r="F249" s="34"/>
      <c r="H249" s="35"/>
      <c r="I249" s="36"/>
      <c r="J249" s="37"/>
      <c r="K249" s="38"/>
      <c r="L249" s="29"/>
      <c r="M249" s="29"/>
      <c r="N249" s="29"/>
      <c r="O249" s="39"/>
      <c r="P249" s="40">
        <f t="shared" si="12"/>
        <v>0</v>
      </c>
      <c r="Q249" s="40">
        <f t="shared" si="13"/>
        <v>0</v>
      </c>
      <c r="R249" s="40">
        <f t="shared" si="14"/>
        <v>0</v>
      </c>
      <c r="S249" s="41"/>
      <c r="T249" s="41"/>
      <c r="U249" s="41"/>
      <c r="V249" s="41"/>
      <c r="W249" s="41"/>
      <c r="X249" s="41"/>
      <c r="Y249" s="33">
        <f t="shared" si="15"/>
        <v>0</v>
      </c>
    </row>
    <row r="250" spans="4:25" x14ac:dyDescent="0.25">
      <c r="D250" s="69"/>
      <c r="E250" s="34"/>
      <c r="F250" s="34"/>
      <c r="H250" s="35"/>
      <c r="I250" s="36"/>
      <c r="J250" s="37"/>
      <c r="K250" s="38"/>
      <c r="L250" s="29"/>
      <c r="M250" s="29"/>
      <c r="N250" s="29"/>
      <c r="O250" s="39"/>
      <c r="P250" s="40">
        <f t="shared" si="12"/>
        <v>0</v>
      </c>
      <c r="Q250" s="40">
        <f t="shared" si="13"/>
        <v>0</v>
      </c>
      <c r="R250" s="40">
        <f t="shared" si="14"/>
        <v>0</v>
      </c>
      <c r="S250" s="41"/>
      <c r="T250" s="41"/>
      <c r="U250" s="41"/>
      <c r="V250" s="41"/>
      <c r="W250" s="41"/>
      <c r="X250" s="41"/>
      <c r="Y250" s="33">
        <f t="shared" si="15"/>
        <v>0</v>
      </c>
    </row>
    <row r="251" spans="4:25" x14ac:dyDescent="0.25">
      <c r="D251" s="69"/>
      <c r="E251" s="34"/>
      <c r="F251" s="34"/>
      <c r="H251" s="35"/>
      <c r="I251" s="36"/>
      <c r="J251" s="37"/>
      <c r="K251" s="38"/>
      <c r="L251" s="29"/>
      <c r="M251" s="29"/>
      <c r="N251" s="29"/>
      <c r="O251" s="39"/>
      <c r="P251" s="40">
        <f t="shared" si="12"/>
        <v>0</v>
      </c>
      <c r="Q251" s="40">
        <f t="shared" si="13"/>
        <v>0</v>
      </c>
      <c r="R251" s="40">
        <f t="shared" si="14"/>
        <v>0</v>
      </c>
      <c r="S251" s="41"/>
      <c r="T251" s="41"/>
      <c r="U251" s="41"/>
      <c r="V251" s="41"/>
      <c r="W251" s="41"/>
      <c r="X251" s="41"/>
      <c r="Y251" s="33">
        <f t="shared" si="15"/>
        <v>0</v>
      </c>
    </row>
    <row r="252" spans="4:25" x14ac:dyDescent="0.25">
      <c r="D252" s="69"/>
      <c r="E252" s="34"/>
      <c r="F252" s="34"/>
      <c r="H252" s="35"/>
      <c r="I252" s="36"/>
      <c r="J252" s="37"/>
      <c r="K252" s="38"/>
      <c r="L252" s="29"/>
      <c r="M252" s="29"/>
      <c r="N252" s="29"/>
      <c r="O252" s="39"/>
      <c r="P252" s="40">
        <f t="shared" si="12"/>
        <v>0</v>
      </c>
      <c r="Q252" s="40">
        <f t="shared" si="13"/>
        <v>0</v>
      </c>
      <c r="R252" s="40">
        <f t="shared" si="14"/>
        <v>0</v>
      </c>
      <c r="S252" s="41"/>
      <c r="T252" s="41"/>
      <c r="U252" s="41"/>
      <c r="V252" s="41"/>
      <c r="W252" s="41"/>
      <c r="X252" s="41"/>
      <c r="Y252" s="33">
        <f t="shared" si="15"/>
        <v>0</v>
      </c>
    </row>
    <row r="253" spans="4:25" x14ac:dyDescent="0.25">
      <c r="D253" s="69"/>
      <c r="E253" s="34"/>
      <c r="F253" s="34"/>
      <c r="H253" s="35"/>
      <c r="I253" s="36"/>
      <c r="J253" s="37"/>
      <c r="K253" s="38"/>
      <c r="L253" s="29"/>
      <c r="M253" s="29"/>
      <c r="N253" s="29"/>
      <c r="O253" s="39"/>
      <c r="P253" s="40">
        <f t="shared" si="12"/>
        <v>0</v>
      </c>
      <c r="Q253" s="40">
        <f t="shared" si="13"/>
        <v>0</v>
      </c>
      <c r="R253" s="40">
        <f t="shared" si="14"/>
        <v>0</v>
      </c>
      <c r="S253" s="41"/>
      <c r="T253" s="41"/>
      <c r="U253" s="41"/>
      <c r="V253" s="41"/>
      <c r="W253" s="41"/>
      <c r="X253" s="41"/>
      <c r="Y253" s="33">
        <f t="shared" si="15"/>
        <v>0</v>
      </c>
    </row>
    <row r="254" spans="4:25" x14ac:dyDescent="0.25">
      <c r="D254" s="69"/>
      <c r="E254" s="34"/>
      <c r="F254" s="34"/>
      <c r="H254" s="35"/>
      <c r="I254" s="36"/>
      <c r="J254" s="37"/>
      <c r="K254" s="38"/>
      <c r="L254" s="29"/>
      <c r="M254" s="29"/>
      <c r="N254" s="29"/>
      <c r="O254" s="39"/>
      <c r="P254" s="40">
        <f t="shared" si="12"/>
        <v>0</v>
      </c>
      <c r="Q254" s="40">
        <f t="shared" si="13"/>
        <v>0</v>
      </c>
      <c r="R254" s="40">
        <f t="shared" si="14"/>
        <v>0</v>
      </c>
      <c r="S254" s="41"/>
      <c r="T254" s="41"/>
      <c r="U254" s="41"/>
      <c r="V254" s="41"/>
      <c r="W254" s="41"/>
      <c r="X254" s="41"/>
      <c r="Y254" s="33">
        <f t="shared" si="15"/>
        <v>0</v>
      </c>
    </row>
    <row r="255" spans="4:25" x14ac:dyDescent="0.25">
      <c r="D255" s="69"/>
      <c r="E255" s="34"/>
      <c r="F255" s="34"/>
      <c r="H255" s="35"/>
      <c r="I255" s="36"/>
      <c r="J255" s="37"/>
      <c r="K255" s="38"/>
      <c r="L255" s="29"/>
      <c r="M255" s="29"/>
      <c r="N255" s="29"/>
      <c r="O255" s="39"/>
      <c r="P255" s="40">
        <f t="shared" si="12"/>
        <v>0</v>
      </c>
      <c r="Q255" s="40">
        <f t="shared" si="13"/>
        <v>0</v>
      </c>
      <c r="R255" s="40">
        <f t="shared" si="14"/>
        <v>0</v>
      </c>
      <c r="S255" s="41"/>
      <c r="T255" s="41"/>
      <c r="U255" s="41"/>
      <c r="V255" s="41"/>
      <c r="W255" s="41"/>
      <c r="X255" s="41"/>
      <c r="Y255" s="33">
        <f t="shared" si="15"/>
        <v>0</v>
      </c>
    </row>
    <row r="256" spans="4:25" x14ac:dyDescent="0.25">
      <c r="D256" s="69"/>
      <c r="E256" s="34"/>
      <c r="F256" s="34"/>
      <c r="H256" s="35"/>
      <c r="I256" s="36"/>
      <c r="J256" s="37"/>
      <c r="K256" s="38"/>
      <c r="L256" s="29"/>
      <c r="M256" s="29"/>
      <c r="N256" s="29"/>
      <c r="O256" s="39"/>
      <c r="P256" s="40">
        <f t="shared" si="12"/>
        <v>0</v>
      </c>
      <c r="Q256" s="40">
        <f t="shared" si="13"/>
        <v>0</v>
      </c>
      <c r="R256" s="40">
        <f t="shared" si="14"/>
        <v>0</v>
      </c>
      <c r="S256" s="41"/>
      <c r="T256" s="41"/>
      <c r="U256" s="41"/>
      <c r="V256" s="41"/>
      <c r="W256" s="41"/>
      <c r="X256" s="41"/>
      <c r="Y256" s="33">
        <f t="shared" si="15"/>
        <v>0</v>
      </c>
    </row>
    <row r="257" spans="4:25" x14ac:dyDescent="0.25">
      <c r="D257" s="69"/>
      <c r="E257" s="34"/>
      <c r="F257" s="34"/>
      <c r="H257" s="35"/>
      <c r="I257" s="36"/>
      <c r="J257" s="37"/>
      <c r="K257" s="38"/>
      <c r="L257" s="29"/>
      <c r="M257" s="29"/>
      <c r="N257" s="29"/>
      <c r="O257" s="39"/>
      <c r="P257" s="40">
        <f t="shared" si="12"/>
        <v>0</v>
      </c>
      <c r="Q257" s="40">
        <f t="shared" si="13"/>
        <v>0</v>
      </c>
      <c r="R257" s="40">
        <f t="shared" si="14"/>
        <v>0</v>
      </c>
      <c r="S257" s="41"/>
      <c r="T257" s="41"/>
      <c r="U257" s="41"/>
      <c r="V257" s="41"/>
      <c r="W257" s="41"/>
      <c r="X257" s="41"/>
      <c r="Y257" s="33">
        <f t="shared" si="15"/>
        <v>0</v>
      </c>
    </row>
    <row r="258" spans="4:25" x14ac:dyDescent="0.25">
      <c r="D258" s="69"/>
      <c r="E258" s="34"/>
      <c r="F258" s="34"/>
      <c r="H258" s="35"/>
      <c r="I258" s="36"/>
      <c r="J258" s="37"/>
      <c r="K258" s="38"/>
      <c r="L258" s="29"/>
      <c r="M258" s="29"/>
      <c r="N258" s="29"/>
      <c r="O258" s="39"/>
      <c r="P258" s="40">
        <f t="shared" si="12"/>
        <v>0</v>
      </c>
      <c r="Q258" s="40">
        <f t="shared" si="13"/>
        <v>0</v>
      </c>
      <c r="R258" s="40">
        <f t="shared" si="14"/>
        <v>0</v>
      </c>
      <c r="S258" s="41"/>
      <c r="T258" s="41"/>
      <c r="U258" s="41"/>
      <c r="V258" s="41"/>
      <c r="W258" s="41"/>
      <c r="X258" s="41"/>
      <c r="Y258" s="33">
        <f t="shared" si="15"/>
        <v>0</v>
      </c>
    </row>
    <row r="259" spans="4:25" x14ac:dyDescent="0.25">
      <c r="D259" s="69"/>
      <c r="E259" s="34"/>
      <c r="F259" s="34"/>
      <c r="H259" s="35"/>
      <c r="I259" s="36"/>
      <c r="J259" s="37"/>
      <c r="K259" s="38"/>
      <c r="L259" s="29"/>
      <c r="M259" s="29"/>
      <c r="N259" s="29"/>
      <c r="O259" s="39"/>
      <c r="P259" s="40">
        <f t="shared" ref="P259:P302" si="16">$L259*$O259</f>
        <v>0</v>
      </c>
      <c r="Q259" s="40">
        <f t="shared" si="13"/>
        <v>0</v>
      </c>
      <c r="R259" s="40">
        <f t="shared" si="14"/>
        <v>0</v>
      </c>
      <c r="S259" s="41"/>
      <c r="T259" s="41"/>
      <c r="U259" s="41"/>
      <c r="V259" s="41"/>
      <c r="W259" s="41"/>
      <c r="X259" s="41"/>
      <c r="Y259" s="33">
        <f t="shared" si="15"/>
        <v>0</v>
      </c>
    </row>
    <row r="260" spans="4:25" x14ac:dyDescent="0.25">
      <c r="D260" s="69"/>
      <c r="E260" s="34"/>
      <c r="F260" s="34"/>
      <c r="H260" s="35"/>
      <c r="I260" s="36"/>
      <c r="J260" s="37"/>
      <c r="K260" s="38"/>
      <c r="L260" s="29"/>
      <c r="M260" s="29"/>
      <c r="N260" s="29"/>
      <c r="O260" s="39"/>
      <c r="P260" s="40">
        <f t="shared" si="16"/>
        <v>0</v>
      </c>
      <c r="Q260" s="40">
        <f t="shared" ref="Q260:Q302" si="17">IF(E260="NE",(M260*O260*1.5),(M260*O260))</f>
        <v>0</v>
      </c>
      <c r="R260" s="40">
        <f t="shared" ref="R260:R302" si="18">P260+Q260</f>
        <v>0</v>
      </c>
      <c r="S260" s="41"/>
      <c r="T260" s="41"/>
      <c r="U260" s="41"/>
      <c r="V260" s="41"/>
      <c r="W260" s="41"/>
      <c r="X260" s="41"/>
      <c r="Y260" s="33">
        <f t="shared" ref="Y260:Y302" si="19">SUM(R260:X260)</f>
        <v>0</v>
      </c>
    </row>
    <row r="261" spans="4:25" x14ac:dyDescent="0.25">
      <c r="D261" s="69"/>
      <c r="E261" s="34"/>
      <c r="F261" s="34"/>
      <c r="H261" s="35"/>
      <c r="I261" s="36"/>
      <c r="J261" s="37"/>
      <c r="K261" s="38"/>
      <c r="L261" s="29"/>
      <c r="M261" s="29"/>
      <c r="N261" s="29"/>
      <c r="O261" s="39"/>
      <c r="P261" s="40">
        <f t="shared" si="16"/>
        <v>0</v>
      </c>
      <c r="Q261" s="40">
        <f t="shared" si="17"/>
        <v>0</v>
      </c>
      <c r="R261" s="40">
        <f t="shared" si="18"/>
        <v>0</v>
      </c>
      <c r="S261" s="41"/>
      <c r="T261" s="41"/>
      <c r="U261" s="41"/>
      <c r="V261" s="41"/>
      <c r="W261" s="41"/>
      <c r="X261" s="41"/>
      <c r="Y261" s="33">
        <f t="shared" si="19"/>
        <v>0</v>
      </c>
    </row>
    <row r="262" spans="4:25" x14ac:dyDescent="0.25">
      <c r="D262" s="69"/>
      <c r="E262" s="34"/>
      <c r="F262" s="34"/>
      <c r="G262" s="38"/>
      <c r="H262" s="35"/>
      <c r="I262" s="36"/>
      <c r="J262" s="37"/>
      <c r="K262" s="38"/>
      <c r="L262" s="29"/>
      <c r="M262" s="29"/>
      <c r="N262" s="29"/>
      <c r="O262" s="39"/>
      <c r="P262" s="40">
        <f t="shared" si="16"/>
        <v>0</v>
      </c>
      <c r="Q262" s="40">
        <f t="shared" si="17"/>
        <v>0</v>
      </c>
      <c r="R262" s="40">
        <f t="shared" si="18"/>
        <v>0</v>
      </c>
      <c r="S262" s="41"/>
      <c r="T262" s="41"/>
      <c r="U262" s="41"/>
      <c r="V262" s="41"/>
      <c r="W262" s="41"/>
      <c r="X262" s="41"/>
      <c r="Y262" s="33">
        <f t="shared" si="19"/>
        <v>0</v>
      </c>
    </row>
    <row r="263" spans="4:25" x14ac:dyDescent="0.25">
      <c r="D263" s="69"/>
      <c r="E263" s="34"/>
      <c r="F263" s="34"/>
      <c r="G263" s="38"/>
      <c r="H263" s="35"/>
      <c r="I263" s="36"/>
      <c r="J263" s="37"/>
      <c r="K263" s="38"/>
      <c r="L263" s="29"/>
      <c r="M263" s="29"/>
      <c r="N263" s="29"/>
      <c r="O263" s="39"/>
      <c r="P263" s="40">
        <f t="shared" si="16"/>
        <v>0</v>
      </c>
      <c r="Q263" s="40">
        <f t="shared" si="17"/>
        <v>0</v>
      </c>
      <c r="R263" s="40">
        <f t="shared" si="18"/>
        <v>0</v>
      </c>
      <c r="S263" s="41"/>
      <c r="T263" s="41"/>
      <c r="U263" s="41"/>
      <c r="V263" s="41"/>
      <c r="W263" s="41"/>
      <c r="X263" s="41"/>
      <c r="Y263" s="33">
        <f t="shared" si="19"/>
        <v>0</v>
      </c>
    </row>
    <row r="264" spans="4:25" x14ac:dyDescent="0.25">
      <c r="D264" s="69"/>
      <c r="E264" s="34"/>
      <c r="F264" s="34"/>
      <c r="H264" s="35"/>
      <c r="I264" s="36"/>
      <c r="J264" s="37"/>
      <c r="K264" s="38"/>
      <c r="L264" s="29"/>
      <c r="M264" s="29"/>
      <c r="N264" s="29"/>
      <c r="O264" s="39"/>
      <c r="P264" s="40">
        <f t="shared" si="16"/>
        <v>0</v>
      </c>
      <c r="Q264" s="40">
        <f t="shared" si="17"/>
        <v>0</v>
      </c>
      <c r="R264" s="40">
        <f t="shared" si="18"/>
        <v>0</v>
      </c>
      <c r="S264" s="41"/>
      <c r="T264" s="41"/>
      <c r="U264" s="41"/>
      <c r="V264" s="41"/>
      <c r="W264" s="41"/>
      <c r="X264" s="41"/>
      <c r="Y264" s="33">
        <f t="shared" si="19"/>
        <v>0</v>
      </c>
    </row>
    <row r="265" spans="4:25" x14ac:dyDescent="0.25">
      <c r="D265" s="69"/>
      <c r="E265" s="34"/>
      <c r="F265" s="34"/>
      <c r="H265" s="35"/>
      <c r="I265" s="36"/>
      <c r="J265" s="37"/>
      <c r="K265" s="38"/>
      <c r="L265" s="29"/>
      <c r="M265" s="29"/>
      <c r="N265" s="29"/>
      <c r="O265" s="39"/>
      <c r="P265" s="40">
        <f t="shared" si="16"/>
        <v>0</v>
      </c>
      <c r="Q265" s="40">
        <f t="shared" si="17"/>
        <v>0</v>
      </c>
      <c r="R265" s="40">
        <f t="shared" si="18"/>
        <v>0</v>
      </c>
      <c r="S265" s="41"/>
      <c r="T265" s="41"/>
      <c r="U265" s="41"/>
      <c r="V265" s="41"/>
      <c r="W265" s="41"/>
      <c r="X265" s="41"/>
      <c r="Y265" s="33">
        <f t="shared" si="19"/>
        <v>0</v>
      </c>
    </row>
    <row r="266" spans="4:25" x14ac:dyDescent="0.25">
      <c r="D266" s="69"/>
      <c r="E266" s="34"/>
      <c r="F266" s="34"/>
      <c r="H266" s="35"/>
      <c r="I266" s="36"/>
      <c r="J266" s="37"/>
      <c r="K266" s="38"/>
      <c r="L266" s="29"/>
      <c r="M266" s="29"/>
      <c r="N266" s="29"/>
      <c r="O266" s="39"/>
      <c r="P266" s="40">
        <f t="shared" si="16"/>
        <v>0</v>
      </c>
      <c r="Q266" s="40">
        <f t="shared" si="17"/>
        <v>0</v>
      </c>
      <c r="R266" s="40">
        <f t="shared" si="18"/>
        <v>0</v>
      </c>
      <c r="S266" s="41"/>
      <c r="T266" s="41"/>
      <c r="U266" s="41"/>
      <c r="V266" s="41"/>
      <c r="W266" s="41"/>
      <c r="X266" s="41"/>
      <c r="Y266" s="33">
        <f t="shared" si="19"/>
        <v>0</v>
      </c>
    </row>
    <row r="267" spans="4:25" x14ac:dyDescent="0.25">
      <c r="D267" s="69"/>
      <c r="E267" s="34"/>
      <c r="F267" s="34"/>
      <c r="H267" s="35"/>
      <c r="I267" s="36"/>
      <c r="J267" s="37"/>
      <c r="K267" s="38"/>
      <c r="L267" s="29"/>
      <c r="M267" s="29"/>
      <c r="N267" s="29"/>
      <c r="O267" s="39"/>
      <c r="P267" s="40">
        <f t="shared" si="16"/>
        <v>0</v>
      </c>
      <c r="Q267" s="40">
        <f t="shared" si="17"/>
        <v>0</v>
      </c>
      <c r="R267" s="40">
        <f t="shared" si="18"/>
        <v>0</v>
      </c>
      <c r="S267" s="41"/>
      <c r="T267" s="41"/>
      <c r="U267" s="41"/>
      <c r="V267" s="41"/>
      <c r="W267" s="41"/>
      <c r="X267" s="41"/>
      <c r="Y267" s="33">
        <f t="shared" si="19"/>
        <v>0</v>
      </c>
    </row>
    <row r="268" spans="4:25" x14ac:dyDescent="0.25">
      <c r="D268" s="69"/>
      <c r="E268" s="34"/>
      <c r="F268" s="34"/>
      <c r="H268" s="35"/>
      <c r="I268" s="36"/>
      <c r="J268" s="37"/>
      <c r="K268" s="38"/>
      <c r="L268" s="29"/>
      <c r="M268" s="29"/>
      <c r="N268" s="29"/>
      <c r="O268" s="39"/>
      <c r="P268" s="40">
        <f t="shared" si="16"/>
        <v>0</v>
      </c>
      <c r="Q268" s="40">
        <f t="shared" si="17"/>
        <v>0</v>
      </c>
      <c r="R268" s="40">
        <f t="shared" si="18"/>
        <v>0</v>
      </c>
      <c r="S268" s="41"/>
      <c r="T268" s="41"/>
      <c r="U268" s="41"/>
      <c r="V268" s="41"/>
      <c r="W268" s="41"/>
      <c r="X268" s="41"/>
      <c r="Y268" s="33">
        <f t="shared" si="19"/>
        <v>0</v>
      </c>
    </row>
    <row r="269" spans="4:25" x14ac:dyDescent="0.25">
      <c r="D269" s="69"/>
      <c r="E269" s="34"/>
      <c r="F269" s="34"/>
      <c r="H269" s="35"/>
      <c r="I269" s="36"/>
      <c r="J269" s="37"/>
      <c r="K269" s="38"/>
      <c r="L269" s="29"/>
      <c r="M269" s="29"/>
      <c r="N269" s="29"/>
      <c r="O269" s="39"/>
      <c r="P269" s="40">
        <f t="shared" si="16"/>
        <v>0</v>
      </c>
      <c r="Q269" s="40">
        <f t="shared" si="17"/>
        <v>0</v>
      </c>
      <c r="R269" s="40">
        <f t="shared" si="18"/>
        <v>0</v>
      </c>
      <c r="S269" s="41"/>
      <c r="T269" s="41"/>
      <c r="U269" s="41"/>
      <c r="V269" s="41"/>
      <c r="W269" s="41"/>
      <c r="X269" s="41"/>
      <c r="Y269" s="33">
        <f t="shared" si="19"/>
        <v>0</v>
      </c>
    </row>
    <row r="270" spans="4:25" x14ac:dyDescent="0.25">
      <c r="D270" s="69"/>
      <c r="E270" s="34"/>
      <c r="F270" s="34"/>
      <c r="H270" s="35"/>
      <c r="I270" s="36"/>
      <c r="J270" s="37"/>
      <c r="K270" s="38"/>
      <c r="L270" s="29"/>
      <c r="M270" s="29"/>
      <c r="N270" s="29"/>
      <c r="O270" s="39"/>
      <c r="P270" s="40">
        <f t="shared" si="16"/>
        <v>0</v>
      </c>
      <c r="Q270" s="40">
        <f t="shared" si="17"/>
        <v>0</v>
      </c>
      <c r="R270" s="40">
        <f t="shared" si="18"/>
        <v>0</v>
      </c>
      <c r="S270" s="41"/>
      <c r="T270" s="41"/>
      <c r="U270" s="41"/>
      <c r="V270" s="41"/>
      <c r="W270" s="41"/>
      <c r="X270" s="41"/>
      <c r="Y270" s="33">
        <f t="shared" si="19"/>
        <v>0</v>
      </c>
    </row>
    <row r="271" spans="4:25" x14ac:dyDescent="0.25">
      <c r="D271" s="69"/>
      <c r="E271" s="34"/>
      <c r="F271" s="34"/>
      <c r="H271" s="35"/>
      <c r="I271" s="36"/>
      <c r="J271" s="37"/>
      <c r="K271" s="38"/>
      <c r="L271" s="29"/>
      <c r="M271" s="29"/>
      <c r="N271" s="29"/>
      <c r="O271" s="39"/>
      <c r="P271" s="40">
        <f t="shared" si="16"/>
        <v>0</v>
      </c>
      <c r="Q271" s="40">
        <f t="shared" si="17"/>
        <v>0</v>
      </c>
      <c r="R271" s="40">
        <f t="shared" si="18"/>
        <v>0</v>
      </c>
      <c r="S271" s="41"/>
      <c r="T271" s="41"/>
      <c r="U271" s="41"/>
      <c r="V271" s="41"/>
      <c r="W271" s="41"/>
      <c r="X271" s="41"/>
      <c r="Y271" s="33">
        <f t="shared" si="19"/>
        <v>0</v>
      </c>
    </row>
    <row r="272" spans="4:25" x14ac:dyDescent="0.25">
      <c r="D272" s="69"/>
      <c r="E272" s="34"/>
      <c r="F272" s="34"/>
      <c r="H272" s="35"/>
      <c r="I272" s="36"/>
      <c r="J272" s="37"/>
      <c r="K272" s="38"/>
      <c r="L272" s="29"/>
      <c r="M272" s="29"/>
      <c r="N272" s="29"/>
      <c r="O272" s="39"/>
      <c r="P272" s="40">
        <f t="shared" si="16"/>
        <v>0</v>
      </c>
      <c r="Q272" s="40">
        <f t="shared" si="17"/>
        <v>0</v>
      </c>
      <c r="R272" s="40">
        <f t="shared" si="18"/>
        <v>0</v>
      </c>
      <c r="S272" s="41"/>
      <c r="T272" s="41"/>
      <c r="U272" s="41"/>
      <c r="V272" s="41"/>
      <c r="W272" s="41"/>
      <c r="X272" s="41"/>
      <c r="Y272" s="33">
        <f t="shared" si="19"/>
        <v>0</v>
      </c>
    </row>
    <row r="273" spans="4:25" x14ac:dyDescent="0.25">
      <c r="D273" s="69"/>
      <c r="E273" s="34"/>
      <c r="F273" s="34"/>
      <c r="H273" s="35"/>
      <c r="I273" s="36"/>
      <c r="J273" s="37"/>
      <c r="K273" s="38"/>
      <c r="L273" s="29"/>
      <c r="M273" s="29"/>
      <c r="N273" s="29"/>
      <c r="O273" s="39"/>
      <c r="P273" s="40">
        <f t="shared" si="16"/>
        <v>0</v>
      </c>
      <c r="Q273" s="40">
        <f t="shared" si="17"/>
        <v>0</v>
      </c>
      <c r="R273" s="40">
        <f t="shared" si="18"/>
        <v>0</v>
      </c>
      <c r="S273" s="41"/>
      <c r="T273" s="41"/>
      <c r="U273" s="41"/>
      <c r="V273" s="41"/>
      <c r="W273" s="41"/>
      <c r="X273" s="41"/>
      <c r="Y273" s="33">
        <f t="shared" si="19"/>
        <v>0</v>
      </c>
    </row>
    <row r="274" spans="4:25" x14ac:dyDescent="0.25">
      <c r="D274" s="69"/>
      <c r="E274" s="34"/>
      <c r="F274" s="34"/>
      <c r="H274" s="35"/>
      <c r="I274" s="36"/>
      <c r="J274" s="37"/>
      <c r="K274" s="38"/>
      <c r="L274" s="29"/>
      <c r="M274" s="29"/>
      <c r="N274" s="29"/>
      <c r="O274" s="39"/>
      <c r="P274" s="40">
        <f t="shared" si="16"/>
        <v>0</v>
      </c>
      <c r="Q274" s="40">
        <f t="shared" si="17"/>
        <v>0</v>
      </c>
      <c r="R274" s="40">
        <f t="shared" si="18"/>
        <v>0</v>
      </c>
      <c r="S274" s="41"/>
      <c r="T274" s="41"/>
      <c r="U274" s="41"/>
      <c r="V274" s="41"/>
      <c r="W274" s="41"/>
      <c r="X274" s="41"/>
      <c r="Y274" s="33">
        <f t="shared" si="19"/>
        <v>0</v>
      </c>
    </row>
    <row r="275" spans="4:25" x14ac:dyDescent="0.25">
      <c r="D275" s="69"/>
      <c r="E275" s="34"/>
      <c r="F275" s="34"/>
      <c r="H275" s="35"/>
      <c r="I275" s="36"/>
      <c r="J275" s="37"/>
      <c r="K275" s="38"/>
      <c r="L275" s="29"/>
      <c r="M275" s="29"/>
      <c r="N275" s="29"/>
      <c r="O275" s="39"/>
      <c r="P275" s="40">
        <f t="shared" si="16"/>
        <v>0</v>
      </c>
      <c r="Q275" s="40">
        <f t="shared" si="17"/>
        <v>0</v>
      </c>
      <c r="R275" s="40">
        <f t="shared" si="18"/>
        <v>0</v>
      </c>
      <c r="S275" s="41"/>
      <c r="T275" s="41"/>
      <c r="U275" s="41"/>
      <c r="V275" s="41"/>
      <c r="W275" s="41"/>
      <c r="X275" s="41"/>
      <c r="Y275" s="33">
        <f t="shared" si="19"/>
        <v>0</v>
      </c>
    </row>
    <row r="276" spans="4:25" x14ac:dyDescent="0.25">
      <c r="D276" s="69"/>
      <c r="E276" s="34"/>
      <c r="F276" s="34"/>
      <c r="H276" s="35"/>
      <c r="I276" s="36"/>
      <c r="J276" s="37"/>
      <c r="K276" s="38"/>
      <c r="L276" s="29"/>
      <c r="M276" s="29"/>
      <c r="N276" s="29"/>
      <c r="O276" s="39"/>
      <c r="P276" s="40">
        <f t="shared" si="16"/>
        <v>0</v>
      </c>
      <c r="Q276" s="40">
        <f t="shared" si="17"/>
        <v>0</v>
      </c>
      <c r="R276" s="40">
        <f t="shared" si="18"/>
        <v>0</v>
      </c>
      <c r="S276" s="41"/>
      <c r="T276" s="41"/>
      <c r="U276" s="41"/>
      <c r="V276" s="41"/>
      <c r="W276" s="41"/>
      <c r="X276" s="41"/>
      <c r="Y276" s="33">
        <f t="shared" si="19"/>
        <v>0</v>
      </c>
    </row>
    <row r="277" spans="4:25" x14ac:dyDescent="0.25">
      <c r="D277" s="69"/>
      <c r="E277" s="34"/>
      <c r="F277" s="34"/>
      <c r="H277" s="35"/>
      <c r="I277" s="36"/>
      <c r="J277" s="37"/>
      <c r="K277" s="38"/>
      <c r="L277" s="29"/>
      <c r="M277" s="29"/>
      <c r="N277" s="29"/>
      <c r="O277" s="39"/>
      <c r="P277" s="40">
        <f t="shared" si="16"/>
        <v>0</v>
      </c>
      <c r="Q277" s="40">
        <f t="shared" si="17"/>
        <v>0</v>
      </c>
      <c r="R277" s="40">
        <f t="shared" si="18"/>
        <v>0</v>
      </c>
      <c r="S277" s="41"/>
      <c r="T277" s="41"/>
      <c r="U277" s="41"/>
      <c r="V277" s="41"/>
      <c r="W277" s="41"/>
      <c r="X277" s="41"/>
      <c r="Y277" s="33">
        <f t="shared" si="19"/>
        <v>0</v>
      </c>
    </row>
    <row r="278" spans="4:25" x14ac:dyDescent="0.25">
      <c r="D278" s="69"/>
      <c r="E278" s="34"/>
      <c r="F278" s="34"/>
      <c r="H278" s="35"/>
      <c r="I278" s="36"/>
      <c r="J278" s="37"/>
      <c r="K278" s="38"/>
      <c r="L278" s="29"/>
      <c r="M278" s="29"/>
      <c r="N278" s="29"/>
      <c r="O278" s="39"/>
      <c r="P278" s="40">
        <f t="shared" si="16"/>
        <v>0</v>
      </c>
      <c r="Q278" s="40">
        <f t="shared" si="17"/>
        <v>0</v>
      </c>
      <c r="R278" s="40">
        <f t="shared" si="18"/>
        <v>0</v>
      </c>
      <c r="S278" s="41"/>
      <c r="T278" s="41"/>
      <c r="U278" s="41"/>
      <c r="V278" s="41"/>
      <c r="W278" s="41"/>
      <c r="X278" s="41"/>
      <c r="Y278" s="33">
        <f t="shared" si="19"/>
        <v>0</v>
      </c>
    </row>
    <row r="279" spans="4:25" x14ac:dyDescent="0.25">
      <c r="D279" s="69"/>
      <c r="E279" s="34"/>
      <c r="F279" s="34"/>
      <c r="H279" s="35"/>
      <c r="I279" s="36"/>
      <c r="J279" s="37"/>
      <c r="K279" s="38"/>
      <c r="L279" s="29"/>
      <c r="M279" s="29"/>
      <c r="N279" s="29"/>
      <c r="O279" s="39"/>
      <c r="P279" s="40">
        <f t="shared" si="16"/>
        <v>0</v>
      </c>
      <c r="Q279" s="40">
        <f t="shared" si="17"/>
        <v>0</v>
      </c>
      <c r="R279" s="40">
        <f t="shared" si="18"/>
        <v>0</v>
      </c>
      <c r="S279" s="41"/>
      <c r="T279" s="41"/>
      <c r="U279" s="41"/>
      <c r="V279" s="41"/>
      <c r="W279" s="41"/>
      <c r="X279" s="41"/>
      <c r="Y279" s="33">
        <f t="shared" si="19"/>
        <v>0</v>
      </c>
    </row>
    <row r="280" spans="4:25" x14ac:dyDescent="0.25">
      <c r="D280" s="69"/>
      <c r="E280" s="34"/>
      <c r="F280" s="34"/>
      <c r="H280" s="35"/>
      <c r="I280" s="36"/>
      <c r="J280" s="37"/>
      <c r="K280" s="38"/>
      <c r="L280" s="29"/>
      <c r="M280" s="29"/>
      <c r="N280" s="29"/>
      <c r="O280" s="39"/>
      <c r="P280" s="40">
        <f t="shared" si="16"/>
        <v>0</v>
      </c>
      <c r="Q280" s="40">
        <f t="shared" si="17"/>
        <v>0</v>
      </c>
      <c r="R280" s="40">
        <f t="shared" si="18"/>
        <v>0</v>
      </c>
      <c r="S280" s="41"/>
      <c r="T280" s="41"/>
      <c r="U280" s="41"/>
      <c r="V280" s="41"/>
      <c r="W280" s="41"/>
      <c r="X280" s="41"/>
      <c r="Y280" s="33">
        <f t="shared" si="19"/>
        <v>0</v>
      </c>
    </row>
    <row r="281" spans="4:25" x14ac:dyDescent="0.25">
      <c r="D281" s="69"/>
      <c r="E281" s="34"/>
      <c r="F281" s="34"/>
      <c r="H281" s="35"/>
      <c r="I281" s="36"/>
      <c r="J281" s="37"/>
      <c r="K281" s="38"/>
      <c r="L281" s="29"/>
      <c r="M281" s="29"/>
      <c r="N281" s="29"/>
      <c r="O281" s="39"/>
      <c r="P281" s="40">
        <f t="shared" si="16"/>
        <v>0</v>
      </c>
      <c r="Q281" s="40">
        <f t="shared" si="17"/>
        <v>0</v>
      </c>
      <c r="R281" s="40">
        <f t="shared" si="18"/>
        <v>0</v>
      </c>
      <c r="S281" s="41"/>
      <c r="T281" s="41"/>
      <c r="U281" s="41"/>
      <c r="V281" s="41"/>
      <c r="W281" s="41"/>
      <c r="X281" s="41"/>
      <c r="Y281" s="33">
        <f t="shared" si="19"/>
        <v>0</v>
      </c>
    </row>
    <row r="282" spans="4:25" x14ac:dyDescent="0.25">
      <c r="D282" s="69"/>
      <c r="E282" s="34"/>
      <c r="F282" s="34"/>
      <c r="H282" s="35"/>
      <c r="I282" s="36"/>
      <c r="J282" s="37"/>
      <c r="K282" s="38"/>
      <c r="L282" s="29"/>
      <c r="M282" s="29"/>
      <c r="N282" s="29"/>
      <c r="O282" s="39"/>
      <c r="P282" s="40">
        <f t="shared" si="16"/>
        <v>0</v>
      </c>
      <c r="Q282" s="40">
        <f t="shared" si="17"/>
        <v>0</v>
      </c>
      <c r="R282" s="40">
        <f t="shared" si="18"/>
        <v>0</v>
      </c>
      <c r="S282" s="41"/>
      <c r="T282" s="41"/>
      <c r="U282" s="41"/>
      <c r="V282" s="41"/>
      <c r="W282" s="41"/>
      <c r="X282" s="41"/>
      <c r="Y282" s="33">
        <f t="shared" si="19"/>
        <v>0</v>
      </c>
    </row>
    <row r="283" spans="4:25" x14ac:dyDescent="0.25">
      <c r="D283" s="69"/>
      <c r="E283" s="34"/>
      <c r="F283" s="34"/>
      <c r="H283" s="35"/>
      <c r="I283" s="36"/>
      <c r="J283" s="37"/>
      <c r="K283" s="38"/>
      <c r="L283" s="29"/>
      <c r="M283" s="29"/>
      <c r="N283" s="29"/>
      <c r="O283" s="39"/>
      <c r="P283" s="40">
        <f t="shared" si="16"/>
        <v>0</v>
      </c>
      <c r="Q283" s="40">
        <f t="shared" si="17"/>
        <v>0</v>
      </c>
      <c r="R283" s="40">
        <f t="shared" si="18"/>
        <v>0</v>
      </c>
      <c r="S283" s="41"/>
      <c r="T283" s="41"/>
      <c r="U283" s="41"/>
      <c r="V283" s="41"/>
      <c r="W283" s="41"/>
      <c r="X283" s="41"/>
      <c r="Y283" s="33">
        <f t="shared" si="19"/>
        <v>0</v>
      </c>
    </row>
    <row r="284" spans="4:25" x14ac:dyDescent="0.25">
      <c r="D284" s="69"/>
      <c r="E284" s="34"/>
      <c r="F284" s="34"/>
      <c r="H284" s="35"/>
      <c r="I284" s="36"/>
      <c r="J284" s="37"/>
      <c r="K284" s="38"/>
      <c r="L284" s="29"/>
      <c r="M284" s="29"/>
      <c r="N284" s="29"/>
      <c r="O284" s="39"/>
      <c r="P284" s="40">
        <f t="shared" si="16"/>
        <v>0</v>
      </c>
      <c r="Q284" s="40">
        <f t="shared" si="17"/>
        <v>0</v>
      </c>
      <c r="R284" s="40">
        <f t="shared" si="18"/>
        <v>0</v>
      </c>
      <c r="S284" s="41"/>
      <c r="T284" s="41"/>
      <c r="U284" s="41"/>
      <c r="V284" s="41"/>
      <c r="W284" s="41"/>
      <c r="X284" s="41"/>
      <c r="Y284" s="33">
        <f t="shared" si="19"/>
        <v>0</v>
      </c>
    </row>
    <row r="285" spans="4:25" x14ac:dyDescent="0.25">
      <c r="D285" s="69"/>
      <c r="E285" s="34"/>
      <c r="F285" s="34"/>
      <c r="H285" s="35"/>
      <c r="I285" s="36"/>
      <c r="J285" s="37"/>
      <c r="K285" s="38"/>
      <c r="L285" s="29"/>
      <c r="M285" s="29"/>
      <c r="N285" s="29"/>
      <c r="O285" s="39"/>
      <c r="P285" s="40">
        <f t="shared" si="16"/>
        <v>0</v>
      </c>
      <c r="Q285" s="40">
        <f t="shared" si="17"/>
        <v>0</v>
      </c>
      <c r="R285" s="40">
        <f t="shared" si="18"/>
        <v>0</v>
      </c>
      <c r="S285" s="41"/>
      <c r="T285" s="41"/>
      <c r="U285" s="41"/>
      <c r="V285" s="41"/>
      <c r="W285" s="41"/>
      <c r="X285" s="41"/>
      <c r="Y285" s="33">
        <f t="shared" si="19"/>
        <v>0</v>
      </c>
    </row>
    <row r="286" spans="4:25" x14ac:dyDescent="0.25">
      <c r="D286" s="69"/>
      <c r="E286" s="34"/>
      <c r="F286" s="34"/>
      <c r="H286" s="35"/>
      <c r="I286" s="36"/>
      <c r="J286" s="37"/>
      <c r="K286" s="38"/>
      <c r="L286" s="29"/>
      <c r="M286" s="29"/>
      <c r="N286" s="29"/>
      <c r="O286" s="39"/>
      <c r="P286" s="40">
        <f t="shared" si="16"/>
        <v>0</v>
      </c>
      <c r="Q286" s="40">
        <f t="shared" si="17"/>
        <v>0</v>
      </c>
      <c r="R286" s="40">
        <f t="shared" si="18"/>
        <v>0</v>
      </c>
      <c r="S286" s="41"/>
      <c r="T286" s="41"/>
      <c r="U286" s="41"/>
      <c r="V286" s="41"/>
      <c r="W286" s="41"/>
      <c r="X286" s="41"/>
      <c r="Y286" s="33">
        <f t="shared" si="19"/>
        <v>0</v>
      </c>
    </row>
    <row r="287" spans="4:25" x14ac:dyDescent="0.25">
      <c r="D287" s="69"/>
      <c r="E287" s="34"/>
      <c r="F287" s="34"/>
      <c r="H287" s="35"/>
      <c r="I287" s="36"/>
      <c r="J287" s="37"/>
      <c r="K287" s="38"/>
      <c r="L287" s="29"/>
      <c r="M287" s="29"/>
      <c r="N287" s="29"/>
      <c r="O287" s="39"/>
      <c r="P287" s="40">
        <f t="shared" si="16"/>
        <v>0</v>
      </c>
      <c r="Q287" s="40">
        <f t="shared" si="17"/>
        <v>0</v>
      </c>
      <c r="R287" s="40">
        <f t="shared" si="18"/>
        <v>0</v>
      </c>
      <c r="S287" s="41"/>
      <c r="T287" s="41"/>
      <c r="U287" s="41"/>
      <c r="V287" s="41"/>
      <c r="W287" s="41"/>
      <c r="X287" s="41"/>
      <c r="Y287" s="33">
        <f t="shared" si="19"/>
        <v>0</v>
      </c>
    </row>
    <row r="288" spans="4:25" x14ac:dyDescent="0.25">
      <c r="D288" s="69"/>
      <c r="E288" s="34"/>
      <c r="F288" s="34"/>
      <c r="H288" s="35"/>
      <c r="I288" s="36"/>
      <c r="J288" s="37"/>
      <c r="K288" s="38"/>
      <c r="L288" s="29"/>
      <c r="M288" s="29"/>
      <c r="N288" s="29"/>
      <c r="O288" s="39"/>
      <c r="P288" s="40">
        <f t="shared" si="16"/>
        <v>0</v>
      </c>
      <c r="Q288" s="40">
        <f t="shared" si="17"/>
        <v>0</v>
      </c>
      <c r="R288" s="40">
        <f t="shared" si="18"/>
        <v>0</v>
      </c>
      <c r="S288" s="41"/>
      <c r="T288" s="41"/>
      <c r="U288" s="41"/>
      <c r="V288" s="41"/>
      <c r="W288" s="41"/>
      <c r="X288" s="41"/>
      <c r="Y288" s="33">
        <f t="shared" si="19"/>
        <v>0</v>
      </c>
    </row>
    <row r="289" spans="4:25" x14ac:dyDescent="0.25">
      <c r="D289" s="69"/>
      <c r="E289" s="34"/>
      <c r="F289" s="34"/>
      <c r="H289" s="35"/>
      <c r="I289" s="36"/>
      <c r="J289" s="37"/>
      <c r="K289" s="38"/>
      <c r="L289" s="29"/>
      <c r="M289" s="29"/>
      <c r="N289" s="29"/>
      <c r="O289" s="39"/>
      <c r="P289" s="40">
        <f t="shared" si="16"/>
        <v>0</v>
      </c>
      <c r="Q289" s="40">
        <f t="shared" si="17"/>
        <v>0</v>
      </c>
      <c r="R289" s="40">
        <f t="shared" si="18"/>
        <v>0</v>
      </c>
      <c r="S289" s="41"/>
      <c r="T289" s="41"/>
      <c r="U289" s="41"/>
      <c r="V289" s="41"/>
      <c r="W289" s="41"/>
      <c r="X289" s="41"/>
      <c r="Y289" s="33">
        <f t="shared" si="19"/>
        <v>0</v>
      </c>
    </row>
    <row r="290" spans="4:25" x14ac:dyDescent="0.25">
      <c r="D290" s="69"/>
      <c r="E290" s="34"/>
      <c r="F290" s="34"/>
      <c r="H290" s="35"/>
      <c r="I290" s="36"/>
      <c r="J290" s="37"/>
      <c r="K290" s="38"/>
      <c r="L290" s="29"/>
      <c r="M290" s="29"/>
      <c r="N290" s="29"/>
      <c r="O290" s="39"/>
      <c r="P290" s="40">
        <f t="shared" si="16"/>
        <v>0</v>
      </c>
      <c r="Q290" s="40">
        <f t="shared" si="17"/>
        <v>0</v>
      </c>
      <c r="R290" s="40">
        <f t="shared" si="18"/>
        <v>0</v>
      </c>
      <c r="S290" s="41"/>
      <c r="T290" s="41"/>
      <c r="U290" s="41"/>
      <c r="V290" s="41"/>
      <c r="W290" s="41"/>
      <c r="X290" s="41"/>
      <c r="Y290" s="33">
        <f t="shared" si="19"/>
        <v>0</v>
      </c>
    </row>
    <row r="291" spans="4:25" x14ac:dyDescent="0.25">
      <c r="D291" s="69"/>
      <c r="E291" s="34"/>
      <c r="F291" s="34"/>
      <c r="H291" s="35"/>
      <c r="I291" s="36"/>
      <c r="J291" s="37"/>
      <c r="K291" s="38"/>
      <c r="L291" s="29"/>
      <c r="M291" s="29"/>
      <c r="N291" s="29"/>
      <c r="O291" s="39"/>
      <c r="P291" s="40">
        <f t="shared" si="16"/>
        <v>0</v>
      </c>
      <c r="Q291" s="40">
        <f t="shared" si="17"/>
        <v>0</v>
      </c>
      <c r="R291" s="40">
        <f t="shared" si="18"/>
        <v>0</v>
      </c>
      <c r="S291" s="41"/>
      <c r="T291" s="41"/>
      <c r="U291" s="41"/>
      <c r="V291" s="41"/>
      <c r="W291" s="41"/>
      <c r="X291" s="41"/>
      <c r="Y291" s="33">
        <f t="shared" si="19"/>
        <v>0</v>
      </c>
    </row>
    <row r="292" spans="4:25" x14ac:dyDescent="0.25">
      <c r="D292" s="69"/>
      <c r="E292" s="34"/>
      <c r="F292" s="34"/>
      <c r="H292" s="35"/>
      <c r="I292" s="36"/>
      <c r="J292" s="37"/>
      <c r="K292" s="38"/>
      <c r="L292" s="29"/>
      <c r="M292" s="29"/>
      <c r="N292" s="29"/>
      <c r="O292" s="39"/>
      <c r="P292" s="40">
        <f t="shared" si="16"/>
        <v>0</v>
      </c>
      <c r="Q292" s="40">
        <f t="shared" si="17"/>
        <v>0</v>
      </c>
      <c r="R292" s="40">
        <f t="shared" si="18"/>
        <v>0</v>
      </c>
      <c r="S292" s="41"/>
      <c r="T292" s="41"/>
      <c r="U292" s="41"/>
      <c r="V292" s="41"/>
      <c r="W292" s="41"/>
      <c r="X292" s="41"/>
      <c r="Y292" s="33">
        <f t="shared" si="19"/>
        <v>0</v>
      </c>
    </row>
    <row r="293" spans="4:25" x14ac:dyDescent="0.25">
      <c r="D293" s="69"/>
      <c r="E293" s="34"/>
      <c r="F293" s="34"/>
      <c r="H293" s="35"/>
      <c r="I293" s="36"/>
      <c r="J293" s="37"/>
      <c r="K293" s="38"/>
      <c r="L293" s="29"/>
      <c r="M293" s="29"/>
      <c r="N293" s="29"/>
      <c r="O293" s="39"/>
      <c r="P293" s="40">
        <f t="shared" si="16"/>
        <v>0</v>
      </c>
      <c r="Q293" s="40">
        <f t="shared" si="17"/>
        <v>0</v>
      </c>
      <c r="R293" s="40">
        <f t="shared" si="18"/>
        <v>0</v>
      </c>
      <c r="S293" s="41"/>
      <c r="T293" s="41"/>
      <c r="U293" s="41"/>
      <c r="V293" s="41"/>
      <c r="W293" s="41"/>
      <c r="X293" s="41"/>
      <c r="Y293" s="33">
        <f t="shared" si="19"/>
        <v>0</v>
      </c>
    </row>
    <row r="294" spans="4:25" x14ac:dyDescent="0.25">
      <c r="D294" s="69"/>
      <c r="E294" s="34"/>
      <c r="F294" s="34"/>
      <c r="H294" s="35"/>
      <c r="I294" s="36"/>
      <c r="J294" s="37"/>
      <c r="K294" s="38"/>
      <c r="L294" s="29"/>
      <c r="M294" s="29"/>
      <c r="N294" s="29"/>
      <c r="O294" s="39"/>
      <c r="P294" s="40">
        <f t="shared" si="16"/>
        <v>0</v>
      </c>
      <c r="Q294" s="40">
        <f t="shared" si="17"/>
        <v>0</v>
      </c>
      <c r="R294" s="40">
        <f t="shared" si="18"/>
        <v>0</v>
      </c>
      <c r="S294" s="41"/>
      <c r="T294" s="41"/>
      <c r="U294" s="41"/>
      <c r="V294" s="41"/>
      <c r="W294" s="41"/>
      <c r="X294" s="41"/>
      <c r="Y294" s="33">
        <f t="shared" si="19"/>
        <v>0</v>
      </c>
    </row>
    <row r="295" spans="4:25" x14ac:dyDescent="0.25">
      <c r="D295" s="69"/>
      <c r="E295" s="34"/>
      <c r="F295" s="34"/>
      <c r="H295" s="35"/>
      <c r="I295" s="36"/>
      <c r="J295" s="37"/>
      <c r="K295" s="38"/>
      <c r="L295" s="29"/>
      <c r="M295" s="29"/>
      <c r="N295" s="29"/>
      <c r="O295" s="39"/>
      <c r="P295" s="40">
        <f t="shared" si="16"/>
        <v>0</v>
      </c>
      <c r="Q295" s="40">
        <f t="shared" si="17"/>
        <v>0</v>
      </c>
      <c r="R295" s="40">
        <f t="shared" si="18"/>
        <v>0</v>
      </c>
      <c r="S295" s="41"/>
      <c r="T295" s="41"/>
      <c r="U295" s="41"/>
      <c r="V295" s="41"/>
      <c r="W295" s="41"/>
      <c r="X295" s="41"/>
      <c r="Y295" s="33">
        <f t="shared" si="19"/>
        <v>0</v>
      </c>
    </row>
    <row r="296" spans="4:25" x14ac:dyDescent="0.25">
      <c r="D296" s="69"/>
      <c r="E296" s="34"/>
      <c r="F296" s="34"/>
      <c r="H296" s="35"/>
      <c r="I296" s="36"/>
      <c r="J296" s="37"/>
      <c r="K296" s="38"/>
      <c r="L296" s="29"/>
      <c r="M296" s="29"/>
      <c r="N296" s="29"/>
      <c r="O296" s="39"/>
      <c r="P296" s="40">
        <f t="shared" si="16"/>
        <v>0</v>
      </c>
      <c r="Q296" s="40">
        <f t="shared" si="17"/>
        <v>0</v>
      </c>
      <c r="R296" s="40">
        <f t="shared" si="18"/>
        <v>0</v>
      </c>
      <c r="S296" s="41"/>
      <c r="T296" s="41"/>
      <c r="U296" s="41"/>
      <c r="V296" s="41"/>
      <c r="W296" s="41"/>
      <c r="X296" s="41"/>
      <c r="Y296" s="33">
        <f t="shared" si="19"/>
        <v>0</v>
      </c>
    </row>
    <row r="297" spans="4:25" x14ac:dyDescent="0.25">
      <c r="D297" s="69"/>
      <c r="E297" s="34"/>
      <c r="F297" s="34"/>
      <c r="H297" s="35"/>
      <c r="I297" s="36"/>
      <c r="J297" s="37"/>
      <c r="K297" s="38"/>
      <c r="L297" s="29"/>
      <c r="M297" s="29"/>
      <c r="N297" s="29"/>
      <c r="O297" s="39"/>
      <c r="P297" s="40">
        <f t="shared" si="16"/>
        <v>0</v>
      </c>
      <c r="Q297" s="40">
        <f t="shared" si="17"/>
        <v>0</v>
      </c>
      <c r="R297" s="40">
        <f t="shared" si="18"/>
        <v>0</v>
      </c>
      <c r="S297" s="41"/>
      <c r="T297" s="41"/>
      <c r="U297" s="41"/>
      <c r="V297" s="41"/>
      <c r="W297" s="41"/>
      <c r="X297" s="41"/>
      <c r="Y297" s="33">
        <f t="shared" si="19"/>
        <v>0</v>
      </c>
    </row>
    <row r="298" spans="4:25" x14ac:dyDescent="0.25">
      <c r="D298" s="69"/>
      <c r="E298" s="34"/>
      <c r="F298" s="34"/>
      <c r="H298" s="35"/>
      <c r="I298" s="36"/>
      <c r="J298" s="37"/>
      <c r="K298" s="38"/>
      <c r="L298" s="29"/>
      <c r="M298" s="29"/>
      <c r="N298" s="29"/>
      <c r="O298" s="39"/>
      <c r="P298" s="40">
        <f t="shared" si="16"/>
        <v>0</v>
      </c>
      <c r="Q298" s="40">
        <f t="shared" si="17"/>
        <v>0</v>
      </c>
      <c r="R298" s="40">
        <f t="shared" si="18"/>
        <v>0</v>
      </c>
      <c r="S298" s="41"/>
      <c r="T298" s="41"/>
      <c r="U298" s="41"/>
      <c r="V298" s="41"/>
      <c r="W298" s="41"/>
      <c r="X298" s="41"/>
      <c r="Y298" s="33">
        <f t="shared" si="19"/>
        <v>0</v>
      </c>
    </row>
    <row r="299" spans="4:25" x14ac:dyDescent="0.25">
      <c r="D299" s="69"/>
      <c r="E299" s="34"/>
      <c r="F299" s="34"/>
      <c r="H299" s="35"/>
      <c r="I299" s="36"/>
      <c r="J299" s="37"/>
      <c r="K299" s="38"/>
      <c r="L299" s="29"/>
      <c r="M299" s="29"/>
      <c r="N299" s="29"/>
      <c r="O299" s="39"/>
      <c r="P299" s="40">
        <f t="shared" si="16"/>
        <v>0</v>
      </c>
      <c r="Q299" s="40">
        <f t="shared" si="17"/>
        <v>0</v>
      </c>
      <c r="R299" s="40">
        <f t="shared" si="18"/>
        <v>0</v>
      </c>
      <c r="S299" s="41"/>
      <c r="T299" s="41"/>
      <c r="U299" s="41"/>
      <c r="V299" s="41"/>
      <c r="W299" s="41"/>
      <c r="X299" s="41"/>
      <c r="Y299" s="33">
        <f t="shared" si="19"/>
        <v>0</v>
      </c>
    </row>
    <row r="300" spans="4:25" x14ac:dyDescent="0.25">
      <c r="D300" s="69"/>
      <c r="E300" s="34"/>
      <c r="F300" s="34"/>
      <c r="H300" s="35"/>
      <c r="I300" s="36"/>
      <c r="J300" s="37"/>
      <c r="K300" s="38"/>
      <c r="L300" s="29"/>
      <c r="M300" s="29"/>
      <c r="N300" s="29"/>
      <c r="O300" s="39"/>
      <c r="P300" s="40">
        <f t="shared" si="16"/>
        <v>0</v>
      </c>
      <c r="Q300" s="40">
        <f t="shared" si="17"/>
        <v>0</v>
      </c>
      <c r="R300" s="40">
        <f t="shared" si="18"/>
        <v>0</v>
      </c>
      <c r="S300" s="41"/>
      <c r="T300" s="41"/>
      <c r="U300" s="41"/>
      <c r="V300" s="41"/>
      <c r="W300" s="41"/>
      <c r="X300" s="41"/>
      <c r="Y300" s="33">
        <f t="shared" si="19"/>
        <v>0</v>
      </c>
    </row>
    <row r="301" spans="4:25" x14ac:dyDescent="0.25">
      <c r="D301" s="69"/>
      <c r="E301" s="34"/>
      <c r="F301" s="34"/>
      <c r="H301" s="35"/>
      <c r="I301" s="36"/>
      <c r="J301" s="37"/>
      <c r="K301" s="38"/>
      <c r="L301" s="29"/>
      <c r="M301" s="29"/>
      <c r="N301" s="29"/>
      <c r="O301" s="39"/>
      <c r="P301" s="40">
        <f t="shared" si="16"/>
        <v>0</v>
      </c>
      <c r="Q301" s="40">
        <f t="shared" si="17"/>
        <v>0</v>
      </c>
      <c r="R301" s="40">
        <f t="shared" si="18"/>
        <v>0</v>
      </c>
      <c r="S301" s="41"/>
      <c r="T301" s="41"/>
      <c r="U301" s="41"/>
      <c r="V301" s="41"/>
      <c r="W301" s="41"/>
      <c r="X301" s="41"/>
      <c r="Y301" s="33">
        <f t="shared" si="19"/>
        <v>0</v>
      </c>
    </row>
    <row r="302" spans="4:25" x14ac:dyDescent="0.25">
      <c r="D302" s="69"/>
      <c r="E302" s="34"/>
      <c r="F302" s="34"/>
      <c r="H302" s="35"/>
      <c r="I302" s="36"/>
      <c r="J302" s="37"/>
      <c r="K302" s="38"/>
      <c r="L302" s="29"/>
      <c r="M302" s="29"/>
      <c r="N302" s="29"/>
      <c r="O302" s="39"/>
      <c r="P302" s="40">
        <f t="shared" si="16"/>
        <v>0</v>
      </c>
      <c r="Q302" s="40">
        <f t="shared" si="17"/>
        <v>0</v>
      </c>
      <c r="R302" s="40">
        <f t="shared" si="18"/>
        <v>0</v>
      </c>
      <c r="S302" s="41"/>
      <c r="T302" s="41"/>
      <c r="U302" s="41"/>
      <c r="V302" s="41"/>
      <c r="W302" s="41"/>
      <c r="X302" s="41"/>
      <c r="Y302" s="33">
        <f t="shared" si="19"/>
        <v>0</v>
      </c>
    </row>
    <row r="303" spans="4:25" ht="15.6" x14ac:dyDescent="0.3">
      <c r="D303" s="65"/>
      <c r="E303" s="34"/>
      <c r="F303" s="34"/>
      <c r="H303" s="35"/>
      <c r="I303" s="36"/>
      <c r="J303" s="37"/>
      <c r="K303" s="38"/>
      <c r="L303" s="29"/>
      <c r="M303" s="29"/>
      <c r="N303" s="29"/>
      <c r="O303" s="39"/>
      <c r="P303" s="40"/>
      <c r="Q303" s="40"/>
      <c r="R303" s="40"/>
      <c r="S303" s="41"/>
      <c r="T303" s="41"/>
      <c r="U303" s="41"/>
      <c r="V303" s="41"/>
      <c r="W303" s="41"/>
      <c r="X303" s="41"/>
      <c r="Y303" s="33"/>
    </row>
    <row r="304" spans="4:25" x14ac:dyDescent="0.25">
      <c r="E304" s="34"/>
      <c r="F304" s="34"/>
      <c r="H304" s="35"/>
      <c r="I304" s="36"/>
      <c r="J304" s="37"/>
      <c r="K304" s="38"/>
      <c r="L304" s="29"/>
      <c r="M304" s="29"/>
      <c r="N304" s="29"/>
      <c r="O304" s="39"/>
      <c r="P304" s="40"/>
      <c r="Q304" s="40"/>
      <c r="R304" s="40"/>
      <c r="S304" s="41"/>
      <c r="T304" s="41"/>
      <c r="U304" s="41"/>
      <c r="V304" s="41"/>
      <c r="W304" s="41"/>
      <c r="X304" s="40"/>
      <c r="Y304" s="33"/>
    </row>
    <row r="305" spans="8:25" ht="15.6" x14ac:dyDescent="0.3">
      <c r="H305" s="35"/>
      <c r="I305" s="36"/>
      <c r="J305" s="37"/>
      <c r="K305" s="42" t="s">
        <v>97</v>
      </c>
      <c r="L305" s="59">
        <f>SUM(L3:L302)</f>
        <v>0</v>
      </c>
      <c r="M305" s="59">
        <f t="shared" ref="M305:Y305" si="20">SUM(M3:M302)</f>
        <v>0</v>
      </c>
      <c r="N305" s="59">
        <f t="shared" si="20"/>
        <v>0</v>
      </c>
      <c r="O305" s="43"/>
      <c r="P305" s="59">
        <f t="shared" si="20"/>
        <v>0</v>
      </c>
      <c r="Q305" s="59">
        <f t="shared" si="20"/>
        <v>0</v>
      </c>
      <c r="R305" s="59">
        <f t="shared" si="20"/>
        <v>0</v>
      </c>
      <c r="S305" s="59">
        <f t="shared" si="20"/>
        <v>0</v>
      </c>
      <c r="T305" s="59">
        <f t="shared" si="20"/>
        <v>0</v>
      </c>
      <c r="U305" s="59">
        <f t="shared" si="20"/>
        <v>0</v>
      </c>
      <c r="V305" s="59">
        <f t="shared" si="20"/>
        <v>0</v>
      </c>
      <c r="W305" s="59">
        <f t="shared" si="20"/>
        <v>0</v>
      </c>
      <c r="X305" s="59">
        <f t="shared" si="20"/>
        <v>0</v>
      </c>
      <c r="Y305" s="59">
        <f t="shared" si="20"/>
        <v>0</v>
      </c>
    </row>
  </sheetData>
  <mergeCells count="1">
    <mergeCell ref="S1:X1"/>
  </mergeCells>
  <phoneticPr fontId="10" type="noConversion"/>
  <pageMargins left="0.7" right="0.7" top="0.75" bottom="0.75" header="0.3" footer="0.3"/>
  <pageSetup scale="37" fitToHeight="0" orientation="landscape" r:id="rId1"/>
  <headerFooter>
    <oddHeader>&amp;L&amp;G&amp;C&amp;"Arial,Bold"&amp;12Base and Test Support Services (BTSS)
Solicitation No. W91151-19-R-0003&amp;R&amp;"Arial,Bold"&amp;12Volume IV - Factor 3 - Cost
&amp;A</oddHeader>
    <oddFooter>&amp;C&amp;"Arial,Italic"&amp;12Use or disclosure of data contained on this sheet is subject
 to the restriction on the cover page of this proposal.</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6AE27-A68E-41E9-A64C-55DFF6CC69DA}">
  <sheetPr>
    <tabColor rgb="FF0070C0"/>
  </sheetPr>
  <dimension ref="A1:Y306"/>
  <sheetViews>
    <sheetView zoomScale="85" zoomScaleNormal="85" workbookViewId="0">
      <pane ySplit="2" topLeftCell="A3" activePane="bottomLeft" state="frozen"/>
      <selection pane="bottomLeft" activeCell="B1" sqref="B1"/>
    </sheetView>
  </sheetViews>
  <sheetFormatPr defaultColWidth="15.44140625" defaultRowHeight="15" x14ac:dyDescent="0.25"/>
  <cols>
    <col min="1" max="1" width="18.44140625" style="27" customWidth="1"/>
    <col min="2" max="2" width="18.109375" style="27" customWidth="1"/>
    <col min="3" max="3" width="15.44140625" style="34"/>
    <col min="4" max="4" width="56" style="27" bestFit="1" customWidth="1"/>
    <col min="5" max="6" width="15.44140625" style="27"/>
    <col min="7" max="7" width="15.44140625" style="28"/>
    <col min="8" max="8" width="15.44140625" style="29"/>
    <col min="9" max="9" width="15.44140625" style="30"/>
    <col min="10" max="10" width="20.44140625" style="31" customWidth="1"/>
    <col min="11" max="11" width="24.109375" style="28" customWidth="1"/>
    <col min="12" max="18" width="15.44140625" style="27"/>
    <col min="19" max="19" width="19.44140625" style="27" customWidth="1"/>
    <col min="20" max="20" width="19.6640625" style="27" customWidth="1"/>
    <col min="21" max="21" width="18.44140625" style="27" customWidth="1"/>
    <col min="22" max="23" width="17.33203125" style="27" customWidth="1"/>
    <col min="24" max="24" width="17.33203125" style="33" customWidth="1"/>
    <col min="25" max="16384" width="15.44140625" style="27"/>
  </cols>
  <sheetData>
    <row r="1" spans="1:25" s="83" customFormat="1" ht="84" customHeight="1" thickBot="1" x14ac:dyDescent="0.35">
      <c r="C1" s="66" t="s">
        <v>105</v>
      </c>
      <c r="D1" s="63" t="s">
        <v>102</v>
      </c>
      <c r="G1" s="84"/>
      <c r="H1" s="85"/>
      <c r="I1" s="86"/>
      <c r="J1" s="64" t="s">
        <v>95</v>
      </c>
      <c r="K1" s="84"/>
      <c r="L1" s="87"/>
      <c r="M1" s="87"/>
      <c r="N1" s="87"/>
      <c r="O1" s="87"/>
      <c r="P1" s="87"/>
      <c r="Q1" s="87"/>
      <c r="R1" s="87"/>
      <c r="S1" s="93" t="s">
        <v>116</v>
      </c>
      <c r="T1" s="94"/>
      <c r="U1" s="94"/>
      <c r="V1" s="94"/>
      <c r="W1" s="94"/>
      <c r="X1" s="95"/>
    </row>
    <row r="2" spans="1:25" s="58" customFormat="1" ht="46.8" x14ac:dyDescent="0.3">
      <c r="A2" s="53" t="s">
        <v>89</v>
      </c>
      <c r="B2" s="62" t="s">
        <v>133</v>
      </c>
      <c r="C2" s="62" t="s">
        <v>61</v>
      </c>
      <c r="D2" s="53" t="s">
        <v>10</v>
      </c>
      <c r="E2" s="53" t="s">
        <v>94</v>
      </c>
      <c r="F2" s="53" t="s">
        <v>62</v>
      </c>
      <c r="G2" s="53" t="s">
        <v>63</v>
      </c>
      <c r="H2" s="57" t="s">
        <v>64</v>
      </c>
      <c r="I2" s="57" t="s">
        <v>65</v>
      </c>
      <c r="J2" s="60" t="s">
        <v>88</v>
      </c>
      <c r="K2" s="53" t="s">
        <v>93</v>
      </c>
      <c r="L2" s="53" t="s">
        <v>66</v>
      </c>
      <c r="M2" s="53" t="s">
        <v>67</v>
      </c>
      <c r="N2" s="53" t="s">
        <v>1</v>
      </c>
      <c r="O2" s="53" t="s">
        <v>7</v>
      </c>
      <c r="P2" s="53" t="s">
        <v>68</v>
      </c>
      <c r="Q2" s="53" t="s">
        <v>69</v>
      </c>
      <c r="R2" s="53" t="s">
        <v>70</v>
      </c>
      <c r="S2" s="55" t="s">
        <v>90</v>
      </c>
      <c r="T2" s="55" t="s">
        <v>91</v>
      </c>
      <c r="U2" s="55" t="s">
        <v>92</v>
      </c>
      <c r="V2" s="55" t="s">
        <v>119</v>
      </c>
      <c r="W2" s="55" t="s">
        <v>118</v>
      </c>
      <c r="X2" s="56" t="s">
        <v>101</v>
      </c>
      <c r="Y2" s="53" t="s">
        <v>71</v>
      </c>
    </row>
    <row r="3" spans="1:25" x14ac:dyDescent="0.25">
      <c r="C3" s="34" t="s">
        <v>74</v>
      </c>
      <c r="D3" s="54" t="s">
        <v>23</v>
      </c>
      <c r="E3" s="34"/>
      <c r="F3" s="34"/>
      <c r="H3" s="35"/>
      <c r="I3" s="36"/>
      <c r="J3" s="37"/>
      <c r="K3" s="38"/>
      <c r="L3" s="29"/>
      <c r="M3" s="29"/>
      <c r="N3" s="29"/>
      <c r="O3" s="39"/>
      <c r="P3" s="40">
        <f t="shared" ref="P3:P66" si="0">$L3*$O3</f>
        <v>0</v>
      </c>
      <c r="Q3" s="40">
        <f>IF(E3="NE",(M3*O3*1.5),(M3*O3))</f>
        <v>0</v>
      </c>
      <c r="R3" s="40">
        <f>P3+Q3</f>
        <v>0</v>
      </c>
      <c r="S3" s="41"/>
      <c r="T3" s="41"/>
      <c r="U3" s="41"/>
      <c r="V3" s="41"/>
      <c r="W3" s="41"/>
      <c r="X3" s="41"/>
      <c r="Y3" s="33">
        <f>SUM(R3:X3)</f>
        <v>0</v>
      </c>
    </row>
    <row r="4" spans="1:25" x14ac:dyDescent="0.25">
      <c r="C4" s="34" t="s">
        <v>74</v>
      </c>
      <c r="D4" s="54" t="s">
        <v>24</v>
      </c>
      <c r="E4" s="34"/>
      <c r="F4" s="34"/>
      <c r="H4" s="35"/>
      <c r="I4" s="36"/>
      <c r="J4" s="37"/>
      <c r="K4" s="38"/>
      <c r="L4" s="29"/>
      <c r="M4" s="29"/>
      <c r="N4" s="29"/>
      <c r="O4" s="39"/>
      <c r="P4" s="40">
        <f t="shared" si="0"/>
        <v>0</v>
      </c>
      <c r="Q4" s="40">
        <f t="shared" ref="Q4:Q67" si="1">IF(E4="NE",(M4*O4*1.5),(M4*O4))</f>
        <v>0</v>
      </c>
      <c r="R4" s="40">
        <f t="shared" ref="R4:R67" si="2">P4+Q4</f>
        <v>0</v>
      </c>
      <c r="S4" s="41"/>
      <c r="T4" s="41"/>
      <c r="U4" s="41"/>
      <c r="V4" s="41"/>
      <c r="W4" s="41"/>
      <c r="X4" s="41"/>
      <c r="Y4" s="33">
        <f t="shared" ref="Y4:Y67" si="3">SUM(R4:X4)</f>
        <v>0</v>
      </c>
    </row>
    <row r="5" spans="1:25" x14ac:dyDescent="0.25">
      <c r="C5" s="34" t="s">
        <v>74</v>
      </c>
      <c r="D5" s="54" t="s">
        <v>25</v>
      </c>
      <c r="E5" s="34"/>
      <c r="F5" s="34"/>
      <c r="H5" s="35"/>
      <c r="I5" s="36"/>
      <c r="J5" s="37"/>
      <c r="K5" s="38"/>
      <c r="L5" s="29"/>
      <c r="M5" s="29"/>
      <c r="N5" s="29"/>
      <c r="O5" s="39"/>
      <c r="P5" s="40">
        <f t="shared" si="0"/>
        <v>0</v>
      </c>
      <c r="Q5" s="40">
        <f t="shared" si="1"/>
        <v>0</v>
      </c>
      <c r="R5" s="40">
        <f t="shared" si="2"/>
        <v>0</v>
      </c>
      <c r="S5" s="41"/>
      <c r="T5" s="41"/>
      <c r="U5" s="41"/>
      <c r="V5" s="41"/>
      <c r="W5" s="41"/>
      <c r="X5" s="41"/>
      <c r="Y5" s="33">
        <f t="shared" si="3"/>
        <v>0</v>
      </c>
    </row>
    <row r="6" spans="1:25" x14ac:dyDescent="0.25">
      <c r="C6" s="34" t="s">
        <v>74</v>
      </c>
      <c r="D6" s="54" t="s">
        <v>26</v>
      </c>
      <c r="E6" s="34"/>
      <c r="F6" s="34"/>
      <c r="H6" s="35"/>
      <c r="I6" s="36"/>
      <c r="J6" s="37"/>
      <c r="K6" s="38"/>
      <c r="L6" s="29"/>
      <c r="M6" s="29"/>
      <c r="N6" s="29"/>
      <c r="O6" s="39"/>
      <c r="P6" s="40">
        <f t="shared" si="0"/>
        <v>0</v>
      </c>
      <c r="Q6" s="40">
        <f t="shared" si="1"/>
        <v>0</v>
      </c>
      <c r="R6" s="40">
        <f t="shared" si="2"/>
        <v>0</v>
      </c>
      <c r="S6" s="41"/>
      <c r="T6" s="41"/>
      <c r="U6" s="41"/>
      <c r="V6" s="41"/>
      <c r="W6" s="41"/>
      <c r="X6" s="41"/>
      <c r="Y6" s="33">
        <f t="shared" si="3"/>
        <v>0</v>
      </c>
    </row>
    <row r="7" spans="1:25" x14ac:dyDescent="0.25">
      <c r="C7" s="34" t="s">
        <v>74</v>
      </c>
      <c r="D7" s="54" t="s">
        <v>27</v>
      </c>
      <c r="E7" s="34"/>
      <c r="F7" s="34"/>
      <c r="H7" s="35"/>
      <c r="I7" s="36"/>
      <c r="J7" s="37"/>
      <c r="K7" s="38"/>
      <c r="L7" s="29"/>
      <c r="M7" s="29"/>
      <c r="N7" s="29"/>
      <c r="O7" s="39"/>
      <c r="P7" s="40">
        <f t="shared" si="0"/>
        <v>0</v>
      </c>
      <c r="Q7" s="40">
        <f t="shared" si="1"/>
        <v>0</v>
      </c>
      <c r="R7" s="40">
        <f t="shared" si="2"/>
        <v>0</v>
      </c>
      <c r="S7" s="41"/>
      <c r="T7" s="41"/>
      <c r="U7" s="41"/>
      <c r="V7" s="41"/>
      <c r="W7" s="41"/>
      <c r="X7" s="41"/>
      <c r="Y7" s="33">
        <f t="shared" si="3"/>
        <v>0</v>
      </c>
    </row>
    <row r="8" spans="1:25" x14ac:dyDescent="0.25">
      <c r="C8" s="34" t="s">
        <v>74</v>
      </c>
      <c r="D8" s="54" t="s">
        <v>28</v>
      </c>
      <c r="E8" s="34"/>
      <c r="F8" s="34"/>
      <c r="H8" s="35"/>
      <c r="I8" s="36"/>
      <c r="J8" s="37"/>
      <c r="K8" s="38"/>
      <c r="L8" s="29"/>
      <c r="M8" s="29"/>
      <c r="N8" s="29"/>
      <c r="O8" s="39"/>
      <c r="P8" s="40">
        <f t="shared" si="0"/>
        <v>0</v>
      </c>
      <c r="Q8" s="40">
        <f t="shared" si="1"/>
        <v>0</v>
      </c>
      <c r="R8" s="40">
        <f t="shared" si="2"/>
        <v>0</v>
      </c>
      <c r="S8" s="41"/>
      <c r="T8" s="41"/>
      <c r="U8" s="41"/>
      <c r="V8" s="41"/>
      <c r="W8" s="41"/>
      <c r="X8" s="41"/>
      <c r="Y8" s="33">
        <f t="shared" si="3"/>
        <v>0</v>
      </c>
    </row>
    <row r="9" spans="1:25" x14ac:dyDescent="0.25">
      <c r="C9" s="34" t="s">
        <v>74</v>
      </c>
      <c r="D9" s="54" t="s">
        <v>29</v>
      </c>
      <c r="E9" s="34"/>
      <c r="F9" s="34"/>
      <c r="H9" s="35"/>
      <c r="I9" s="36"/>
      <c r="J9" s="37"/>
      <c r="K9" s="38"/>
      <c r="L9" s="29"/>
      <c r="M9" s="29"/>
      <c r="N9" s="29"/>
      <c r="O9" s="39"/>
      <c r="P9" s="40">
        <f t="shared" si="0"/>
        <v>0</v>
      </c>
      <c r="Q9" s="40">
        <f t="shared" si="1"/>
        <v>0</v>
      </c>
      <c r="R9" s="40">
        <f t="shared" si="2"/>
        <v>0</v>
      </c>
      <c r="S9" s="41"/>
      <c r="T9" s="41"/>
      <c r="U9" s="41"/>
      <c r="V9" s="41"/>
      <c r="W9" s="41"/>
      <c r="X9" s="41"/>
      <c r="Y9" s="33">
        <f t="shared" si="3"/>
        <v>0</v>
      </c>
    </row>
    <row r="10" spans="1:25" x14ac:dyDescent="0.25">
      <c r="C10" s="34" t="s">
        <v>74</v>
      </c>
      <c r="D10" s="54" t="s">
        <v>17</v>
      </c>
      <c r="E10" s="34"/>
      <c r="F10" s="34"/>
      <c r="H10" s="35"/>
      <c r="I10" s="36"/>
      <c r="J10" s="37"/>
      <c r="K10" s="38"/>
      <c r="L10" s="29"/>
      <c r="M10" s="29"/>
      <c r="N10" s="29"/>
      <c r="O10" s="39"/>
      <c r="P10" s="40">
        <f t="shared" si="0"/>
        <v>0</v>
      </c>
      <c r="Q10" s="40">
        <f t="shared" si="1"/>
        <v>0</v>
      </c>
      <c r="R10" s="40">
        <f t="shared" si="2"/>
        <v>0</v>
      </c>
      <c r="S10" s="41"/>
      <c r="T10" s="41"/>
      <c r="U10" s="41"/>
      <c r="V10" s="41"/>
      <c r="W10" s="41"/>
      <c r="X10" s="41"/>
      <c r="Y10" s="33">
        <f t="shared" si="3"/>
        <v>0</v>
      </c>
    </row>
    <row r="11" spans="1:25" x14ac:dyDescent="0.25">
      <c r="C11" s="34" t="s">
        <v>74</v>
      </c>
      <c r="D11" s="54" t="s">
        <v>30</v>
      </c>
      <c r="E11" s="34"/>
      <c r="F11" s="34"/>
      <c r="H11" s="35"/>
      <c r="I11" s="36"/>
      <c r="J11" s="37"/>
      <c r="K11" s="38"/>
      <c r="L11" s="29"/>
      <c r="M11" s="29"/>
      <c r="N11" s="29"/>
      <c r="O11" s="39"/>
      <c r="P11" s="40">
        <f t="shared" si="0"/>
        <v>0</v>
      </c>
      <c r="Q11" s="40">
        <f t="shared" si="1"/>
        <v>0</v>
      </c>
      <c r="R11" s="40">
        <f t="shared" si="2"/>
        <v>0</v>
      </c>
      <c r="S11" s="41"/>
      <c r="T11" s="41"/>
      <c r="U11" s="41"/>
      <c r="V11" s="41"/>
      <c r="W11" s="41"/>
      <c r="X11" s="41"/>
      <c r="Y11" s="33">
        <f t="shared" si="3"/>
        <v>0</v>
      </c>
    </row>
    <row r="12" spans="1:25" x14ac:dyDescent="0.25">
      <c r="C12" s="34" t="s">
        <v>74</v>
      </c>
      <c r="D12" s="54" t="s">
        <v>31</v>
      </c>
      <c r="E12" s="34"/>
      <c r="F12" s="34"/>
      <c r="H12" s="35"/>
      <c r="I12" s="36"/>
      <c r="J12" s="37"/>
      <c r="K12" s="38"/>
      <c r="L12" s="29"/>
      <c r="M12" s="29"/>
      <c r="N12" s="29"/>
      <c r="O12" s="39"/>
      <c r="P12" s="40">
        <f t="shared" si="0"/>
        <v>0</v>
      </c>
      <c r="Q12" s="40">
        <f t="shared" si="1"/>
        <v>0</v>
      </c>
      <c r="R12" s="40">
        <f t="shared" si="2"/>
        <v>0</v>
      </c>
      <c r="S12" s="41"/>
      <c r="T12" s="41"/>
      <c r="U12" s="41"/>
      <c r="V12" s="41"/>
      <c r="W12" s="41"/>
      <c r="X12" s="41"/>
      <c r="Y12" s="33">
        <f t="shared" si="3"/>
        <v>0</v>
      </c>
    </row>
    <row r="13" spans="1:25" x14ac:dyDescent="0.25">
      <c r="C13" s="34" t="s">
        <v>74</v>
      </c>
      <c r="D13" s="54" t="s">
        <v>32</v>
      </c>
      <c r="E13" s="34"/>
      <c r="F13" s="34"/>
      <c r="H13" s="35"/>
      <c r="I13" s="36"/>
      <c r="J13" s="37"/>
      <c r="K13" s="38"/>
      <c r="L13" s="29"/>
      <c r="M13" s="29"/>
      <c r="N13" s="29"/>
      <c r="O13" s="39"/>
      <c r="P13" s="40">
        <f t="shared" si="0"/>
        <v>0</v>
      </c>
      <c r="Q13" s="40">
        <f t="shared" si="1"/>
        <v>0</v>
      </c>
      <c r="R13" s="40">
        <f t="shared" si="2"/>
        <v>0</v>
      </c>
      <c r="S13" s="41"/>
      <c r="T13" s="41"/>
      <c r="U13" s="41"/>
      <c r="V13" s="41"/>
      <c r="W13" s="41"/>
      <c r="X13" s="41"/>
      <c r="Y13" s="33">
        <f t="shared" si="3"/>
        <v>0</v>
      </c>
    </row>
    <row r="14" spans="1:25" x14ac:dyDescent="0.25">
      <c r="C14" s="34" t="s">
        <v>74</v>
      </c>
      <c r="D14" s="54" t="s">
        <v>33</v>
      </c>
      <c r="E14" s="34"/>
      <c r="F14" s="34"/>
      <c r="H14" s="35"/>
      <c r="I14" s="36"/>
      <c r="J14" s="37"/>
      <c r="K14" s="38"/>
      <c r="L14" s="29"/>
      <c r="M14" s="29"/>
      <c r="N14" s="29"/>
      <c r="O14" s="39"/>
      <c r="P14" s="40">
        <f t="shared" si="0"/>
        <v>0</v>
      </c>
      <c r="Q14" s="40">
        <f t="shared" si="1"/>
        <v>0</v>
      </c>
      <c r="R14" s="40">
        <f t="shared" si="2"/>
        <v>0</v>
      </c>
      <c r="S14" s="41"/>
      <c r="T14" s="41"/>
      <c r="U14" s="41"/>
      <c r="V14" s="41"/>
      <c r="W14" s="41"/>
      <c r="X14" s="41"/>
      <c r="Y14" s="33">
        <f t="shared" si="3"/>
        <v>0</v>
      </c>
    </row>
    <row r="15" spans="1:25" x14ac:dyDescent="0.25">
      <c r="C15" s="34" t="s">
        <v>74</v>
      </c>
      <c r="D15" s="54" t="s">
        <v>34</v>
      </c>
      <c r="E15" s="34"/>
      <c r="F15" s="34"/>
      <c r="H15" s="35"/>
      <c r="I15" s="36"/>
      <c r="J15" s="37"/>
      <c r="K15" s="38"/>
      <c r="L15" s="29"/>
      <c r="M15" s="29"/>
      <c r="N15" s="29"/>
      <c r="O15" s="39"/>
      <c r="P15" s="40">
        <f t="shared" si="0"/>
        <v>0</v>
      </c>
      <c r="Q15" s="40">
        <f t="shared" si="1"/>
        <v>0</v>
      </c>
      <c r="R15" s="40">
        <f t="shared" si="2"/>
        <v>0</v>
      </c>
      <c r="S15" s="41"/>
      <c r="T15" s="41"/>
      <c r="U15" s="41"/>
      <c r="V15" s="41"/>
      <c r="W15" s="41"/>
      <c r="X15" s="41"/>
      <c r="Y15" s="33">
        <f t="shared" si="3"/>
        <v>0</v>
      </c>
    </row>
    <row r="16" spans="1:25" x14ac:dyDescent="0.25">
      <c r="C16" s="34" t="s">
        <v>74</v>
      </c>
      <c r="D16" s="54" t="s">
        <v>35</v>
      </c>
      <c r="E16" s="34"/>
      <c r="F16" s="34"/>
      <c r="H16" s="35"/>
      <c r="I16" s="36"/>
      <c r="J16" s="37"/>
      <c r="K16" s="38"/>
      <c r="L16" s="29"/>
      <c r="M16" s="29"/>
      <c r="N16" s="29"/>
      <c r="O16" s="39"/>
      <c r="P16" s="40">
        <f t="shared" si="0"/>
        <v>0</v>
      </c>
      <c r="Q16" s="40">
        <f t="shared" si="1"/>
        <v>0</v>
      </c>
      <c r="R16" s="40">
        <f t="shared" si="2"/>
        <v>0</v>
      </c>
      <c r="S16" s="41"/>
      <c r="T16" s="41"/>
      <c r="U16" s="41"/>
      <c r="V16" s="41"/>
      <c r="W16" s="41"/>
      <c r="X16" s="41"/>
      <c r="Y16" s="33">
        <f t="shared" si="3"/>
        <v>0</v>
      </c>
    </row>
    <row r="17" spans="3:25" x14ac:dyDescent="0.25">
      <c r="C17" s="34" t="s">
        <v>74</v>
      </c>
      <c r="D17" s="54" t="s">
        <v>36</v>
      </c>
      <c r="E17" s="34"/>
      <c r="F17" s="34"/>
      <c r="H17" s="35"/>
      <c r="I17" s="36"/>
      <c r="J17" s="37"/>
      <c r="K17" s="38"/>
      <c r="L17" s="29"/>
      <c r="M17" s="29"/>
      <c r="N17" s="29"/>
      <c r="O17" s="39"/>
      <c r="P17" s="40">
        <f t="shared" si="0"/>
        <v>0</v>
      </c>
      <c r="Q17" s="40">
        <f t="shared" si="1"/>
        <v>0</v>
      </c>
      <c r="R17" s="40">
        <f t="shared" si="2"/>
        <v>0</v>
      </c>
      <c r="S17" s="41"/>
      <c r="T17" s="41"/>
      <c r="U17" s="41"/>
      <c r="V17" s="41"/>
      <c r="W17" s="41"/>
      <c r="X17" s="41"/>
      <c r="Y17" s="33">
        <f t="shared" si="3"/>
        <v>0</v>
      </c>
    </row>
    <row r="18" spans="3:25" x14ac:dyDescent="0.25">
      <c r="C18" s="34" t="s">
        <v>74</v>
      </c>
      <c r="D18" s="54" t="s">
        <v>37</v>
      </c>
      <c r="E18" s="34"/>
      <c r="F18" s="34"/>
      <c r="H18" s="35"/>
      <c r="I18" s="36"/>
      <c r="J18" s="37"/>
      <c r="K18" s="38"/>
      <c r="L18" s="29"/>
      <c r="M18" s="29"/>
      <c r="N18" s="29"/>
      <c r="O18" s="39"/>
      <c r="P18" s="40">
        <f t="shared" si="0"/>
        <v>0</v>
      </c>
      <c r="Q18" s="40">
        <f t="shared" si="1"/>
        <v>0</v>
      </c>
      <c r="R18" s="40">
        <f t="shared" si="2"/>
        <v>0</v>
      </c>
      <c r="S18" s="41"/>
      <c r="T18" s="41"/>
      <c r="U18" s="41"/>
      <c r="V18" s="41"/>
      <c r="W18" s="41"/>
      <c r="X18" s="41"/>
      <c r="Y18" s="33">
        <f t="shared" si="3"/>
        <v>0</v>
      </c>
    </row>
    <row r="19" spans="3:25" x14ac:dyDescent="0.25">
      <c r="C19" s="34" t="s">
        <v>74</v>
      </c>
      <c r="D19" s="54" t="s">
        <v>38</v>
      </c>
      <c r="E19" s="34"/>
      <c r="F19" s="34"/>
      <c r="H19" s="35"/>
      <c r="I19" s="36"/>
      <c r="J19" s="37"/>
      <c r="K19" s="38"/>
      <c r="L19" s="29"/>
      <c r="M19" s="29"/>
      <c r="N19" s="29"/>
      <c r="O19" s="39"/>
      <c r="P19" s="40">
        <f t="shared" si="0"/>
        <v>0</v>
      </c>
      <c r="Q19" s="40">
        <f t="shared" si="1"/>
        <v>0</v>
      </c>
      <c r="R19" s="40">
        <f t="shared" si="2"/>
        <v>0</v>
      </c>
      <c r="S19" s="41"/>
      <c r="T19" s="41"/>
      <c r="U19" s="41"/>
      <c r="V19" s="41"/>
      <c r="W19" s="41"/>
      <c r="X19" s="41"/>
      <c r="Y19" s="33">
        <f t="shared" si="3"/>
        <v>0</v>
      </c>
    </row>
    <row r="20" spans="3:25" x14ac:dyDescent="0.25">
      <c r="C20" s="34" t="s">
        <v>74</v>
      </c>
      <c r="D20" s="54" t="s">
        <v>39</v>
      </c>
      <c r="E20" s="34"/>
      <c r="F20" s="34"/>
      <c r="H20" s="35"/>
      <c r="I20" s="36"/>
      <c r="J20" s="37"/>
      <c r="K20" s="38"/>
      <c r="L20" s="29"/>
      <c r="M20" s="29"/>
      <c r="N20" s="29"/>
      <c r="O20" s="39"/>
      <c r="P20" s="40">
        <f t="shared" si="0"/>
        <v>0</v>
      </c>
      <c r="Q20" s="40">
        <f t="shared" si="1"/>
        <v>0</v>
      </c>
      <c r="R20" s="40">
        <f t="shared" si="2"/>
        <v>0</v>
      </c>
      <c r="S20" s="41"/>
      <c r="T20" s="41"/>
      <c r="U20" s="41"/>
      <c r="V20" s="41"/>
      <c r="W20" s="41"/>
      <c r="X20" s="41"/>
      <c r="Y20" s="33">
        <f t="shared" si="3"/>
        <v>0</v>
      </c>
    </row>
    <row r="21" spans="3:25" x14ac:dyDescent="0.25">
      <c r="C21" s="34" t="s">
        <v>74</v>
      </c>
      <c r="D21" s="54" t="s">
        <v>40</v>
      </c>
      <c r="E21" s="34"/>
      <c r="F21" s="34"/>
      <c r="H21" s="35"/>
      <c r="I21" s="36"/>
      <c r="J21" s="37"/>
      <c r="K21" s="38"/>
      <c r="L21" s="29"/>
      <c r="M21" s="29"/>
      <c r="N21" s="29"/>
      <c r="O21" s="39"/>
      <c r="P21" s="40">
        <f t="shared" si="0"/>
        <v>0</v>
      </c>
      <c r="Q21" s="40">
        <f t="shared" si="1"/>
        <v>0</v>
      </c>
      <c r="R21" s="40">
        <f t="shared" si="2"/>
        <v>0</v>
      </c>
      <c r="S21" s="41"/>
      <c r="T21" s="41"/>
      <c r="U21" s="41"/>
      <c r="V21" s="41"/>
      <c r="W21" s="41"/>
      <c r="X21" s="41"/>
      <c r="Y21" s="33">
        <f t="shared" si="3"/>
        <v>0</v>
      </c>
    </row>
    <row r="22" spans="3:25" x14ac:dyDescent="0.25">
      <c r="C22" s="34" t="s">
        <v>74</v>
      </c>
      <c r="D22" s="54" t="s">
        <v>41</v>
      </c>
      <c r="E22" s="34"/>
      <c r="F22" s="34"/>
      <c r="G22" s="38"/>
      <c r="H22" s="35"/>
      <c r="I22" s="36"/>
      <c r="J22" s="37"/>
      <c r="K22" s="38"/>
      <c r="L22" s="29"/>
      <c r="M22" s="29"/>
      <c r="N22" s="29"/>
      <c r="O22" s="39"/>
      <c r="P22" s="40">
        <f t="shared" si="0"/>
        <v>0</v>
      </c>
      <c r="Q22" s="40">
        <f t="shared" si="1"/>
        <v>0</v>
      </c>
      <c r="R22" s="40">
        <f t="shared" si="2"/>
        <v>0</v>
      </c>
      <c r="S22" s="41"/>
      <c r="T22" s="41"/>
      <c r="U22" s="41"/>
      <c r="V22" s="41"/>
      <c r="W22" s="41"/>
      <c r="X22" s="41"/>
      <c r="Y22" s="33">
        <f t="shared" si="3"/>
        <v>0</v>
      </c>
    </row>
    <row r="23" spans="3:25" x14ac:dyDescent="0.25">
      <c r="C23" s="34" t="s">
        <v>74</v>
      </c>
      <c r="D23" s="54" t="s">
        <v>42</v>
      </c>
      <c r="E23" s="34"/>
      <c r="F23" s="34"/>
      <c r="G23" s="38"/>
      <c r="H23" s="35"/>
      <c r="I23" s="36"/>
      <c r="J23" s="37"/>
      <c r="K23" s="38"/>
      <c r="L23" s="29"/>
      <c r="M23" s="29"/>
      <c r="N23" s="29"/>
      <c r="O23" s="39"/>
      <c r="P23" s="40">
        <f t="shared" si="0"/>
        <v>0</v>
      </c>
      <c r="Q23" s="40">
        <f t="shared" si="1"/>
        <v>0</v>
      </c>
      <c r="R23" s="40">
        <f t="shared" si="2"/>
        <v>0</v>
      </c>
      <c r="S23" s="41"/>
      <c r="T23" s="41"/>
      <c r="U23" s="41"/>
      <c r="V23" s="41"/>
      <c r="W23" s="41"/>
      <c r="X23" s="41"/>
      <c r="Y23" s="33">
        <f t="shared" si="3"/>
        <v>0</v>
      </c>
    </row>
    <row r="24" spans="3:25" x14ac:dyDescent="0.25">
      <c r="C24" s="34" t="s">
        <v>74</v>
      </c>
      <c r="D24" s="54" t="s">
        <v>43</v>
      </c>
      <c r="E24" s="34"/>
      <c r="F24" s="34"/>
      <c r="H24" s="35"/>
      <c r="I24" s="36"/>
      <c r="J24" s="37"/>
      <c r="K24" s="38"/>
      <c r="L24" s="29"/>
      <c r="M24" s="29"/>
      <c r="N24" s="29"/>
      <c r="O24" s="39"/>
      <c r="P24" s="40">
        <f t="shared" si="0"/>
        <v>0</v>
      </c>
      <c r="Q24" s="40">
        <f t="shared" si="1"/>
        <v>0</v>
      </c>
      <c r="R24" s="40">
        <f t="shared" si="2"/>
        <v>0</v>
      </c>
      <c r="S24" s="41"/>
      <c r="T24" s="41"/>
      <c r="U24" s="41"/>
      <c r="V24" s="41"/>
      <c r="W24" s="41"/>
      <c r="X24" s="41"/>
      <c r="Y24" s="33">
        <f t="shared" si="3"/>
        <v>0</v>
      </c>
    </row>
    <row r="25" spans="3:25" x14ac:dyDescent="0.25">
      <c r="C25" s="34" t="s">
        <v>74</v>
      </c>
      <c r="D25" s="54" t="s">
        <v>44</v>
      </c>
      <c r="E25" s="34"/>
      <c r="F25" s="34"/>
      <c r="H25" s="35"/>
      <c r="I25" s="36"/>
      <c r="J25" s="37"/>
      <c r="K25" s="38"/>
      <c r="L25" s="29"/>
      <c r="M25" s="29"/>
      <c r="N25" s="29"/>
      <c r="O25" s="39"/>
      <c r="P25" s="40">
        <f t="shared" si="0"/>
        <v>0</v>
      </c>
      <c r="Q25" s="40">
        <f t="shared" si="1"/>
        <v>0</v>
      </c>
      <c r="R25" s="40">
        <f t="shared" si="2"/>
        <v>0</v>
      </c>
      <c r="S25" s="41"/>
      <c r="T25" s="41"/>
      <c r="U25" s="41"/>
      <c r="V25" s="41"/>
      <c r="W25" s="41"/>
      <c r="X25" s="41"/>
      <c r="Y25" s="33">
        <f t="shared" si="3"/>
        <v>0</v>
      </c>
    </row>
    <row r="26" spans="3:25" x14ac:dyDescent="0.25">
      <c r="C26" s="34" t="s">
        <v>74</v>
      </c>
      <c r="D26" s="54" t="s">
        <v>45</v>
      </c>
      <c r="E26" s="34"/>
      <c r="F26" s="34"/>
      <c r="H26" s="35"/>
      <c r="I26" s="36"/>
      <c r="J26" s="37"/>
      <c r="K26" s="38"/>
      <c r="L26" s="29"/>
      <c r="M26" s="29"/>
      <c r="N26" s="29"/>
      <c r="O26" s="39"/>
      <c r="P26" s="40">
        <f t="shared" si="0"/>
        <v>0</v>
      </c>
      <c r="Q26" s="40">
        <f t="shared" si="1"/>
        <v>0</v>
      </c>
      <c r="R26" s="40">
        <f t="shared" si="2"/>
        <v>0</v>
      </c>
      <c r="S26" s="41"/>
      <c r="T26" s="41"/>
      <c r="U26" s="41"/>
      <c r="V26" s="41"/>
      <c r="W26" s="41"/>
      <c r="X26" s="41"/>
      <c r="Y26" s="33">
        <f t="shared" si="3"/>
        <v>0</v>
      </c>
    </row>
    <row r="27" spans="3:25" x14ac:dyDescent="0.25">
      <c r="C27" s="34" t="s">
        <v>74</v>
      </c>
      <c r="D27" s="54" t="s">
        <v>46</v>
      </c>
      <c r="E27" s="34"/>
      <c r="F27" s="34"/>
      <c r="H27" s="35"/>
      <c r="I27" s="36"/>
      <c r="J27" s="37"/>
      <c r="K27" s="38"/>
      <c r="L27" s="29"/>
      <c r="M27" s="29"/>
      <c r="N27" s="29"/>
      <c r="O27" s="39"/>
      <c r="P27" s="40">
        <f t="shared" si="0"/>
        <v>0</v>
      </c>
      <c r="Q27" s="40">
        <f t="shared" si="1"/>
        <v>0</v>
      </c>
      <c r="R27" s="40">
        <f t="shared" si="2"/>
        <v>0</v>
      </c>
      <c r="S27" s="41"/>
      <c r="T27" s="41"/>
      <c r="U27" s="41"/>
      <c r="V27" s="41"/>
      <c r="W27" s="41"/>
      <c r="X27" s="41"/>
      <c r="Y27" s="33">
        <f t="shared" si="3"/>
        <v>0</v>
      </c>
    </row>
    <row r="28" spans="3:25" x14ac:dyDescent="0.25">
      <c r="C28" s="34" t="s">
        <v>74</v>
      </c>
      <c r="D28" s="54" t="s">
        <v>47</v>
      </c>
      <c r="E28" s="34"/>
      <c r="F28" s="34"/>
      <c r="H28" s="35"/>
      <c r="I28" s="36"/>
      <c r="J28" s="37"/>
      <c r="K28" s="38"/>
      <c r="L28" s="29"/>
      <c r="M28" s="29"/>
      <c r="N28" s="29"/>
      <c r="O28" s="39"/>
      <c r="P28" s="40">
        <f t="shared" si="0"/>
        <v>0</v>
      </c>
      <c r="Q28" s="40">
        <f t="shared" si="1"/>
        <v>0</v>
      </c>
      <c r="R28" s="40">
        <f t="shared" si="2"/>
        <v>0</v>
      </c>
      <c r="S28" s="41"/>
      <c r="T28" s="41"/>
      <c r="U28" s="41"/>
      <c r="V28" s="41"/>
      <c r="W28" s="41"/>
      <c r="X28" s="41"/>
      <c r="Y28" s="33">
        <f t="shared" si="3"/>
        <v>0</v>
      </c>
    </row>
    <row r="29" spans="3:25" x14ac:dyDescent="0.25">
      <c r="C29" s="34" t="s">
        <v>74</v>
      </c>
      <c r="D29" s="54" t="s">
        <v>48</v>
      </c>
      <c r="E29" s="34"/>
      <c r="F29" s="34"/>
      <c r="H29" s="35"/>
      <c r="I29" s="36"/>
      <c r="J29" s="37"/>
      <c r="K29" s="38"/>
      <c r="L29" s="29"/>
      <c r="M29" s="29"/>
      <c r="N29" s="29"/>
      <c r="O29" s="39"/>
      <c r="P29" s="40">
        <f t="shared" si="0"/>
        <v>0</v>
      </c>
      <c r="Q29" s="40">
        <f t="shared" si="1"/>
        <v>0</v>
      </c>
      <c r="R29" s="40">
        <f t="shared" si="2"/>
        <v>0</v>
      </c>
      <c r="S29" s="41"/>
      <c r="T29" s="41"/>
      <c r="U29" s="41"/>
      <c r="V29" s="41"/>
      <c r="W29" s="41"/>
      <c r="X29" s="41"/>
      <c r="Y29" s="33">
        <f t="shared" si="3"/>
        <v>0</v>
      </c>
    </row>
    <row r="30" spans="3:25" x14ac:dyDescent="0.25">
      <c r="C30" s="34" t="s">
        <v>74</v>
      </c>
      <c r="D30" s="54" t="s">
        <v>49</v>
      </c>
      <c r="E30" s="34"/>
      <c r="F30" s="34"/>
      <c r="H30" s="35"/>
      <c r="I30" s="36"/>
      <c r="J30" s="37"/>
      <c r="K30" s="38"/>
      <c r="L30" s="29"/>
      <c r="M30" s="29"/>
      <c r="N30" s="29"/>
      <c r="O30" s="39"/>
      <c r="P30" s="40">
        <f t="shared" si="0"/>
        <v>0</v>
      </c>
      <c r="Q30" s="40">
        <f t="shared" si="1"/>
        <v>0</v>
      </c>
      <c r="R30" s="40">
        <f t="shared" si="2"/>
        <v>0</v>
      </c>
      <c r="S30" s="41"/>
      <c r="T30" s="41"/>
      <c r="U30" s="41"/>
      <c r="V30" s="41"/>
      <c r="W30" s="41"/>
      <c r="X30" s="41"/>
      <c r="Y30" s="33">
        <f t="shared" si="3"/>
        <v>0</v>
      </c>
    </row>
    <row r="31" spans="3:25" x14ac:dyDescent="0.25">
      <c r="C31" s="34" t="s">
        <v>74</v>
      </c>
      <c r="D31" s="54" t="s">
        <v>50</v>
      </c>
      <c r="E31" s="34"/>
      <c r="F31" s="34"/>
      <c r="H31" s="35"/>
      <c r="I31" s="36"/>
      <c r="J31" s="37"/>
      <c r="K31" s="38"/>
      <c r="L31" s="29"/>
      <c r="M31" s="29"/>
      <c r="N31" s="29"/>
      <c r="O31" s="39"/>
      <c r="P31" s="40">
        <f t="shared" si="0"/>
        <v>0</v>
      </c>
      <c r="Q31" s="40">
        <f t="shared" si="1"/>
        <v>0</v>
      </c>
      <c r="R31" s="40">
        <f t="shared" si="2"/>
        <v>0</v>
      </c>
      <c r="S31" s="41"/>
      <c r="T31" s="41"/>
      <c r="U31" s="41"/>
      <c r="V31" s="41"/>
      <c r="W31" s="41"/>
      <c r="X31" s="41"/>
      <c r="Y31" s="33">
        <f t="shared" si="3"/>
        <v>0</v>
      </c>
    </row>
    <row r="32" spans="3:25" x14ac:dyDescent="0.25">
      <c r="C32" s="34" t="s">
        <v>74</v>
      </c>
      <c r="D32" s="54" t="s">
        <v>51</v>
      </c>
      <c r="E32" s="34"/>
      <c r="F32" s="34"/>
      <c r="H32" s="35"/>
      <c r="I32" s="36"/>
      <c r="J32" s="37"/>
      <c r="K32" s="38"/>
      <c r="L32" s="29"/>
      <c r="M32" s="29"/>
      <c r="N32" s="29"/>
      <c r="O32" s="39"/>
      <c r="P32" s="40">
        <f t="shared" si="0"/>
        <v>0</v>
      </c>
      <c r="Q32" s="40">
        <f t="shared" si="1"/>
        <v>0</v>
      </c>
      <c r="R32" s="40">
        <f t="shared" si="2"/>
        <v>0</v>
      </c>
      <c r="S32" s="41"/>
      <c r="T32" s="41"/>
      <c r="U32" s="41"/>
      <c r="V32" s="41"/>
      <c r="W32" s="41"/>
      <c r="X32" s="41"/>
      <c r="Y32" s="33">
        <f t="shared" si="3"/>
        <v>0</v>
      </c>
    </row>
    <row r="33" spans="3:25" x14ac:dyDescent="0.25">
      <c r="C33" s="34" t="s">
        <v>74</v>
      </c>
      <c r="D33" s="54" t="s">
        <v>52</v>
      </c>
      <c r="E33" s="34"/>
      <c r="F33" s="34"/>
      <c r="H33" s="35"/>
      <c r="I33" s="36"/>
      <c r="J33" s="37"/>
      <c r="K33" s="38"/>
      <c r="L33" s="29"/>
      <c r="M33" s="29"/>
      <c r="N33" s="29"/>
      <c r="O33" s="39"/>
      <c r="P33" s="40">
        <f t="shared" si="0"/>
        <v>0</v>
      </c>
      <c r="Q33" s="40">
        <f t="shared" si="1"/>
        <v>0</v>
      </c>
      <c r="R33" s="40">
        <f t="shared" si="2"/>
        <v>0</v>
      </c>
      <c r="S33" s="41"/>
      <c r="T33" s="41"/>
      <c r="U33" s="41"/>
      <c r="V33" s="41"/>
      <c r="W33" s="41"/>
      <c r="X33" s="41"/>
      <c r="Y33" s="33">
        <f t="shared" si="3"/>
        <v>0</v>
      </c>
    </row>
    <row r="34" spans="3:25" x14ac:dyDescent="0.25">
      <c r="C34" s="34" t="s">
        <v>74</v>
      </c>
      <c r="D34" s="54" t="s">
        <v>14</v>
      </c>
      <c r="E34" s="34"/>
      <c r="F34" s="34"/>
      <c r="H34" s="35"/>
      <c r="I34" s="36"/>
      <c r="J34" s="37"/>
      <c r="K34" s="38"/>
      <c r="L34" s="29"/>
      <c r="M34" s="29"/>
      <c r="N34" s="29"/>
      <c r="O34" s="39"/>
      <c r="P34" s="40">
        <f t="shared" si="0"/>
        <v>0</v>
      </c>
      <c r="Q34" s="40">
        <f t="shared" si="1"/>
        <v>0</v>
      </c>
      <c r="R34" s="40">
        <f t="shared" si="2"/>
        <v>0</v>
      </c>
      <c r="S34" s="41"/>
      <c r="T34" s="41"/>
      <c r="U34" s="41"/>
      <c r="V34" s="41"/>
      <c r="W34" s="41"/>
      <c r="X34" s="41"/>
      <c r="Y34" s="33">
        <f t="shared" si="3"/>
        <v>0</v>
      </c>
    </row>
    <row r="35" spans="3:25" x14ac:dyDescent="0.25">
      <c r="C35" s="34" t="s">
        <v>74</v>
      </c>
      <c r="D35" s="54" t="s">
        <v>53</v>
      </c>
      <c r="E35" s="34"/>
      <c r="F35" s="34"/>
      <c r="H35" s="35"/>
      <c r="I35" s="36"/>
      <c r="J35" s="37"/>
      <c r="K35" s="38"/>
      <c r="L35" s="29"/>
      <c r="M35" s="29"/>
      <c r="N35" s="29"/>
      <c r="O35" s="39"/>
      <c r="P35" s="40">
        <f t="shared" si="0"/>
        <v>0</v>
      </c>
      <c r="Q35" s="40">
        <f t="shared" si="1"/>
        <v>0</v>
      </c>
      <c r="R35" s="40">
        <f t="shared" si="2"/>
        <v>0</v>
      </c>
      <c r="S35" s="41"/>
      <c r="T35" s="41"/>
      <c r="U35" s="41"/>
      <c r="V35" s="41"/>
      <c r="W35" s="41"/>
      <c r="X35" s="41"/>
      <c r="Y35" s="33">
        <f t="shared" si="3"/>
        <v>0</v>
      </c>
    </row>
    <row r="36" spans="3:25" x14ac:dyDescent="0.25">
      <c r="C36" s="34" t="s">
        <v>74</v>
      </c>
      <c r="D36" s="54" t="s">
        <v>54</v>
      </c>
      <c r="E36" s="34"/>
      <c r="F36" s="34"/>
      <c r="H36" s="35"/>
      <c r="I36" s="36"/>
      <c r="J36" s="37"/>
      <c r="K36" s="38"/>
      <c r="L36" s="29"/>
      <c r="M36" s="29"/>
      <c r="N36" s="29"/>
      <c r="O36" s="39"/>
      <c r="P36" s="40">
        <f t="shared" si="0"/>
        <v>0</v>
      </c>
      <c r="Q36" s="40">
        <f t="shared" si="1"/>
        <v>0</v>
      </c>
      <c r="R36" s="40">
        <f t="shared" si="2"/>
        <v>0</v>
      </c>
      <c r="S36" s="41"/>
      <c r="T36" s="41"/>
      <c r="U36" s="41"/>
      <c r="V36" s="41"/>
      <c r="W36" s="41"/>
      <c r="X36" s="41"/>
      <c r="Y36" s="33">
        <f t="shared" si="3"/>
        <v>0</v>
      </c>
    </row>
    <row r="37" spans="3:25" x14ac:dyDescent="0.25">
      <c r="C37" s="34" t="s">
        <v>74</v>
      </c>
      <c r="D37" s="54" t="s">
        <v>55</v>
      </c>
      <c r="E37" s="34"/>
      <c r="F37" s="34"/>
      <c r="H37" s="35"/>
      <c r="I37" s="36"/>
      <c r="J37" s="37"/>
      <c r="K37" s="38"/>
      <c r="L37" s="29"/>
      <c r="M37" s="29"/>
      <c r="N37" s="29"/>
      <c r="O37" s="39"/>
      <c r="P37" s="40">
        <f t="shared" si="0"/>
        <v>0</v>
      </c>
      <c r="Q37" s="40">
        <f t="shared" si="1"/>
        <v>0</v>
      </c>
      <c r="R37" s="40">
        <f t="shared" si="2"/>
        <v>0</v>
      </c>
      <c r="S37" s="41"/>
      <c r="T37" s="41"/>
      <c r="U37" s="41"/>
      <c r="V37" s="41"/>
      <c r="W37" s="41"/>
      <c r="X37" s="41"/>
      <c r="Y37" s="33">
        <f t="shared" si="3"/>
        <v>0</v>
      </c>
    </row>
    <row r="38" spans="3:25" x14ac:dyDescent="0.25">
      <c r="C38" s="34" t="s">
        <v>74</v>
      </c>
      <c r="D38" s="54" t="s">
        <v>56</v>
      </c>
      <c r="E38" s="34"/>
      <c r="F38" s="34"/>
      <c r="H38" s="35"/>
      <c r="I38" s="36"/>
      <c r="J38" s="37"/>
      <c r="K38" s="38"/>
      <c r="L38" s="29"/>
      <c r="M38" s="29"/>
      <c r="N38" s="29"/>
      <c r="O38" s="39"/>
      <c r="P38" s="40">
        <f t="shared" si="0"/>
        <v>0</v>
      </c>
      <c r="Q38" s="40">
        <f t="shared" si="1"/>
        <v>0</v>
      </c>
      <c r="R38" s="40">
        <f t="shared" si="2"/>
        <v>0</v>
      </c>
      <c r="S38" s="41"/>
      <c r="T38" s="41"/>
      <c r="U38" s="41"/>
      <c r="V38" s="41"/>
      <c r="W38" s="41"/>
      <c r="X38" s="41"/>
      <c r="Y38" s="33">
        <f t="shared" si="3"/>
        <v>0</v>
      </c>
    </row>
    <row r="39" spans="3:25" x14ac:dyDescent="0.25">
      <c r="D39" s="69"/>
      <c r="E39" s="34"/>
      <c r="F39" s="34"/>
      <c r="H39" s="35"/>
      <c r="I39" s="36"/>
      <c r="J39" s="37"/>
      <c r="K39" s="38"/>
      <c r="L39" s="29"/>
      <c r="M39" s="29"/>
      <c r="N39" s="29"/>
      <c r="O39" s="39"/>
      <c r="P39" s="40">
        <f t="shared" si="0"/>
        <v>0</v>
      </c>
      <c r="Q39" s="40">
        <f t="shared" si="1"/>
        <v>0</v>
      </c>
      <c r="R39" s="40">
        <f t="shared" si="2"/>
        <v>0</v>
      </c>
      <c r="S39" s="41"/>
      <c r="T39" s="41"/>
      <c r="U39" s="41"/>
      <c r="V39" s="41"/>
      <c r="W39" s="41"/>
      <c r="X39" s="41"/>
      <c r="Y39" s="33">
        <f t="shared" si="3"/>
        <v>0</v>
      </c>
    </row>
    <row r="40" spans="3:25" x14ac:dyDescent="0.25">
      <c r="D40" s="69"/>
      <c r="E40" s="34"/>
      <c r="F40" s="34"/>
      <c r="H40" s="35"/>
      <c r="I40" s="36"/>
      <c r="J40" s="37"/>
      <c r="K40" s="38"/>
      <c r="L40" s="29"/>
      <c r="M40" s="29"/>
      <c r="N40" s="29"/>
      <c r="O40" s="39"/>
      <c r="P40" s="40">
        <f t="shared" si="0"/>
        <v>0</v>
      </c>
      <c r="Q40" s="40">
        <f t="shared" si="1"/>
        <v>0</v>
      </c>
      <c r="R40" s="40">
        <f t="shared" si="2"/>
        <v>0</v>
      </c>
      <c r="S40" s="41"/>
      <c r="T40" s="41"/>
      <c r="U40" s="41"/>
      <c r="V40" s="41"/>
      <c r="W40" s="41"/>
      <c r="X40" s="41"/>
      <c r="Y40" s="33">
        <f t="shared" si="3"/>
        <v>0</v>
      </c>
    </row>
    <row r="41" spans="3:25" x14ac:dyDescent="0.25">
      <c r="D41" s="69"/>
      <c r="E41" s="34"/>
      <c r="F41" s="34"/>
      <c r="H41" s="35"/>
      <c r="I41" s="36"/>
      <c r="J41" s="37"/>
      <c r="K41" s="38"/>
      <c r="L41" s="29"/>
      <c r="M41" s="29"/>
      <c r="N41" s="29"/>
      <c r="O41" s="39"/>
      <c r="P41" s="40">
        <f t="shared" si="0"/>
        <v>0</v>
      </c>
      <c r="Q41" s="40">
        <f t="shared" si="1"/>
        <v>0</v>
      </c>
      <c r="R41" s="40">
        <f t="shared" si="2"/>
        <v>0</v>
      </c>
      <c r="S41" s="41"/>
      <c r="T41" s="41"/>
      <c r="U41" s="41"/>
      <c r="V41" s="41"/>
      <c r="W41" s="41"/>
      <c r="X41" s="41"/>
      <c r="Y41" s="33">
        <f t="shared" si="3"/>
        <v>0</v>
      </c>
    </row>
    <row r="42" spans="3:25" x14ac:dyDescent="0.25">
      <c r="D42" s="69"/>
      <c r="E42" s="34"/>
      <c r="F42" s="34"/>
      <c r="H42" s="35"/>
      <c r="I42" s="36"/>
      <c r="J42" s="37"/>
      <c r="K42" s="38"/>
      <c r="L42" s="29"/>
      <c r="M42" s="29"/>
      <c r="N42" s="29"/>
      <c r="O42" s="39"/>
      <c r="P42" s="40">
        <f t="shared" si="0"/>
        <v>0</v>
      </c>
      <c r="Q42" s="40">
        <f t="shared" si="1"/>
        <v>0</v>
      </c>
      <c r="R42" s="40">
        <f t="shared" si="2"/>
        <v>0</v>
      </c>
      <c r="S42" s="41"/>
      <c r="T42" s="41"/>
      <c r="U42" s="41"/>
      <c r="V42" s="41"/>
      <c r="W42" s="41"/>
      <c r="X42" s="41"/>
      <c r="Y42" s="33">
        <f t="shared" si="3"/>
        <v>0</v>
      </c>
    </row>
    <row r="43" spans="3:25" x14ac:dyDescent="0.25">
      <c r="D43" s="69"/>
      <c r="E43" s="34"/>
      <c r="F43" s="34"/>
      <c r="H43" s="35"/>
      <c r="I43" s="36"/>
      <c r="J43" s="37"/>
      <c r="K43" s="38"/>
      <c r="L43" s="29"/>
      <c r="M43" s="29"/>
      <c r="N43" s="29"/>
      <c r="O43" s="39"/>
      <c r="P43" s="40">
        <f t="shared" si="0"/>
        <v>0</v>
      </c>
      <c r="Q43" s="40">
        <f t="shared" si="1"/>
        <v>0</v>
      </c>
      <c r="R43" s="40">
        <f t="shared" si="2"/>
        <v>0</v>
      </c>
      <c r="S43" s="41"/>
      <c r="T43" s="41"/>
      <c r="U43" s="41"/>
      <c r="V43" s="41"/>
      <c r="W43" s="41"/>
      <c r="X43" s="41"/>
      <c r="Y43" s="33">
        <f t="shared" si="3"/>
        <v>0</v>
      </c>
    </row>
    <row r="44" spans="3:25" x14ac:dyDescent="0.25">
      <c r="D44" s="69"/>
      <c r="E44" s="34"/>
      <c r="F44" s="34"/>
      <c r="H44" s="35"/>
      <c r="I44" s="36"/>
      <c r="J44" s="37"/>
      <c r="K44" s="38"/>
      <c r="L44" s="29"/>
      <c r="M44" s="29"/>
      <c r="N44" s="29"/>
      <c r="O44" s="39"/>
      <c r="P44" s="40">
        <f t="shared" si="0"/>
        <v>0</v>
      </c>
      <c r="Q44" s="40">
        <f t="shared" si="1"/>
        <v>0</v>
      </c>
      <c r="R44" s="40">
        <f t="shared" si="2"/>
        <v>0</v>
      </c>
      <c r="S44" s="41"/>
      <c r="T44" s="41"/>
      <c r="U44" s="41"/>
      <c r="V44" s="41"/>
      <c r="W44" s="41"/>
      <c r="X44" s="41"/>
      <c r="Y44" s="33">
        <f t="shared" si="3"/>
        <v>0</v>
      </c>
    </row>
    <row r="45" spans="3:25" x14ac:dyDescent="0.25">
      <c r="D45" s="69"/>
      <c r="E45" s="34"/>
      <c r="F45" s="34"/>
      <c r="H45" s="35"/>
      <c r="I45" s="36"/>
      <c r="J45" s="37"/>
      <c r="K45" s="38"/>
      <c r="L45" s="29"/>
      <c r="M45" s="29"/>
      <c r="N45" s="29"/>
      <c r="O45" s="39"/>
      <c r="P45" s="40">
        <f t="shared" si="0"/>
        <v>0</v>
      </c>
      <c r="Q45" s="40">
        <f t="shared" si="1"/>
        <v>0</v>
      </c>
      <c r="R45" s="40">
        <f t="shared" si="2"/>
        <v>0</v>
      </c>
      <c r="S45" s="41"/>
      <c r="T45" s="41"/>
      <c r="U45" s="41"/>
      <c r="V45" s="41"/>
      <c r="W45" s="41"/>
      <c r="X45" s="41"/>
      <c r="Y45" s="33">
        <f t="shared" si="3"/>
        <v>0</v>
      </c>
    </row>
    <row r="46" spans="3:25" x14ac:dyDescent="0.25">
      <c r="D46" s="69"/>
      <c r="E46" s="34"/>
      <c r="F46" s="34"/>
      <c r="H46" s="35"/>
      <c r="I46" s="36"/>
      <c r="J46" s="37"/>
      <c r="K46" s="38"/>
      <c r="L46" s="29"/>
      <c r="M46" s="29"/>
      <c r="N46" s="29"/>
      <c r="O46" s="39"/>
      <c r="P46" s="40">
        <f t="shared" si="0"/>
        <v>0</v>
      </c>
      <c r="Q46" s="40">
        <f t="shared" si="1"/>
        <v>0</v>
      </c>
      <c r="R46" s="40">
        <f t="shared" si="2"/>
        <v>0</v>
      </c>
      <c r="S46" s="41"/>
      <c r="T46" s="41"/>
      <c r="U46" s="41"/>
      <c r="V46" s="41"/>
      <c r="W46" s="41"/>
      <c r="X46" s="41"/>
      <c r="Y46" s="33">
        <f t="shared" si="3"/>
        <v>0</v>
      </c>
    </row>
    <row r="47" spans="3:25" x14ac:dyDescent="0.25">
      <c r="D47" s="69"/>
      <c r="E47" s="34"/>
      <c r="F47" s="34"/>
      <c r="H47" s="35"/>
      <c r="I47" s="36"/>
      <c r="J47" s="37"/>
      <c r="K47" s="38"/>
      <c r="L47" s="29"/>
      <c r="M47" s="29"/>
      <c r="N47" s="29"/>
      <c r="O47" s="39"/>
      <c r="P47" s="40">
        <f t="shared" si="0"/>
        <v>0</v>
      </c>
      <c r="Q47" s="40">
        <f t="shared" si="1"/>
        <v>0</v>
      </c>
      <c r="R47" s="40">
        <f t="shared" si="2"/>
        <v>0</v>
      </c>
      <c r="S47" s="41"/>
      <c r="T47" s="41"/>
      <c r="U47" s="41"/>
      <c r="V47" s="41"/>
      <c r="W47" s="41"/>
      <c r="X47" s="41"/>
      <c r="Y47" s="33">
        <f t="shared" si="3"/>
        <v>0</v>
      </c>
    </row>
    <row r="48" spans="3:25" x14ac:dyDescent="0.25">
      <c r="D48" s="69"/>
      <c r="E48" s="34"/>
      <c r="F48" s="34"/>
      <c r="H48" s="35"/>
      <c r="I48" s="36"/>
      <c r="J48" s="37"/>
      <c r="K48" s="38"/>
      <c r="L48" s="29"/>
      <c r="M48" s="29"/>
      <c r="N48" s="29"/>
      <c r="O48" s="39"/>
      <c r="P48" s="40">
        <f t="shared" si="0"/>
        <v>0</v>
      </c>
      <c r="Q48" s="40">
        <f t="shared" si="1"/>
        <v>0</v>
      </c>
      <c r="R48" s="40">
        <f t="shared" si="2"/>
        <v>0</v>
      </c>
      <c r="S48" s="41"/>
      <c r="T48" s="41"/>
      <c r="U48" s="41"/>
      <c r="V48" s="41"/>
      <c r="W48" s="41"/>
      <c r="X48" s="41"/>
      <c r="Y48" s="33">
        <f t="shared" si="3"/>
        <v>0</v>
      </c>
    </row>
    <row r="49" spans="4:25" x14ac:dyDescent="0.25">
      <c r="D49" s="69"/>
      <c r="E49" s="34"/>
      <c r="F49" s="34"/>
      <c r="H49" s="35"/>
      <c r="I49" s="36"/>
      <c r="J49" s="37"/>
      <c r="K49" s="38"/>
      <c r="L49" s="29"/>
      <c r="M49" s="29"/>
      <c r="N49" s="29"/>
      <c r="O49" s="39"/>
      <c r="P49" s="40">
        <f t="shared" si="0"/>
        <v>0</v>
      </c>
      <c r="Q49" s="40">
        <f t="shared" si="1"/>
        <v>0</v>
      </c>
      <c r="R49" s="40">
        <f t="shared" si="2"/>
        <v>0</v>
      </c>
      <c r="S49" s="41"/>
      <c r="T49" s="41"/>
      <c r="U49" s="41"/>
      <c r="V49" s="41"/>
      <c r="W49" s="41"/>
      <c r="X49" s="41"/>
      <c r="Y49" s="33">
        <f t="shared" si="3"/>
        <v>0</v>
      </c>
    </row>
    <row r="50" spans="4:25" x14ac:dyDescent="0.25">
      <c r="D50" s="69"/>
      <c r="E50" s="34"/>
      <c r="F50" s="34"/>
      <c r="H50" s="35"/>
      <c r="I50" s="36"/>
      <c r="J50" s="37"/>
      <c r="K50" s="38"/>
      <c r="L50" s="29"/>
      <c r="M50" s="29"/>
      <c r="N50" s="29"/>
      <c r="O50" s="39"/>
      <c r="P50" s="40">
        <f t="shared" si="0"/>
        <v>0</v>
      </c>
      <c r="Q50" s="40">
        <f t="shared" si="1"/>
        <v>0</v>
      </c>
      <c r="R50" s="40">
        <f t="shared" si="2"/>
        <v>0</v>
      </c>
      <c r="S50" s="41"/>
      <c r="T50" s="41"/>
      <c r="U50" s="41"/>
      <c r="V50" s="41"/>
      <c r="W50" s="41"/>
      <c r="X50" s="41"/>
      <c r="Y50" s="33">
        <f t="shared" si="3"/>
        <v>0</v>
      </c>
    </row>
    <row r="51" spans="4:25" x14ac:dyDescent="0.25">
      <c r="D51" s="69"/>
      <c r="E51" s="34"/>
      <c r="F51" s="34"/>
      <c r="H51" s="35"/>
      <c r="I51" s="36"/>
      <c r="J51" s="37"/>
      <c r="K51" s="38"/>
      <c r="L51" s="29"/>
      <c r="M51" s="29"/>
      <c r="N51" s="29"/>
      <c r="O51" s="39"/>
      <c r="P51" s="40">
        <f t="shared" si="0"/>
        <v>0</v>
      </c>
      <c r="Q51" s="40">
        <f t="shared" si="1"/>
        <v>0</v>
      </c>
      <c r="R51" s="40">
        <f t="shared" si="2"/>
        <v>0</v>
      </c>
      <c r="S51" s="41"/>
      <c r="T51" s="41"/>
      <c r="U51" s="41"/>
      <c r="V51" s="41"/>
      <c r="W51" s="41"/>
      <c r="X51" s="41"/>
      <c r="Y51" s="33">
        <f t="shared" si="3"/>
        <v>0</v>
      </c>
    </row>
    <row r="52" spans="4:25" x14ac:dyDescent="0.25">
      <c r="D52" s="69"/>
      <c r="E52" s="34"/>
      <c r="F52" s="34"/>
      <c r="H52" s="35"/>
      <c r="I52" s="36"/>
      <c r="J52" s="37"/>
      <c r="K52" s="38"/>
      <c r="L52" s="29"/>
      <c r="M52" s="29"/>
      <c r="N52" s="29"/>
      <c r="O52" s="39"/>
      <c r="P52" s="40">
        <f t="shared" si="0"/>
        <v>0</v>
      </c>
      <c r="Q52" s="40">
        <f t="shared" si="1"/>
        <v>0</v>
      </c>
      <c r="R52" s="40">
        <f t="shared" si="2"/>
        <v>0</v>
      </c>
      <c r="S52" s="41"/>
      <c r="T52" s="41"/>
      <c r="U52" s="41"/>
      <c r="V52" s="41"/>
      <c r="W52" s="41"/>
      <c r="X52" s="41"/>
      <c r="Y52" s="33">
        <f t="shared" si="3"/>
        <v>0</v>
      </c>
    </row>
    <row r="53" spans="4:25" x14ac:dyDescent="0.25">
      <c r="D53" s="69"/>
      <c r="E53" s="34"/>
      <c r="F53" s="34"/>
      <c r="H53" s="35"/>
      <c r="I53" s="36"/>
      <c r="J53" s="37"/>
      <c r="K53" s="38"/>
      <c r="L53" s="29"/>
      <c r="M53" s="29"/>
      <c r="N53" s="29"/>
      <c r="O53" s="39"/>
      <c r="P53" s="40">
        <f t="shared" si="0"/>
        <v>0</v>
      </c>
      <c r="Q53" s="40">
        <f t="shared" si="1"/>
        <v>0</v>
      </c>
      <c r="R53" s="40">
        <f t="shared" si="2"/>
        <v>0</v>
      </c>
      <c r="S53" s="41"/>
      <c r="T53" s="41"/>
      <c r="U53" s="41"/>
      <c r="V53" s="41"/>
      <c r="W53" s="41"/>
      <c r="X53" s="41"/>
      <c r="Y53" s="33">
        <f t="shared" si="3"/>
        <v>0</v>
      </c>
    </row>
    <row r="54" spans="4:25" x14ac:dyDescent="0.25">
      <c r="D54" s="69"/>
      <c r="E54" s="34"/>
      <c r="F54" s="34"/>
      <c r="H54" s="35"/>
      <c r="I54" s="36"/>
      <c r="J54" s="37"/>
      <c r="K54" s="38"/>
      <c r="L54" s="29"/>
      <c r="M54" s="29"/>
      <c r="N54" s="29"/>
      <c r="O54" s="39"/>
      <c r="P54" s="40">
        <f t="shared" si="0"/>
        <v>0</v>
      </c>
      <c r="Q54" s="40">
        <f t="shared" si="1"/>
        <v>0</v>
      </c>
      <c r="R54" s="40">
        <f t="shared" si="2"/>
        <v>0</v>
      </c>
      <c r="S54" s="41"/>
      <c r="T54" s="41"/>
      <c r="U54" s="41"/>
      <c r="V54" s="41"/>
      <c r="W54" s="41"/>
      <c r="X54" s="41"/>
      <c r="Y54" s="33">
        <f t="shared" si="3"/>
        <v>0</v>
      </c>
    </row>
    <row r="55" spans="4:25" x14ac:dyDescent="0.25">
      <c r="D55" s="69"/>
      <c r="E55" s="34"/>
      <c r="F55" s="34"/>
      <c r="H55" s="35"/>
      <c r="I55" s="36"/>
      <c r="J55" s="37"/>
      <c r="K55" s="38"/>
      <c r="L55" s="29"/>
      <c r="M55" s="29"/>
      <c r="N55" s="29"/>
      <c r="O55" s="39"/>
      <c r="P55" s="40">
        <f t="shared" si="0"/>
        <v>0</v>
      </c>
      <c r="Q55" s="40">
        <f t="shared" si="1"/>
        <v>0</v>
      </c>
      <c r="R55" s="40">
        <f t="shared" si="2"/>
        <v>0</v>
      </c>
      <c r="S55" s="41"/>
      <c r="T55" s="41"/>
      <c r="U55" s="41"/>
      <c r="V55" s="41"/>
      <c r="W55" s="41"/>
      <c r="X55" s="41"/>
      <c r="Y55" s="33">
        <f t="shared" si="3"/>
        <v>0</v>
      </c>
    </row>
    <row r="56" spans="4:25" x14ac:dyDescent="0.25">
      <c r="D56" s="69"/>
      <c r="E56" s="34"/>
      <c r="F56" s="34"/>
      <c r="H56" s="35"/>
      <c r="I56" s="36"/>
      <c r="J56" s="37"/>
      <c r="K56" s="38"/>
      <c r="L56" s="29"/>
      <c r="M56" s="29"/>
      <c r="N56" s="29"/>
      <c r="O56" s="39"/>
      <c r="P56" s="40">
        <f t="shared" si="0"/>
        <v>0</v>
      </c>
      <c r="Q56" s="40">
        <f t="shared" si="1"/>
        <v>0</v>
      </c>
      <c r="R56" s="40">
        <f t="shared" si="2"/>
        <v>0</v>
      </c>
      <c r="S56" s="41"/>
      <c r="T56" s="41"/>
      <c r="U56" s="41"/>
      <c r="V56" s="41"/>
      <c r="W56" s="41"/>
      <c r="X56" s="41"/>
      <c r="Y56" s="33">
        <f t="shared" si="3"/>
        <v>0</v>
      </c>
    </row>
    <row r="57" spans="4:25" x14ac:dyDescent="0.25">
      <c r="D57" s="69"/>
      <c r="E57" s="34"/>
      <c r="F57" s="34"/>
      <c r="H57" s="35"/>
      <c r="I57" s="36"/>
      <c r="J57" s="37"/>
      <c r="K57" s="38"/>
      <c r="L57" s="29"/>
      <c r="M57" s="29"/>
      <c r="N57" s="29"/>
      <c r="O57" s="39"/>
      <c r="P57" s="40">
        <f t="shared" si="0"/>
        <v>0</v>
      </c>
      <c r="Q57" s="40">
        <f t="shared" si="1"/>
        <v>0</v>
      </c>
      <c r="R57" s="40">
        <f t="shared" si="2"/>
        <v>0</v>
      </c>
      <c r="S57" s="41"/>
      <c r="T57" s="41"/>
      <c r="U57" s="41"/>
      <c r="V57" s="41"/>
      <c r="W57" s="41"/>
      <c r="X57" s="41"/>
      <c r="Y57" s="33">
        <f t="shared" si="3"/>
        <v>0</v>
      </c>
    </row>
    <row r="58" spans="4:25" x14ac:dyDescent="0.25">
      <c r="D58" s="69"/>
      <c r="E58" s="34"/>
      <c r="F58" s="34"/>
      <c r="H58" s="35"/>
      <c r="I58" s="36"/>
      <c r="J58" s="37"/>
      <c r="K58" s="38"/>
      <c r="L58" s="29"/>
      <c r="M58" s="29"/>
      <c r="N58" s="29"/>
      <c r="O58" s="39"/>
      <c r="P58" s="40">
        <f t="shared" si="0"/>
        <v>0</v>
      </c>
      <c r="Q58" s="40">
        <f t="shared" si="1"/>
        <v>0</v>
      </c>
      <c r="R58" s="40">
        <f t="shared" si="2"/>
        <v>0</v>
      </c>
      <c r="S58" s="41"/>
      <c r="T58" s="41"/>
      <c r="U58" s="41"/>
      <c r="V58" s="41"/>
      <c r="W58" s="41"/>
      <c r="X58" s="41"/>
      <c r="Y58" s="33">
        <f t="shared" si="3"/>
        <v>0</v>
      </c>
    </row>
    <row r="59" spans="4:25" x14ac:dyDescent="0.25">
      <c r="D59" s="69"/>
      <c r="E59" s="34"/>
      <c r="F59" s="34"/>
      <c r="H59" s="35"/>
      <c r="I59" s="36"/>
      <c r="J59" s="37"/>
      <c r="K59" s="38"/>
      <c r="L59" s="29"/>
      <c r="M59" s="29"/>
      <c r="N59" s="29"/>
      <c r="O59" s="39"/>
      <c r="P59" s="40">
        <f t="shared" si="0"/>
        <v>0</v>
      </c>
      <c r="Q59" s="40">
        <f t="shared" si="1"/>
        <v>0</v>
      </c>
      <c r="R59" s="40">
        <f t="shared" si="2"/>
        <v>0</v>
      </c>
      <c r="S59" s="41"/>
      <c r="T59" s="41"/>
      <c r="U59" s="41"/>
      <c r="V59" s="41"/>
      <c r="W59" s="41"/>
      <c r="X59" s="41"/>
      <c r="Y59" s="33">
        <f t="shared" si="3"/>
        <v>0</v>
      </c>
    </row>
    <row r="60" spans="4:25" x14ac:dyDescent="0.25">
      <c r="D60" s="69"/>
      <c r="E60" s="34"/>
      <c r="F60" s="34"/>
      <c r="H60" s="35"/>
      <c r="I60" s="36"/>
      <c r="J60" s="37"/>
      <c r="K60" s="38"/>
      <c r="L60" s="29"/>
      <c r="M60" s="29"/>
      <c r="N60" s="29"/>
      <c r="O60" s="39"/>
      <c r="P60" s="40">
        <f t="shared" si="0"/>
        <v>0</v>
      </c>
      <c r="Q60" s="40">
        <f t="shared" si="1"/>
        <v>0</v>
      </c>
      <c r="R60" s="40">
        <f t="shared" si="2"/>
        <v>0</v>
      </c>
      <c r="S60" s="41"/>
      <c r="T60" s="41"/>
      <c r="U60" s="41"/>
      <c r="V60" s="41"/>
      <c r="W60" s="41"/>
      <c r="X60" s="41"/>
      <c r="Y60" s="33">
        <f t="shared" si="3"/>
        <v>0</v>
      </c>
    </row>
    <row r="61" spans="4:25" x14ac:dyDescent="0.25">
      <c r="D61" s="69"/>
      <c r="E61" s="34"/>
      <c r="F61" s="34"/>
      <c r="H61" s="35"/>
      <c r="I61" s="36"/>
      <c r="J61" s="37"/>
      <c r="K61" s="38"/>
      <c r="L61" s="29"/>
      <c r="M61" s="29"/>
      <c r="N61" s="29"/>
      <c r="O61" s="39"/>
      <c r="P61" s="40">
        <f t="shared" si="0"/>
        <v>0</v>
      </c>
      <c r="Q61" s="40">
        <f t="shared" si="1"/>
        <v>0</v>
      </c>
      <c r="R61" s="40">
        <f t="shared" si="2"/>
        <v>0</v>
      </c>
      <c r="S61" s="41"/>
      <c r="T61" s="41"/>
      <c r="U61" s="41"/>
      <c r="V61" s="41"/>
      <c r="W61" s="41"/>
      <c r="X61" s="41"/>
      <c r="Y61" s="33">
        <f t="shared" si="3"/>
        <v>0</v>
      </c>
    </row>
    <row r="62" spans="4:25" x14ac:dyDescent="0.25">
      <c r="D62" s="69"/>
      <c r="E62" s="34"/>
      <c r="F62" s="34"/>
      <c r="H62" s="35"/>
      <c r="I62" s="36"/>
      <c r="J62" s="37"/>
      <c r="K62" s="38"/>
      <c r="L62" s="29"/>
      <c r="M62" s="29"/>
      <c r="N62" s="29"/>
      <c r="O62" s="39"/>
      <c r="P62" s="40">
        <f t="shared" si="0"/>
        <v>0</v>
      </c>
      <c r="Q62" s="40">
        <f t="shared" si="1"/>
        <v>0</v>
      </c>
      <c r="R62" s="40">
        <f t="shared" si="2"/>
        <v>0</v>
      </c>
      <c r="S62" s="41"/>
      <c r="T62" s="41"/>
      <c r="U62" s="41"/>
      <c r="V62" s="41"/>
      <c r="W62" s="41"/>
      <c r="X62" s="41"/>
      <c r="Y62" s="33">
        <f t="shared" si="3"/>
        <v>0</v>
      </c>
    </row>
    <row r="63" spans="4:25" x14ac:dyDescent="0.25">
      <c r="D63" s="69"/>
      <c r="E63" s="34"/>
      <c r="F63" s="34"/>
      <c r="H63" s="35"/>
      <c r="I63" s="36"/>
      <c r="J63" s="37"/>
      <c r="K63" s="38"/>
      <c r="L63" s="29"/>
      <c r="M63" s="29"/>
      <c r="N63" s="29"/>
      <c r="O63" s="39"/>
      <c r="P63" s="40">
        <f t="shared" si="0"/>
        <v>0</v>
      </c>
      <c r="Q63" s="40">
        <f t="shared" si="1"/>
        <v>0</v>
      </c>
      <c r="R63" s="40">
        <f t="shared" si="2"/>
        <v>0</v>
      </c>
      <c r="S63" s="41"/>
      <c r="T63" s="41"/>
      <c r="U63" s="41"/>
      <c r="V63" s="41"/>
      <c r="W63" s="41"/>
      <c r="X63" s="41"/>
      <c r="Y63" s="33">
        <f t="shared" si="3"/>
        <v>0</v>
      </c>
    </row>
    <row r="64" spans="4:25" x14ac:dyDescent="0.25">
      <c r="D64" s="69"/>
      <c r="E64" s="34"/>
      <c r="F64" s="34"/>
      <c r="H64" s="35"/>
      <c r="I64" s="36"/>
      <c r="J64" s="37"/>
      <c r="K64" s="38"/>
      <c r="L64" s="29"/>
      <c r="M64" s="29"/>
      <c r="N64" s="29"/>
      <c r="O64" s="39"/>
      <c r="P64" s="40">
        <f t="shared" si="0"/>
        <v>0</v>
      </c>
      <c r="Q64" s="40">
        <f t="shared" si="1"/>
        <v>0</v>
      </c>
      <c r="R64" s="40">
        <f t="shared" si="2"/>
        <v>0</v>
      </c>
      <c r="S64" s="41"/>
      <c r="T64" s="41"/>
      <c r="U64" s="41"/>
      <c r="V64" s="41"/>
      <c r="W64" s="41"/>
      <c r="X64" s="41"/>
      <c r="Y64" s="33">
        <f t="shared" si="3"/>
        <v>0</v>
      </c>
    </row>
    <row r="65" spans="4:25" x14ac:dyDescent="0.25">
      <c r="D65" s="69"/>
      <c r="E65" s="34"/>
      <c r="F65" s="34"/>
      <c r="H65" s="35"/>
      <c r="I65" s="36"/>
      <c r="J65" s="37"/>
      <c r="K65" s="38"/>
      <c r="L65" s="29"/>
      <c r="M65" s="29"/>
      <c r="N65" s="29"/>
      <c r="O65" s="39"/>
      <c r="P65" s="40">
        <f t="shared" si="0"/>
        <v>0</v>
      </c>
      <c r="Q65" s="40">
        <f t="shared" si="1"/>
        <v>0</v>
      </c>
      <c r="R65" s="40">
        <f t="shared" si="2"/>
        <v>0</v>
      </c>
      <c r="S65" s="41"/>
      <c r="T65" s="41"/>
      <c r="U65" s="41"/>
      <c r="V65" s="41"/>
      <c r="W65" s="41"/>
      <c r="X65" s="41"/>
      <c r="Y65" s="33">
        <f t="shared" si="3"/>
        <v>0</v>
      </c>
    </row>
    <row r="66" spans="4:25" x14ac:dyDescent="0.25">
      <c r="D66" s="69"/>
      <c r="E66" s="34"/>
      <c r="F66" s="34"/>
      <c r="H66" s="35"/>
      <c r="I66" s="36"/>
      <c r="J66" s="37"/>
      <c r="K66" s="38"/>
      <c r="L66" s="29"/>
      <c r="M66" s="29"/>
      <c r="N66" s="29"/>
      <c r="O66" s="39"/>
      <c r="P66" s="40">
        <f t="shared" si="0"/>
        <v>0</v>
      </c>
      <c r="Q66" s="40">
        <f t="shared" si="1"/>
        <v>0</v>
      </c>
      <c r="R66" s="40">
        <f t="shared" si="2"/>
        <v>0</v>
      </c>
      <c r="S66" s="41"/>
      <c r="T66" s="41"/>
      <c r="U66" s="41"/>
      <c r="V66" s="41"/>
      <c r="W66" s="41"/>
      <c r="X66" s="41"/>
      <c r="Y66" s="33">
        <f t="shared" si="3"/>
        <v>0</v>
      </c>
    </row>
    <row r="67" spans="4:25" x14ac:dyDescent="0.25">
      <c r="D67" s="69"/>
      <c r="E67" s="34"/>
      <c r="F67" s="34"/>
      <c r="H67" s="35"/>
      <c r="I67" s="36"/>
      <c r="J67" s="37"/>
      <c r="K67" s="38"/>
      <c r="L67" s="29"/>
      <c r="M67" s="29"/>
      <c r="N67" s="29"/>
      <c r="O67" s="39"/>
      <c r="P67" s="40">
        <f t="shared" ref="P67:P130" si="4">$L67*$O67</f>
        <v>0</v>
      </c>
      <c r="Q67" s="40">
        <f t="shared" si="1"/>
        <v>0</v>
      </c>
      <c r="R67" s="40">
        <f t="shared" si="2"/>
        <v>0</v>
      </c>
      <c r="S67" s="41"/>
      <c r="T67" s="41"/>
      <c r="U67" s="41"/>
      <c r="V67" s="41"/>
      <c r="W67" s="41"/>
      <c r="X67" s="41"/>
      <c r="Y67" s="33">
        <f t="shared" si="3"/>
        <v>0</v>
      </c>
    </row>
    <row r="68" spans="4:25" x14ac:dyDescent="0.25">
      <c r="D68" s="69"/>
      <c r="E68" s="34"/>
      <c r="F68" s="34"/>
      <c r="H68" s="35"/>
      <c r="I68" s="36"/>
      <c r="J68" s="37"/>
      <c r="K68" s="38"/>
      <c r="L68" s="29"/>
      <c r="M68" s="29"/>
      <c r="N68" s="29"/>
      <c r="O68" s="39"/>
      <c r="P68" s="40">
        <f t="shared" si="4"/>
        <v>0</v>
      </c>
      <c r="Q68" s="40">
        <f t="shared" ref="Q68:Q131" si="5">IF(E68="NE",(M68*O68*1.5),(M68*O68))</f>
        <v>0</v>
      </c>
      <c r="R68" s="40">
        <f t="shared" ref="R68:R131" si="6">P68+Q68</f>
        <v>0</v>
      </c>
      <c r="S68" s="41"/>
      <c r="T68" s="41"/>
      <c r="U68" s="41"/>
      <c r="V68" s="41"/>
      <c r="W68" s="41"/>
      <c r="X68" s="41"/>
      <c r="Y68" s="33">
        <f t="shared" ref="Y68:Y131" si="7">SUM(R68:X68)</f>
        <v>0</v>
      </c>
    </row>
    <row r="69" spans="4:25" x14ac:dyDescent="0.25">
      <c r="D69" s="69"/>
      <c r="E69" s="34"/>
      <c r="F69" s="34"/>
      <c r="H69" s="35"/>
      <c r="I69" s="36"/>
      <c r="J69" s="37"/>
      <c r="K69" s="38"/>
      <c r="L69" s="29"/>
      <c r="M69" s="29"/>
      <c r="N69" s="29"/>
      <c r="O69" s="39"/>
      <c r="P69" s="40">
        <f t="shared" si="4"/>
        <v>0</v>
      </c>
      <c r="Q69" s="40">
        <f t="shared" si="5"/>
        <v>0</v>
      </c>
      <c r="R69" s="40">
        <f t="shared" si="6"/>
        <v>0</v>
      </c>
      <c r="S69" s="41"/>
      <c r="T69" s="41"/>
      <c r="U69" s="41"/>
      <c r="V69" s="41"/>
      <c r="W69" s="41"/>
      <c r="X69" s="41"/>
      <c r="Y69" s="33">
        <f t="shared" si="7"/>
        <v>0</v>
      </c>
    </row>
    <row r="70" spans="4:25" x14ac:dyDescent="0.25">
      <c r="D70" s="69"/>
      <c r="E70" s="34"/>
      <c r="F70" s="34"/>
      <c r="H70" s="35"/>
      <c r="I70" s="36"/>
      <c r="J70" s="37"/>
      <c r="K70" s="38"/>
      <c r="L70" s="29"/>
      <c r="M70" s="29"/>
      <c r="N70" s="29"/>
      <c r="O70" s="39"/>
      <c r="P70" s="40">
        <f t="shared" si="4"/>
        <v>0</v>
      </c>
      <c r="Q70" s="40">
        <f t="shared" si="5"/>
        <v>0</v>
      </c>
      <c r="R70" s="40">
        <f t="shared" si="6"/>
        <v>0</v>
      </c>
      <c r="S70" s="41"/>
      <c r="T70" s="41"/>
      <c r="U70" s="41"/>
      <c r="V70" s="41"/>
      <c r="W70" s="41"/>
      <c r="X70" s="41"/>
      <c r="Y70" s="33">
        <f t="shared" si="7"/>
        <v>0</v>
      </c>
    </row>
    <row r="71" spans="4:25" x14ac:dyDescent="0.25">
      <c r="D71" s="69"/>
      <c r="E71" s="34"/>
      <c r="F71" s="34"/>
      <c r="H71" s="35"/>
      <c r="I71" s="36"/>
      <c r="J71" s="37"/>
      <c r="K71" s="38"/>
      <c r="L71" s="29"/>
      <c r="M71" s="29"/>
      <c r="N71" s="29"/>
      <c r="O71" s="39"/>
      <c r="P71" s="40">
        <f t="shared" si="4"/>
        <v>0</v>
      </c>
      <c r="Q71" s="40">
        <f t="shared" si="5"/>
        <v>0</v>
      </c>
      <c r="R71" s="40">
        <f t="shared" si="6"/>
        <v>0</v>
      </c>
      <c r="S71" s="41"/>
      <c r="T71" s="41"/>
      <c r="U71" s="41"/>
      <c r="V71" s="41"/>
      <c r="W71" s="41"/>
      <c r="X71" s="41"/>
      <c r="Y71" s="33">
        <f t="shared" si="7"/>
        <v>0</v>
      </c>
    </row>
    <row r="72" spans="4:25" x14ac:dyDescent="0.25">
      <c r="D72" s="69"/>
      <c r="E72" s="34"/>
      <c r="F72" s="34"/>
      <c r="H72" s="35"/>
      <c r="I72" s="36"/>
      <c r="J72" s="37"/>
      <c r="K72" s="38"/>
      <c r="L72" s="29"/>
      <c r="M72" s="29"/>
      <c r="N72" s="29"/>
      <c r="O72" s="39"/>
      <c r="P72" s="40">
        <f t="shared" si="4"/>
        <v>0</v>
      </c>
      <c r="Q72" s="40">
        <f t="shared" si="5"/>
        <v>0</v>
      </c>
      <c r="R72" s="40">
        <f t="shared" si="6"/>
        <v>0</v>
      </c>
      <c r="S72" s="41"/>
      <c r="T72" s="41"/>
      <c r="U72" s="41"/>
      <c r="V72" s="41"/>
      <c r="W72" s="41"/>
      <c r="X72" s="41"/>
      <c r="Y72" s="33">
        <f t="shared" si="7"/>
        <v>0</v>
      </c>
    </row>
    <row r="73" spans="4:25" x14ac:dyDescent="0.25">
      <c r="D73" s="69"/>
      <c r="E73" s="34"/>
      <c r="F73" s="34"/>
      <c r="H73" s="35"/>
      <c r="I73" s="36"/>
      <c r="J73" s="37"/>
      <c r="K73" s="38"/>
      <c r="L73" s="29"/>
      <c r="M73" s="29"/>
      <c r="N73" s="29"/>
      <c r="O73" s="39"/>
      <c r="P73" s="40">
        <f t="shared" si="4"/>
        <v>0</v>
      </c>
      <c r="Q73" s="40">
        <f t="shared" si="5"/>
        <v>0</v>
      </c>
      <c r="R73" s="40">
        <f t="shared" si="6"/>
        <v>0</v>
      </c>
      <c r="S73" s="41"/>
      <c r="T73" s="41"/>
      <c r="U73" s="41"/>
      <c r="V73" s="41"/>
      <c r="W73" s="41"/>
      <c r="X73" s="41"/>
      <c r="Y73" s="33">
        <f t="shared" si="7"/>
        <v>0</v>
      </c>
    </row>
    <row r="74" spans="4:25" x14ac:dyDescent="0.25">
      <c r="D74" s="69"/>
      <c r="E74" s="34"/>
      <c r="F74" s="34"/>
      <c r="H74" s="35"/>
      <c r="I74" s="36"/>
      <c r="J74" s="37"/>
      <c r="K74" s="38"/>
      <c r="L74" s="29"/>
      <c r="M74" s="29"/>
      <c r="N74" s="29"/>
      <c r="O74" s="39"/>
      <c r="P74" s="40">
        <f t="shared" si="4"/>
        <v>0</v>
      </c>
      <c r="Q74" s="40">
        <f t="shared" si="5"/>
        <v>0</v>
      </c>
      <c r="R74" s="40">
        <f t="shared" si="6"/>
        <v>0</v>
      </c>
      <c r="S74" s="41"/>
      <c r="T74" s="41"/>
      <c r="U74" s="41"/>
      <c r="V74" s="41"/>
      <c r="W74" s="41"/>
      <c r="X74" s="41"/>
      <c r="Y74" s="33">
        <f t="shared" si="7"/>
        <v>0</v>
      </c>
    </row>
    <row r="75" spans="4:25" x14ac:dyDescent="0.25">
      <c r="D75" s="69"/>
      <c r="E75" s="34"/>
      <c r="F75" s="34"/>
      <c r="H75" s="35"/>
      <c r="I75" s="36"/>
      <c r="J75" s="37"/>
      <c r="K75" s="38"/>
      <c r="L75" s="29"/>
      <c r="M75" s="29"/>
      <c r="N75" s="29"/>
      <c r="O75" s="39"/>
      <c r="P75" s="40">
        <f t="shared" si="4"/>
        <v>0</v>
      </c>
      <c r="Q75" s="40">
        <f t="shared" si="5"/>
        <v>0</v>
      </c>
      <c r="R75" s="40">
        <f t="shared" si="6"/>
        <v>0</v>
      </c>
      <c r="S75" s="41"/>
      <c r="T75" s="41"/>
      <c r="U75" s="41"/>
      <c r="V75" s="41"/>
      <c r="W75" s="41"/>
      <c r="X75" s="41"/>
      <c r="Y75" s="33">
        <f t="shared" si="7"/>
        <v>0</v>
      </c>
    </row>
    <row r="76" spans="4:25" x14ac:dyDescent="0.25">
      <c r="D76" s="69"/>
      <c r="E76" s="34"/>
      <c r="F76" s="34"/>
      <c r="H76" s="35"/>
      <c r="I76" s="36"/>
      <c r="J76" s="37"/>
      <c r="K76" s="38"/>
      <c r="L76" s="29"/>
      <c r="M76" s="29"/>
      <c r="N76" s="29"/>
      <c r="O76" s="39"/>
      <c r="P76" s="40">
        <f t="shared" si="4"/>
        <v>0</v>
      </c>
      <c r="Q76" s="40">
        <f t="shared" si="5"/>
        <v>0</v>
      </c>
      <c r="R76" s="40">
        <f t="shared" si="6"/>
        <v>0</v>
      </c>
      <c r="S76" s="41"/>
      <c r="T76" s="41"/>
      <c r="U76" s="41"/>
      <c r="V76" s="41"/>
      <c r="W76" s="41"/>
      <c r="X76" s="41"/>
      <c r="Y76" s="33">
        <f t="shared" si="7"/>
        <v>0</v>
      </c>
    </row>
    <row r="77" spans="4:25" x14ac:dyDescent="0.25">
      <c r="D77" s="69"/>
      <c r="E77" s="34"/>
      <c r="F77" s="34"/>
      <c r="H77" s="35"/>
      <c r="I77" s="36"/>
      <c r="J77" s="37"/>
      <c r="K77" s="38"/>
      <c r="L77" s="29"/>
      <c r="M77" s="29"/>
      <c r="N77" s="29"/>
      <c r="O77" s="39"/>
      <c r="P77" s="40">
        <f t="shared" si="4"/>
        <v>0</v>
      </c>
      <c r="Q77" s="40">
        <f t="shared" si="5"/>
        <v>0</v>
      </c>
      <c r="R77" s="40">
        <f t="shared" si="6"/>
        <v>0</v>
      </c>
      <c r="S77" s="41"/>
      <c r="T77" s="41"/>
      <c r="U77" s="41"/>
      <c r="V77" s="41"/>
      <c r="W77" s="41"/>
      <c r="X77" s="41"/>
      <c r="Y77" s="33">
        <f t="shared" si="7"/>
        <v>0</v>
      </c>
    </row>
    <row r="78" spans="4:25" x14ac:dyDescent="0.25">
      <c r="D78" s="69"/>
      <c r="E78" s="34"/>
      <c r="F78" s="34"/>
      <c r="H78" s="35"/>
      <c r="I78" s="36"/>
      <c r="J78" s="37"/>
      <c r="K78" s="38"/>
      <c r="L78" s="29"/>
      <c r="M78" s="29"/>
      <c r="N78" s="29"/>
      <c r="O78" s="39"/>
      <c r="P78" s="40">
        <f t="shared" si="4"/>
        <v>0</v>
      </c>
      <c r="Q78" s="40">
        <f t="shared" si="5"/>
        <v>0</v>
      </c>
      <c r="R78" s="40">
        <f t="shared" si="6"/>
        <v>0</v>
      </c>
      <c r="S78" s="41"/>
      <c r="T78" s="41"/>
      <c r="U78" s="41"/>
      <c r="V78" s="41"/>
      <c r="W78" s="41"/>
      <c r="X78" s="41"/>
      <c r="Y78" s="33">
        <f t="shared" si="7"/>
        <v>0</v>
      </c>
    </row>
    <row r="79" spans="4:25" x14ac:dyDescent="0.25">
      <c r="D79" s="69"/>
      <c r="E79" s="34"/>
      <c r="F79" s="34"/>
      <c r="H79" s="35"/>
      <c r="I79" s="36"/>
      <c r="J79" s="37"/>
      <c r="K79" s="38"/>
      <c r="L79" s="29"/>
      <c r="M79" s="29"/>
      <c r="N79" s="29"/>
      <c r="O79" s="39"/>
      <c r="P79" s="40">
        <f t="shared" si="4"/>
        <v>0</v>
      </c>
      <c r="Q79" s="40">
        <f t="shared" si="5"/>
        <v>0</v>
      </c>
      <c r="R79" s="40">
        <f t="shared" si="6"/>
        <v>0</v>
      </c>
      <c r="S79" s="41"/>
      <c r="T79" s="41"/>
      <c r="U79" s="41"/>
      <c r="V79" s="41"/>
      <c r="W79" s="41"/>
      <c r="X79" s="41"/>
      <c r="Y79" s="33">
        <f t="shared" si="7"/>
        <v>0</v>
      </c>
    </row>
    <row r="80" spans="4:25" x14ac:dyDescent="0.25">
      <c r="D80" s="69"/>
      <c r="E80" s="34"/>
      <c r="F80" s="34"/>
      <c r="H80" s="35"/>
      <c r="I80" s="36"/>
      <c r="J80" s="37"/>
      <c r="K80" s="38"/>
      <c r="L80" s="29"/>
      <c r="M80" s="29"/>
      <c r="N80" s="29"/>
      <c r="O80" s="39"/>
      <c r="P80" s="40">
        <f t="shared" si="4"/>
        <v>0</v>
      </c>
      <c r="Q80" s="40">
        <f t="shared" si="5"/>
        <v>0</v>
      </c>
      <c r="R80" s="40">
        <f t="shared" si="6"/>
        <v>0</v>
      </c>
      <c r="S80" s="41"/>
      <c r="T80" s="41"/>
      <c r="U80" s="41"/>
      <c r="V80" s="41"/>
      <c r="W80" s="41"/>
      <c r="X80" s="41"/>
      <c r="Y80" s="33">
        <f t="shared" si="7"/>
        <v>0</v>
      </c>
    </row>
    <row r="81" spans="4:25" x14ac:dyDescent="0.25">
      <c r="D81" s="69"/>
      <c r="E81" s="34"/>
      <c r="F81" s="34"/>
      <c r="H81" s="35"/>
      <c r="I81" s="36"/>
      <c r="J81" s="37"/>
      <c r="K81" s="38"/>
      <c r="L81" s="29"/>
      <c r="M81" s="29"/>
      <c r="N81" s="29"/>
      <c r="O81" s="39"/>
      <c r="P81" s="40">
        <f t="shared" si="4"/>
        <v>0</v>
      </c>
      <c r="Q81" s="40">
        <f t="shared" si="5"/>
        <v>0</v>
      </c>
      <c r="R81" s="40">
        <f t="shared" si="6"/>
        <v>0</v>
      </c>
      <c r="S81" s="41"/>
      <c r="T81" s="41"/>
      <c r="U81" s="41"/>
      <c r="V81" s="41"/>
      <c r="W81" s="41"/>
      <c r="X81" s="41"/>
      <c r="Y81" s="33">
        <f t="shared" si="7"/>
        <v>0</v>
      </c>
    </row>
    <row r="82" spans="4:25" x14ac:dyDescent="0.25">
      <c r="D82" s="69"/>
      <c r="E82" s="34"/>
      <c r="F82" s="34"/>
      <c r="G82" s="38"/>
      <c r="H82" s="35"/>
      <c r="I82" s="36"/>
      <c r="J82" s="37"/>
      <c r="K82" s="38"/>
      <c r="L82" s="29"/>
      <c r="M82" s="29"/>
      <c r="N82" s="29"/>
      <c r="O82" s="39"/>
      <c r="P82" s="40">
        <f t="shared" si="4"/>
        <v>0</v>
      </c>
      <c r="Q82" s="40">
        <f t="shared" si="5"/>
        <v>0</v>
      </c>
      <c r="R82" s="40">
        <f t="shared" si="6"/>
        <v>0</v>
      </c>
      <c r="S82" s="41"/>
      <c r="T82" s="41"/>
      <c r="U82" s="41"/>
      <c r="V82" s="41"/>
      <c r="W82" s="41"/>
      <c r="X82" s="41"/>
      <c r="Y82" s="33">
        <f t="shared" si="7"/>
        <v>0</v>
      </c>
    </row>
    <row r="83" spans="4:25" x14ac:dyDescent="0.25">
      <c r="D83" s="69"/>
      <c r="E83" s="34"/>
      <c r="F83" s="34"/>
      <c r="G83" s="38"/>
      <c r="H83" s="35"/>
      <c r="I83" s="36"/>
      <c r="J83" s="37"/>
      <c r="K83" s="38"/>
      <c r="L83" s="29"/>
      <c r="M83" s="29"/>
      <c r="N83" s="29"/>
      <c r="O83" s="39"/>
      <c r="P83" s="40">
        <f t="shared" si="4"/>
        <v>0</v>
      </c>
      <c r="Q83" s="40">
        <f t="shared" si="5"/>
        <v>0</v>
      </c>
      <c r="R83" s="40">
        <f t="shared" si="6"/>
        <v>0</v>
      </c>
      <c r="S83" s="41"/>
      <c r="T83" s="41"/>
      <c r="U83" s="41"/>
      <c r="V83" s="41"/>
      <c r="W83" s="41"/>
      <c r="X83" s="41"/>
      <c r="Y83" s="33">
        <f t="shared" si="7"/>
        <v>0</v>
      </c>
    </row>
    <row r="84" spans="4:25" x14ac:dyDescent="0.25">
      <c r="D84" s="69"/>
      <c r="E84" s="34"/>
      <c r="F84" s="34"/>
      <c r="H84" s="35"/>
      <c r="I84" s="36"/>
      <c r="J84" s="37"/>
      <c r="K84" s="38"/>
      <c r="L84" s="29"/>
      <c r="M84" s="29"/>
      <c r="N84" s="29"/>
      <c r="O84" s="39"/>
      <c r="P84" s="40">
        <f t="shared" si="4"/>
        <v>0</v>
      </c>
      <c r="Q84" s="40">
        <f t="shared" si="5"/>
        <v>0</v>
      </c>
      <c r="R84" s="40">
        <f t="shared" si="6"/>
        <v>0</v>
      </c>
      <c r="S84" s="41"/>
      <c r="T84" s="41"/>
      <c r="U84" s="41"/>
      <c r="V84" s="41"/>
      <c r="W84" s="41"/>
      <c r="X84" s="41"/>
      <c r="Y84" s="33">
        <f t="shared" si="7"/>
        <v>0</v>
      </c>
    </row>
    <row r="85" spans="4:25" x14ac:dyDescent="0.25">
      <c r="D85" s="69"/>
      <c r="E85" s="34"/>
      <c r="F85" s="34"/>
      <c r="H85" s="35"/>
      <c r="I85" s="36"/>
      <c r="J85" s="37"/>
      <c r="K85" s="38"/>
      <c r="L85" s="29"/>
      <c r="M85" s="29"/>
      <c r="N85" s="29"/>
      <c r="O85" s="39"/>
      <c r="P85" s="40">
        <f t="shared" si="4"/>
        <v>0</v>
      </c>
      <c r="Q85" s="40">
        <f t="shared" si="5"/>
        <v>0</v>
      </c>
      <c r="R85" s="40">
        <f t="shared" si="6"/>
        <v>0</v>
      </c>
      <c r="S85" s="41"/>
      <c r="T85" s="41"/>
      <c r="U85" s="41"/>
      <c r="V85" s="41"/>
      <c r="W85" s="41"/>
      <c r="X85" s="41"/>
      <c r="Y85" s="33">
        <f t="shared" si="7"/>
        <v>0</v>
      </c>
    </row>
    <row r="86" spans="4:25" x14ac:dyDescent="0.25">
      <c r="D86" s="69"/>
      <c r="E86" s="34"/>
      <c r="F86" s="34"/>
      <c r="H86" s="35"/>
      <c r="I86" s="36"/>
      <c r="J86" s="37"/>
      <c r="K86" s="38"/>
      <c r="L86" s="29"/>
      <c r="M86" s="29"/>
      <c r="N86" s="29"/>
      <c r="O86" s="39"/>
      <c r="P86" s="40">
        <f t="shared" si="4"/>
        <v>0</v>
      </c>
      <c r="Q86" s="40">
        <f t="shared" si="5"/>
        <v>0</v>
      </c>
      <c r="R86" s="40">
        <f t="shared" si="6"/>
        <v>0</v>
      </c>
      <c r="S86" s="41"/>
      <c r="T86" s="41"/>
      <c r="U86" s="41"/>
      <c r="V86" s="41"/>
      <c r="W86" s="41"/>
      <c r="X86" s="41"/>
      <c r="Y86" s="33">
        <f t="shared" si="7"/>
        <v>0</v>
      </c>
    </row>
    <row r="87" spans="4:25" x14ac:dyDescent="0.25">
      <c r="D87" s="69"/>
      <c r="E87" s="34"/>
      <c r="F87" s="34"/>
      <c r="H87" s="35"/>
      <c r="I87" s="36"/>
      <c r="J87" s="37"/>
      <c r="K87" s="38"/>
      <c r="L87" s="29"/>
      <c r="M87" s="29"/>
      <c r="N87" s="29"/>
      <c r="O87" s="39"/>
      <c r="P87" s="40">
        <f t="shared" si="4"/>
        <v>0</v>
      </c>
      <c r="Q87" s="40">
        <f t="shared" si="5"/>
        <v>0</v>
      </c>
      <c r="R87" s="40">
        <f t="shared" si="6"/>
        <v>0</v>
      </c>
      <c r="S87" s="41"/>
      <c r="T87" s="41"/>
      <c r="U87" s="41"/>
      <c r="V87" s="41"/>
      <c r="W87" s="41"/>
      <c r="X87" s="41"/>
      <c r="Y87" s="33">
        <f t="shared" si="7"/>
        <v>0</v>
      </c>
    </row>
    <row r="88" spans="4:25" x14ac:dyDescent="0.25">
      <c r="D88" s="69"/>
      <c r="E88" s="34"/>
      <c r="F88" s="34"/>
      <c r="H88" s="35"/>
      <c r="I88" s="36"/>
      <c r="J88" s="37"/>
      <c r="K88" s="38"/>
      <c r="L88" s="29"/>
      <c r="M88" s="29"/>
      <c r="N88" s="29"/>
      <c r="O88" s="39"/>
      <c r="P88" s="40">
        <f t="shared" si="4"/>
        <v>0</v>
      </c>
      <c r="Q88" s="40">
        <f t="shared" si="5"/>
        <v>0</v>
      </c>
      <c r="R88" s="40">
        <f t="shared" si="6"/>
        <v>0</v>
      </c>
      <c r="S88" s="41"/>
      <c r="T88" s="41"/>
      <c r="U88" s="41"/>
      <c r="V88" s="41"/>
      <c r="W88" s="41"/>
      <c r="X88" s="41"/>
      <c r="Y88" s="33">
        <f t="shared" si="7"/>
        <v>0</v>
      </c>
    </row>
    <row r="89" spans="4:25" x14ac:dyDescent="0.25">
      <c r="D89" s="69"/>
      <c r="E89" s="34"/>
      <c r="F89" s="34"/>
      <c r="H89" s="35"/>
      <c r="I89" s="36"/>
      <c r="J89" s="37"/>
      <c r="K89" s="38"/>
      <c r="L89" s="29"/>
      <c r="M89" s="29"/>
      <c r="N89" s="29"/>
      <c r="O89" s="39"/>
      <c r="P89" s="40">
        <f t="shared" si="4"/>
        <v>0</v>
      </c>
      <c r="Q89" s="40">
        <f t="shared" si="5"/>
        <v>0</v>
      </c>
      <c r="R89" s="40">
        <f t="shared" si="6"/>
        <v>0</v>
      </c>
      <c r="S89" s="41"/>
      <c r="T89" s="41"/>
      <c r="U89" s="41"/>
      <c r="V89" s="41"/>
      <c r="W89" s="41"/>
      <c r="X89" s="41"/>
      <c r="Y89" s="33">
        <f t="shared" si="7"/>
        <v>0</v>
      </c>
    </row>
    <row r="90" spans="4:25" x14ac:dyDescent="0.25">
      <c r="D90" s="69"/>
      <c r="E90" s="34"/>
      <c r="F90" s="34"/>
      <c r="H90" s="35"/>
      <c r="I90" s="36"/>
      <c r="J90" s="37"/>
      <c r="K90" s="38"/>
      <c r="L90" s="29"/>
      <c r="M90" s="29"/>
      <c r="N90" s="29"/>
      <c r="O90" s="39"/>
      <c r="P90" s="40">
        <f t="shared" si="4"/>
        <v>0</v>
      </c>
      <c r="Q90" s="40">
        <f t="shared" si="5"/>
        <v>0</v>
      </c>
      <c r="R90" s="40">
        <f t="shared" si="6"/>
        <v>0</v>
      </c>
      <c r="S90" s="41"/>
      <c r="T90" s="41"/>
      <c r="U90" s="41"/>
      <c r="V90" s="41"/>
      <c r="W90" s="41"/>
      <c r="X90" s="41"/>
      <c r="Y90" s="33">
        <f t="shared" si="7"/>
        <v>0</v>
      </c>
    </row>
    <row r="91" spans="4:25" x14ac:dyDescent="0.25">
      <c r="D91" s="69"/>
      <c r="E91" s="34"/>
      <c r="F91" s="34"/>
      <c r="H91" s="35"/>
      <c r="I91" s="36"/>
      <c r="J91" s="37"/>
      <c r="K91" s="38"/>
      <c r="L91" s="29"/>
      <c r="M91" s="29"/>
      <c r="N91" s="29"/>
      <c r="O91" s="39"/>
      <c r="P91" s="40">
        <f t="shared" si="4"/>
        <v>0</v>
      </c>
      <c r="Q91" s="40">
        <f t="shared" si="5"/>
        <v>0</v>
      </c>
      <c r="R91" s="40">
        <f t="shared" si="6"/>
        <v>0</v>
      </c>
      <c r="S91" s="41"/>
      <c r="T91" s="41"/>
      <c r="U91" s="41"/>
      <c r="V91" s="41"/>
      <c r="W91" s="41"/>
      <c r="X91" s="41"/>
      <c r="Y91" s="33">
        <f t="shared" si="7"/>
        <v>0</v>
      </c>
    </row>
    <row r="92" spans="4:25" x14ac:dyDescent="0.25">
      <c r="D92" s="69"/>
      <c r="E92" s="34"/>
      <c r="F92" s="34"/>
      <c r="H92" s="35"/>
      <c r="I92" s="36"/>
      <c r="J92" s="37"/>
      <c r="K92" s="38"/>
      <c r="L92" s="29"/>
      <c r="M92" s="29"/>
      <c r="N92" s="29"/>
      <c r="O92" s="39"/>
      <c r="P92" s="40">
        <f t="shared" si="4"/>
        <v>0</v>
      </c>
      <c r="Q92" s="40">
        <f t="shared" si="5"/>
        <v>0</v>
      </c>
      <c r="R92" s="40">
        <f t="shared" si="6"/>
        <v>0</v>
      </c>
      <c r="S92" s="41"/>
      <c r="T92" s="41"/>
      <c r="U92" s="41"/>
      <c r="V92" s="41"/>
      <c r="W92" s="41"/>
      <c r="X92" s="41"/>
      <c r="Y92" s="33">
        <f t="shared" si="7"/>
        <v>0</v>
      </c>
    </row>
    <row r="93" spans="4:25" x14ac:dyDescent="0.25">
      <c r="D93" s="69"/>
      <c r="E93" s="34"/>
      <c r="F93" s="34"/>
      <c r="H93" s="35"/>
      <c r="I93" s="36"/>
      <c r="J93" s="37"/>
      <c r="K93" s="38"/>
      <c r="L93" s="29"/>
      <c r="M93" s="29"/>
      <c r="N93" s="29"/>
      <c r="O93" s="39"/>
      <c r="P93" s="40">
        <f t="shared" si="4"/>
        <v>0</v>
      </c>
      <c r="Q93" s="40">
        <f t="shared" si="5"/>
        <v>0</v>
      </c>
      <c r="R93" s="40">
        <f t="shared" si="6"/>
        <v>0</v>
      </c>
      <c r="S93" s="41"/>
      <c r="T93" s="41"/>
      <c r="U93" s="41"/>
      <c r="V93" s="41"/>
      <c r="W93" s="41"/>
      <c r="X93" s="41"/>
      <c r="Y93" s="33">
        <f t="shared" si="7"/>
        <v>0</v>
      </c>
    </row>
    <row r="94" spans="4:25" x14ac:dyDescent="0.25">
      <c r="D94" s="69"/>
      <c r="E94" s="34"/>
      <c r="F94" s="34"/>
      <c r="H94" s="35"/>
      <c r="I94" s="36"/>
      <c r="J94" s="37"/>
      <c r="K94" s="38"/>
      <c r="L94" s="29"/>
      <c r="M94" s="29"/>
      <c r="N94" s="29"/>
      <c r="O94" s="39"/>
      <c r="P94" s="40">
        <f t="shared" si="4"/>
        <v>0</v>
      </c>
      <c r="Q94" s="40">
        <f t="shared" si="5"/>
        <v>0</v>
      </c>
      <c r="R94" s="40">
        <f t="shared" si="6"/>
        <v>0</v>
      </c>
      <c r="S94" s="41"/>
      <c r="T94" s="41"/>
      <c r="U94" s="41"/>
      <c r="V94" s="41"/>
      <c r="W94" s="41"/>
      <c r="X94" s="41"/>
      <c r="Y94" s="33">
        <f t="shared" si="7"/>
        <v>0</v>
      </c>
    </row>
    <row r="95" spans="4:25" x14ac:dyDescent="0.25">
      <c r="D95" s="69"/>
      <c r="E95" s="34"/>
      <c r="F95" s="34"/>
      <c r="H95" s="35"/>
      <c r="I95" s="36"/>
      <c r="J95" s="37"/>
      <c r="K95" s="38"/>
      <c r="L95" s="29"/>
      <c r="M95" s="29"/>
      <c r="N95" s="29"/>
      <c r="O95" s="39"/>
      <c r="P95" s="40">
        <f t="shared" si="4"/>
        <v>0</v>
      </c>
      <c r="Q95" s="40">
        <f t="shared" si="5"/>
        <v>0</v>
      </c>
      <c r="R95" s="40">
        <f t="shared" si="6"/>
        <v>0</v>
      </c>
      <c r="S95" s="41"/>
      <c r="T95" s="41"/>
      <c r="U95" s="41"/>
      <c r="V95" s="41"/>
      <c r="W95" s="41"/>
      <c r="X95" s="41"/>
      <c r="Y95" s="33">
        <f t="shared" si="7"/>
        <v>0</v>
      </c>
    </row>
    <row r="96" spans="4:25" x14ac:dyDescent="0.25">
      <c r="D96" s="69"/>
      <c r="E96" s="34"/>
      <c r="F96" s="34"/>
      <c r="H96" s="35"/>
      <c r="I96" s="36"/>
      <c r="J96" s="37"/>
      <c r="K96" s="38"/>
      <c r="L96" s="29"/>
      <c r="M96" s="29"/>
      <c r="N96" s="29"/>
      <c r="O96" s="39"/>
      <c r="P96" s="40">
        <f t="shared" si="4"/>
        <v>0</v>
      </c>
      <c r="Q96" s="40">
        <f t="shared" si="5"/>
        <v>0</v>
      </c>
      <c r="R96" s="40">
        <f t="shared" si="6"/>
        <v>0</v>
      </c>
      <c r="S96" s="41"/>
      <c r="T96" s="41"/>
      <c r="U96" s="41"/>
      <c r="V96" s="41"/>
      <c r="W96" s="41"/>
      <c r="X96" s="41"/>
      <c r="Y96" s="33">
        <f t="shared" si="7"/>
        <v>0</v>
      </c>
    </row>
    <row r="97" spans="4:25" x14ac:dyDescent="0.25">
      <c r="D97" s="69"/>
      <c r="E97" s="34"/>
      <c r="F97" s="34"/>
      <c r="H97" s="35"/>
      <c r="I97" s="36"/>
      <c r="J97" s="37"/>
      <c r="K97" s="38"/>
      <c r="L97" s="29"/>
      <c r="M97" s="29"/>
      <c r="N97" s="29"/>
      <c r="O97" s="39"/>
      <c r="P97" s="40">
        <f t="shared" si="4"/>
        <v>0</v>
      </c>
      <c r="Q97" s="40">
        <f t="shared" si="5"/>
        <v>0</v>
      </c>
      <c r="R97" s="40">
        <f t="shared" si="6"/>
        <v>0</v>
      </c>
      <c r="S97" s="41"/>
      <c r="T97" s="41"/>
      <c r="U97" s="41"/>
      <c r="V97" s="41"/>
      <c r="W97" s="41"/>
      <c r="X97" s="41"/>
      <c r="Y97" s="33">
        <f t="shared" si="7"/>
        <v>0</v>
      </c>
    </row>
    <row r="98" spans="4:25" x14ac:dyDescent="0.25">
      <c r="D98" s="69"/>
      <c r="E98" s="34"/>
      <c r="F98" s="34"/>
      <c r="H98" s="35"/>
      <c r="I98" s="36"/>
      <c r="J98" s="37"/>
      <c r="K98" s="38"/>
      <c r="L98" s="29"/>
      <c r="M98" s="29"/>
      <c r="N98" s="29"/>
      <c r="O98" s="39"/>
      <c r="P98" s="40">
        <f t="shared" si="4"/>
        <v>0</v>
      </c>
      <c r="Q98" s="40">
        <f t="shared" si="5"/>
        <v>0</v>
      </c>
      <c r="R98" s="40">
        <f t="shared" si="6"/>
        <v>0</v>
      </c>
      <c r="S98" s="41"/>
      <c r="T98" s="41"/>
      <c r="U98" s="41"/>
      <c r="V98" s="41"/>
      <c r="W98" s="41"/>
      <c r="X98" s="41"/>
      <c r="Y98" s="33">
        <f t="shared" si="7"/>
        <v>0</v>
      </c>
    </row>
    <row r="99" spans="4:25" x14ac:dyDescent="0.25">
      <c r="D99" s="69"/>
      <c r="E99" s="34"/>
      <c r="F99" s="34"/>
      <c r="H99" s="35"/>
      <c r="I99" s="36"/>
      <c r="J99" s="37"/>
      <c r="K99" s="38"/>
      <c r="L99" s="29"/>
      <c r="M99" s="29"/>
      <c r="N99" s="29"/>
      <c r="O99" s="39"/>
      <c r="P99" s="40">
        <f t="shared" si="4"/>
        <v>0</v>
      </c>
      <c r="Q99" s="40">
        <f t="shared" si="5"/>
        <v>0</v>
      </c>
      <c r="R99" s="40">
        <f t="shared" si="6"/>
        <v>0</v>
      </c>
      <c r="S99" s="41"/>
      <c r="T99" s="41"/>
      <c r="U99" s="41"/>
      <c r="V99" s="41"/>
      <c r="W99" s="41"/>
      <c r="X99" s="41"/>
      <c r="Y99" s="33">
        <f t="shared" si="7"/>
        <v>0</v>
      </c>
    </row>
    <row r="100" spans="4:25" x14ac:dyDescent="0.25">
      <c r="D100" s="69"/>
      <c r="E100" s="34"/>
      <c r="F100" s="34"/>
      <c r="H100" s="35"/>
      <c r="I100" s="36"/>
      <c r="J100" s="37"/>
      <c r="K100" s="38"/>
      <c r="L100" s="29"/>
      <c r="M100" s="29"/>
      <c r="N100" s="29"/>
      <c r="O100" s="39"/>
      <c r="P100" s="40">
        <f t="shared" si="4"/>
        <v>0</v>
      </c>
      <c r="Q100" s="40">
        <f t="shared" si="5"/>
        <v>0</v>
      </c>
      <c r="R100" s="40">
        <f t="shared" si="6"/>
        <v>0</v>
      </c>
      <c r="S100" s="41"/>
      <c r="T100" s="41"/>
      <c r="U100" s="41"/>
      <c r="V100" s="41"/>
      <c r="W100" s="41"/>
      <c r="X100" s="41"/>
      <c r="Y100" s="33">
        <f t="shared" si="7"/>
        <v>0</v>
      </c>
    </row>
    <row r="101" spans="4:25" x14ac:dyDescent="0.25">
      <c r="D101" s="69"/>
      <c r="E101" s="34"/>
      <c r="F101" s="34"/>
      <c r="H101" s="35"/>
      <c r="I101" s="36"/>
      <c r="J101" s="37"/>
      <c r="K101" s="38"/>
      <c r="L101" s="29"/>
      <c r="M101" s="29"/>
      <c r="N101" s="29"/>
      <c r="O101" s="39"/>
      <c r="P101" s="40">
        <f t="shared" si="4"/>
        <v>0</v>
      </c>
      <c r="Q101" s="40">
        <f t="shared" si="5"/>
        <v>0</v>
      </c>
      <c r="R101" s="40">
        <f t="shared" si="6"/>
        <v>0</v>
      </c>
      <c r="S101" s="41"/>
      <c r="T101" s="41"/>
      <c r="U101" s="41"/>
      <c r="V101" s="41"/>
      <c r="W101" s="41"/>
      <c r="X101" s="41"/>
      <c r="Y101" s="33">
        <f t="shared" si="7"/>
        <v>0</v>
      </c>
    </row>
    <row r="102" spans="4:25" x14ac:dyDescent="0.25">
      <c r="D102" s="69"/>
      <c r="E102" s="34"/>
      <c r="F102" s="34"/>
      <c r="H102" s="35"/>
      <c r="I102" s="36"/>
      <c r="J102" s="37"/>
      <c r="K102" s="38"/>
      <c r="L102" s="29"/>
      <c r="M102" s="29"/>
      <c r="N102" s="29"/>
      <c r="O102" s="39"/>
      <c r="P102" s="40">
        <f t="shared" si="4"/>
        <v>0</v>
      </c>
      <c r="Q102" s="40">
        <f t="shared" si="5"/>
        <v>0</v>
      </c>
      <c r="R102" s="40">
        <f t="shared" si="6"/>
        <v>0</v>
      </c>
      <c r="S102" s="41"/>
      <c r="T102" s="41"/>
      <c r="U102" s="41"/>
      <c r="V102" s="41"/>
      <c r="W102" s="41"/>
      <c r="X102" s="41"/>
      <c r="Y102" s="33">
        <f t="shared" si="7"/>
        <v>0</v>
      </c>
    </row>
    <row r="103" spans="4:25" x14ac:dyDescent="0.25">
      <c r="D103" s="69"/>
      <c r="E103" s="34"/>
      <c r="F103" s="34"/>
      <c r="H103" s="35"/>
      <c r="I103" s="36"/>
      <c r="J103" s="37"/>
      <c r="K103" s="38"/>
      <c r="L103" s="29"/>
      <c r="M103" s="29"/>
      <c r="N103" s="29"/>
      <c r="O103" s="39"/>
      <c r="P103" s="40">
        <f t="shared" si="4"/>
        <v>0</v>
      </c>
      <c r="Q103" s="40">
        <f t="shared" si="5"/>
        <v>0</v>
      </c>
      <c r="R103" s="40">
        <f t="shared" si="6"/>
        <v>0</v>
      </c>
      <c r="S103" s="41"/>
      <c r="T103" s="41"/>
      <c r="U103" s="41"/>
      <c r="V103" s="41"/>
      <c r="W103" s="41"/>
      <c r="X103" s="41"/>
      <c r="Y103" s="33">
        <f t="shared" si="7"/>
        <v>0</v>
      </c>
    </row>
    <row r="104" spans="4:25" x14ac:dyDescent="0.25">
      <c r="D104" s="69"/>
      <c r="E104" s="34"/>
      <c r="F104" s="34"/>
      <c r="H104" s="35"/>
      <c r="I104" s="36"/>
      <c r="J104" s="37"/>
      <c r="K104" s="38"/>
      <c r="L104" s="29"/>
      <c r="M104" s="29"/>
      <c r="N104" s="29"/>
      <c r="O104" s="39"/>
      <c r="P104" s="40">
        <f t="shared" si="4"/>
        <v>0</v>
      </c>
      <c r="Q104" s="40">
        <f t="shared" si="5"/>
        <v>0</v>
      </c>
      <c r="R104" s="40">
        <f t="shared" si="6"/>
        <v>0</v>
      </c>
      <c r="S104" s="41"/>
      <c r="T104" s="41"/>
      <c r="U104" s="41"/>
      <c r="V104" s="41"/>
      <c r="W104" s="41"/>
      <c r="X104" s="41"/>
      <c r="Y104" s="33">
        <f t="shared" si="7"/>
        <v>0</v>
      </c>
    </row>
    <row r="105" spans="4:25" x14ac:dyDescent="0.25">
      <c r="D105" s="69"/>
      <c r="E105" s="34"/>
      <c r="F105" s="34"/>
      <c r="H105" s="35"/>
      <c r="I105" s="36"/>
      <c r="J105" s="37"/>
      <c r="K105" s="38"/>
      <c r="L105" s="29"/>
      <c r="M105" s="29"/>
      <c r="N105" s="29"/>
      <c r="O105" s="39"/>
      <c r="P105" s="40">
        <f t="shared" si="4"/>
        <v>0</v>
      </c>
      <c r="Q105" s="40">
        <f t="shared" si="5"/>
        <v>0</v>
      </c>
      <c r="R105" s="40">
        <f t="shared" si="6"/>
        <v>0</v>
      </c>
      <c r="S105" s="41"/>
      <c r="T105" s="41"/>
      <c r="U105" s="41"/>
      <c r="V105" s="41"/>
      <c r="W105" s="41"/>
      <c r="X105" s="41"/>
      <c r="Y105" s="33">
        <f t="shared" si="7"/>
        <v>0</v>
      </c>
    </row>
    <row r="106" spans="4:25" x14ac:dyDescent="0.25">
      <c r="D106" s="69"/>
      <c r="E106" s="34"/>
      <c r="F106" s="34"/>
      <c r="H106" s="35"/>
      <c r="I106" s="36"/>
      <c r="J106" s="37"/>
      <c r="K106" s="38"/>
      <c r="L106" s="29"/>
      <c r="M106" s="29"/>
      <c r="N106" s="29"/>
      <c r="O106" s="39"/>
      <c r="P106" s="40">
        <f t="shared" si="4"/>
        <v>0</v>
      </c>
      <c r="Q106" s="40">
        <f t="shared" si="5"/>
        <v>0</v>
      </c>
      <c r="R106" s="40">
        <f t="shared" si="6"/>
        <v>0</v>
      </c>
      <c r="S106" s="41"/>
      <c r="T106" s="41"/>
      <c r="U106" s="41"/>
      <c r="V106" s="41"/>
      <c r="W106" s="41"/>
      <c r="X106" s="41"/>
      <c r="Y106" s="33">
        <f t="shared" si="7"/>
        <v>0</v>
      </c>
    </row>
    <row r="107" spans="4:25" x14ac:dyDescent="0.25">
      <c r="D107" s="69"/>
      <c r="E107" s="34"/>
      <c r="F107" s="34"/>
      <c r="H107" s="35"/>
      <c r="I107" s="36"/>
      <c r="J107" s="37"/>
      <c r="K107" s="38"/>
      <c r="L107" s="29"/>
      <c r="M107" s="29"/>
      <c r="N107" s="29"/>
      <c r="O107" s="39"/>
      <c r="P107" s="40">
        <f t="shared" si="4"/>
        <v>0</v>
      </c>
      <c r="Q107" s="40">
        <f t="shared" si="5"/>
        <v>0</v>
      </c>
      <c r="R107" s="40">
        <f t="shared" si="6"/>
        <v>0</v>
      </c>
      <c r="S107" s="41"/>
      <c r="T107" s="41"/>
      <c r="U107" s="41"/>
      <c r="V107" s="41"/>
      <c r="W107" s="41"/>
      <c r="X107" s="41"/>
      <c r="Y107" s="33">
        <f t="shared" si="7"/>
        <v>0</v>
      </c>
    </row>
    <row r="108" spans="4:25" x14ac:dyDescent="0.25">
      <c r="D108" s="69"/>
      <c r="E108" s="34"/>
      <c r="F108" s="34"/>
      <c r="H108" s="35"/>
      <c r="I108" s="36"/>
      <c r="J108" s="37"/>
      <c r="K108" s="38"/>
      <c r="L108" s="29"/>
      <c r="M108" s="29"/>
      <c r="N108" s="29"/>
      <c r="O108" s="39"/>
      <c r="P108" s="40">
        <f t="shared" si="4"/>
        <v>0</v>
      </c>
      <c r="Q108" s="40">
        <f t="shared" si="5"/>
        <v>0</v>
      </c>
      <c r="R108" s="40">
        <f t="shared" si="6"/>
        <v>0</v>
      </c>
      <c r="S108" s="41"/>
      <c r="T108" s="41"/>
      <c r="U108" s="41"/>
      <c r="V108" s="41"/>
      <c r="W108" s="41"/>
      <c r="X108" s="41"/>
      <c r="Y108" s="33">
        <f t="shared" si="7"/>
        <v>0</v>
      </c>
    </row>
    <row r="109" spans="4:25" x14ac:dyDescent="0.25">
      <c r="D109" s="69"/>
      <c r="E109" s="34"/>
      <c r="F109" s="34"/>
      <c r="H109" s="35"/>
      <c r="I109" s="36"/>
      <c r="J109" s="37"/>
      <c r="K109" s="38"/>
      <c r="L109" s="29"/>
      <c r="M109" s="29"/>
      <c r="N109" s="29"/>
      <c r="O109" s="39"/>
      <c r="P109" s="40">
        <f t="shared" si="4"/>
        <v>0</v>
      </c>
      <c r="Q109" s="40">
        <f t="shared" si="5"/>
        <v>0</v>
      </c>
      <c r="R109" s="40">
        <f t="shared" si="6"/>
        <v>0</v>
      </c>
      <c r="S109" s="41"/>
      <c r="T109" s="41"/>
      <c r="U109" s="41"/>
      <c r="V109" s="41"/>
      <c r="W109" s="41"/>
      <c r="X109" s="41"/>
      <c r="Y109" s="33">
        <f t="shared" si="7"/>
        <v>0</v>
      </c>
    </row>
    <row r="110" spans="4:25" x14ac:dyDescent="0.25">
      <c r="D110" s="69"/>
      <c r="E110" s="34"/>
      <c r="F110" s="34"/>
      <c r="H110" s="35"/>
      <c r="I110" s="36"/>
      <c r="J110" s="37"/>
      <c r="K110" s="38"/>
      <c r="L110" s="29"/>
      <c r="M110" s="29"/>
      <c r="N110" s="29"/>
      <c r="O110" s="39"/>
      <c r="P110" s="40">
        <f t="shared" si="4"/>
        <v>0</v>
      </c>
      <c r="Q110" s="40">
        <f t="shared" si="5"/>
        <v>0</v>
      </c>
      <c r="R110" s="40">
        <f t="shared" si="6"/>
        <v>0</v>
      </c>
      <c r="S110" s="41"/>
      <c r="T110" s="41"/>
      <c r="U110" s="41"/>
      <c r="V110" s="41"/>
      <c r="W110" s="41"/>
      <c r="X110" s="41"/>
      <c r="Y110" s="33">
        <f t="shared" si="7"/>
        <v>0</v>
      </c>
    </row>
    <row r="111" spans="4:25" x14ac:dyDescent="0.25">
      <c r="D111" s="69"/>
      <c r="E111" s="34"/>
      <c r="F111" s="34"/>
      <c r="H111" s="35"/>
      <c r="I111" s="36"/>
      <c r="J111" s="37"/>
      <c r="K111" s="38"/>
      <c r="L111" s="29"/>
      <c r="M111" s="29"/>
      <c r="N111" s="29"/>
      <c r="O111" s="39"/>
      <c r="P111" s="40">
        <f t="shared" si="4"/>
        <v>0</v>
      </c>
      <c r="Q111" s="40">
        <f t="shared" si="5"/>
        <v>0</v>
      </c>
      <c r="R111" s="40">
        <f t="shared" si="6"/>
        <v>0</v>
      </c>
      <c r="S111" s="41"/>
      <c r="T111" s="41"/>
      <c r="U111" s="41"/>
      <c r="V111" s="41"/>
      <c r="W111" s="41"/>
      <c r="X111" s="41"/>
      <c r="Y111" s="33">
        <f t="shared" si="7"/>
        <v>0</v>
      </c>
    </row>
    <row r="112" spans="4:25" x14ac:dyDescent="0.25">
      <c r="D112" s="69"/>
      <c r="E112" s="34"/>
      <c r="F112" s="34"/>
      <c r="H112" s="35"/>
      <c r="I112" s="36"/>
      <c r="J112" s="37"/>
      <c r="K112" s="38"/>
      <c r="L112" s="29"/>
      <c r="M112" s="29"/>
      <c r="N112" s="29"/>
      <c r="O112" s="39"/>
      <c r="P112" s="40">
        <f t="shared" si="4"/>
        <v>0</v>
      </c>
      <c r="Q112" s="40">
        <f t="shared" si="5"/>
        <v>0</v>
      </c>
      <c r="R112" s="40">
        <f t="shared" si="6"/>
        <v>0</v>
      </c>
      <c r="S112" s="41"/>
      <c r="T112" s="41"/>
      <c r="U112" s="41"/>
      <c r="V112" s="41"/>
      <c r="W112" s="41"/>
      <c r="X112" s="41"/>
      <c r="Y112" s="33">
        <f t="shared" si="7"/>
        <v>0</v>
      </c>
    </row>
    <row r="113" spans="4:25" x14ac:dyDescent="0.25">
      <c r="D113" s="69"/>
      <c r="E113" s="34"/>
      <c r="F113" s="34"/>
      <c r="H113" s="35"/>
      <c r="I113" s="36"/>
      <c r="J113" s="37"/>
      <c r="K113" s="38"/>
      <c r="L113" s="29"/>
      <c r="M113" s="29"/>
      <c r="N113" s="29"/>
      <c r="O113" s="39"/>
      <c r="P113" s="40">
        <f t="shared" si="4"/>
        <v>0</v>
      </c>
      <c r="Q113" s="40">
        <f t="shared" si="5"/>
        <v>0</v>
      </c>
      <c r="R113" s="40">
        <f t="shared" si="6"/>
        <v>0</v>
      </c>
      <c r="S113" s="41"/>
      <c r="T113" s="41"/>
      <c r="U113" s="41"/>
      <c r="V113" s="41"/>
      <c r="W113" s="41"/>
      <c r="X113" s="41"/>
      <c r="Y113" s="33">
        <f t="shared" si="7"/>
        <v>0</v>
      </c>
    </row>
    <row r="114" spans="4:25" x14ac:dyDescent="0.25">
      <c r="D114" s="69"/>
      <c r="E114" s="34"/>
      <c r="F114" s="34"/>
      <c r="H114" s="35"/>
      <c r="I114" s="36"/>
      <c r="J114" s="37"/>
      <c r="K114" s="38"/>
      <c r="L114" s="29"/>
      <c r="M114" s="29"/>
      <c r="N114" s="29"/>
      <c r="O114" s="39"/>
      <c r="P114" s="40">
        <f t="shared" si="4"/>
        <v>0</v>
      </c>
      <c r="Q114" s="40">
        <f t="shared" si="5"/>
        <v>0</v>
      </c>
      <c r="R114" s="40">
        <f t="shared" si="6"/>
        <v>0</v>
      </c>
      <c r="S114" s="41"/>
      <c r="T114" s="41"/>
      <c r="U114" s="41"/>
      <c r="V114" s="41"/>
      <c r="W114" s="41"/>
      <c r="X114" s="41"/>
      <c r="Y114" s="33">
        <f t="shared" si="7"/>
        <v>0</v>
      </c>
    </row>
    <row r="115" spans="4:25" x14ac:dyDescent="0.25">
      <c r="D115" s="69"/>
      <c r="E115" s="34"/>
      <c r="F115" s="34"/>
      <c r="H115" s="35"/>
      <c r="I115" s="36"/>
      <c r="J115" s="37"/>
      <c r="K115" s="38"/>
      <c r="L115" s="29"/>
      <c r="M115" s="29"/>
      <c r="N115" s="29"/>
      <c r="O115" s="39"/>
      <c r="P115" s="40">
        <f t="shared" si="4"/>
        <v>0</v>
      </c>
      <c r="Q115" s="40">
        <f t="shared" si="5"/>
        <v>0</v>
      </c>
      <c r="R115" s="40">
        <f t="shared" si="6"/>
        <v>0</v>
      </c>
      <c r="S115" s="41"/>
      <c r="T115" s="41"/>
      <c r="U115" s="41"/>
      <c r="V115" s="41"/>
      <c r="W115" s="41"/>
      <c r="X115" s="41"/>
      <c r="Y115" s="33">
        <f t="shared" si="7"/>
        <v>0</v>
      </c>
    </row>
    <row r="116" spans="4:25" x14ac:dyDescent="0.25">
      <c r="D116" s="69"/>
      <c r="E116" s="34"/>
      <c r="F116" s="34"/>
      <c r="H116" s="35"/>
      <c r="I116" s="36"/>
      <c r="J116" s="37"/>
      <c r="K116" s="38"/>
      <c r="L116" s="29"/>
      <c r="M116" s="29"/>
      <c r="N116" s="29"/>
      <c r="O116" s="39"/>
      <c r="P116" s="40">
        <f t="shared" si="4"/>
        <v>0</v>
      </c>
      <c r="Q116" s="40">
        <f t="shared" si="5"/>
        <v>0</v>
      </c>
      <c r="R116" s="40">
        <f t="shared" si="6"/>
        <v>0</v>
      </c>
      <c r="S116" s="41"/>
      <c r="T116" s="41"/>
      <c r="U116" s="41"/>
      <c r="V116" s="41"/>
      <c r="W116" s="41"/>
      <c r="X116" s="41"/>
      <c r="Y116" s="33">
        <f t="shared" si="7"/>
        <v>0</v>
      </c>
    </row>
    <row r="117" spans="4:25" x14ac:dyDescent="0.25">
      <c r="D117" s="69"/>
      <c r="E117" s="34"/>
      <c r="F117" s="34"/>
      <c r="H117" s="35"/>
      <c r="I117" s="36"/>
      <c r="J117" s="37"/>
      <c r="K117" s="38"/>
      <c r="L117" s="29"/>
      <c r="M117" s="29"/>
      <c r="N117" s="29"/>
      <c r="O117" s="39"/>
      <c r="P117" s="40">
        <f t="shared" si="4"/>
        <v>0</v>
      </c>
      <c r="Q117" s="40">
        <f t="shared" si="5"/>
        <v>0</v>
      </c>
      <c r="R117" s="40">
        <f t="shared" si="6"/>
        <v>0</v>
      </c>
      <c r="S117" s="41"/>
      <c r="T117" s="41"/>
      <c r="U117" s="41"/>
      <c r="V117" s="41"/>
      <c r="W117" s="41"/>
      <c r="X117" s="41"/>
      <c r="Y117" s="33">
        <f t="shared" si="7"/>
        <v>0</v>
      </c>
    </row>
    <row r="118" spans="4:25" x14ac:dyDescent="0.25">
      <c r="D118" s="69"/>
      <c r="E118" s="34"/>
      <c r="F118" s="34"/>
      <c r="H118" s="35"/>
      <c r="I118" s="36"/>
      <c r="J118" s="37"/>
      <c r="K118" s="38"/>
      <c r="L118" s="29"/>
      <c r="M118" s="29"/>
      <c r="N118" s="29"/>
      <c r="O118" s="39"/>
      <c r="P118" s="40">
        <f t="shared" si="4"/>
        <v>0</v>
      </c>
      <c r="Q118" s="40">
        <f t="shared" si="5"/>
        <v>0</v>
      </c>
      <c r="R118" s="40">
        <f t="shared" si="6"/>
        <v>0</v>
      </c>
      <c r="S118" s="41"/>
      <c r="T118" s="41"/>
      <c r="U118" s="41"/>
      <c r="V118" s="41"/>
      <c r="W118" s="41"/>
      <c r="X118" s="41"/>
      <c r="Y118" s="33">
        <f t="shared" si="7"/>
        <v>0</v>
      </c>
    </row>
    <row r="119" spans="4:25" x14ac:dyDescent="0.25">
      <c r="D119" s="69"/>
      <c r="E119" s="34"/>
      <c r="F119" s="34"/>
      <c r="H119" s="35"/>
      <c r="I119" s="36"/>
      <c r="J119" s="37"/>
      <c r="K119" s="38"/>
      <c r="L119" s="29"/>
      <c r="M119" s="29"/>
      <c r="N119" s="29"/>
      <c r="O119" s="39"/>
      <c r="P119" s="40">
        <f t="shared" si="4"/>
        <v>0</v>
      </c>
      <c r="Q119" s="40">
        <f t="shared" si="5"/>
        <v>0</v>
      </c>
      <c r="R119" s="40">
        <f t="shared" si="6"/>
        <v>0</v>
      </c>
      <c r="S119" s="41"/>
      <c r="T119" s="41"/>
      <c r="U119" s="41"/>
      <c r="V119" s="41"/>
      <c r="W119" s="41"/>
      <c r="X119" s="41"/>
      <c r="Y119" s="33">
        <f t="shared" si="7"/>
        <v>0</v>
      </c>
    </row>
    <row r="120" spans="4:25" x14ac:dyDescent="0.25">
      <c r="D120" s="69"/>
      <c r="E120" s="34"/>
      <c r="F120" s="34"/>
      <c r="H120" s="35"/>
      <c r="I120" s="36"/>
      <c r="J120" s="37"/>
      <c r="K120" s="38"/>
      <c r="L120" s="29"/>
      <c r="M120" s="29"/>
      <c r="N120" s="29"/>
      <c r="O120" s="39"/>
      <c r="P120" s="40">
        <f t="shared" si="4"/>
        <v>0</v>
      </c>
      <c r="Q120" s="40">
        <f t="shared" si="5"/>
        <v>0</v>
      </c>
      <c r="R120" s="40">
        <f t="shared" si="6"/>
        <v>0</v>
      </c>
      <c r="S120" s="41"/>
      <c r="T120" s="41"/>
      <c r="U120" s="41"/>
      <c r="V120" s="41"/>
      <c r="W120" s="41"/>
      <c r="X120" s="41"/>
      <c r="Y120" s="33">
        <f t="shared" si="7"/>
        <v>0</v>
      </c>
    </row>
    <row r="121" spans="4:25" x14ac:dyDescent="0.25">
      <c r="D121" s="69"/>
      <c r="E121" s="34"/>
      <c r="F121" s="34"/>
      <c r="H121" s="35"/>
      <c r="I121" s="36"/>
      <c r="J121" s="37"/>
      <c r="K121" s="38"/>
      <c r="L121" s="29"/>
      <c r="M121" s="29"/>
      <c r="N121" s="29"/>
      <c r="O121" s="39"/>
      <c r="P121" s="40">
        <f t="shared" si="4"/>
        <v>0</v>
      </c>
      <c r="Q121" s="40">
        <f t="shared" si="5"/>
        <v>0</v>
      </c>
      <c r="R121" s="40">
        <f t="shared" si="6"/>
        <v>0</v>
      </c>
      <c r="S121" s="41"/>
      <c r="T121" s="41"/>
      <c r="U121" s="41"/>
      <c r="V121" s="41"/>
      <c r="W121" s="41"/>
      <c r="X121" s="41"/>
      <c r="Y121" s="33">
        <f t="shared" si="7"/>
        <v>0</v>
      </c>
    </row>
    <row r="122" spans="4:25" x14ac:dyDescent="0.25">
      <c r="D122" s="69"/>
      <c r="E122" s="34"/>
      <c r="F122" s="34"/>
      <c r="H122" s="35"/>
      <c r="I122" s="36"/>
      <c r="J122" s="37"/>
      <c r="K122" s="38"/>
      <c r="L122" s="29"/>
      <c r="M122" s="29"/>
      <c r="N122" s="29"/>
      <c r="O122" s="39"/>
      <c r="P122" s="40">
        <f t="shared" si="4"/>
        <v>0</v>
      </c>
      <c r="Q122" s="40">
        <f t="shared" si="5"/>
        <v>0</v>
      </c>
      <c r="R122" s="40">
        <f t="shared" si="6"/>
        <v>0</v>
      </c>
      <c r="S122" s="41"/>
      <c r="T122" s="41"/>
      <c r="U122" s="41"/>
      <c r="V122" s="41"/>
      <c r="W122" s="41"/>
      <c r="X122" s="41"/>
      <c r="Y122" s="33">
        <f t="shared" si="7"/>
        <v>0</v>
      </c>
    </row>
    <row r="123" spans="4:25" x14ac:dyDescent="0.25">
      <c r="D123" s="69"/>
      <c r="E123" s="34"/>
      <c r="F123" s="34"/>
      <c r="H123" s="35"/>
      <c r="I123" s="36"/>
      <c r="J123" s="37"/>
      <c r="K123" s="38"/>
      <c r="L123" s="29"/>
      <c r="M123" s="29"/>
      <c r="N123" s="29"/>
      <c r="O123" s="39"/>
      <c r="P123" s="40">
        <f t="shared" si="4"/>
        <v>0</v>
      </c>
      <c r="Q123" s="40">
        <f t="shared" si="5"/>
        <v>0</v>
      </c>
      <c r="R123" s="40">
        <f t="shared" si="6"/>
        <v>0</v>
      </c>
      <c r="S123" s="41"/>
      <c r="T123" s="41"/>
      <c r="U123" s="41"/>
      <c r="V123" s="41"/>
      <c r="W123" s="41"/>
      <c r="X123" s="41"/>
      <c r="Y123" s="33">
        <f t="shared" si="7"/>
        <v>0</v>
      </c>
    </row>
    <row r="124" spans="4:25" x14ac:dyDescent="0.25">
      <c r="D124" s="69"/>
      <c r="E124" s="34"/>
      <c r="F124" s="34"/>
      <c r="H124" s="35"/>
      <c r="I124" s="36"/>
      <c r="J124" s="37"/>
      <c r="K124" s="38"/>
      <c r="L124" s="29"/>
      <c r="M124" s="29"/>
      <c r="N124" s="29"/>
      <c r="O124" s="39"/>
      <c r="P124" s="40">
        <f t="shared" si="4"/>
        <v>0</v>
      </c>
      <c r="Q124" s="40">
        <f t="shared" si="5"/>
        <v>0</v>
      </c>
      <c r="R124" s="40">
        <f t="shared" si="6"/>
        <v>0</v>
      </c>
      <c r="S124" s="41"/>
      <c r="T124" s="41"/>
      <c r="U124" s="41"/>
      <c r="V124" s="41"/>
      <c r="W124" s="41"/>
      <c r="X124" s="41"/>
      <c r="Y124" s="33">
        <f t="shared" si="7"/>
        <v>0</v>
      </c>
    </row>
    <row r="125" spans="4:25" x14ac:dyDescent="0.25">
      <c r="D125" s="69"/>
      <c r="E125" s="34"/>
      <c r="F125" s="34"/>
      <c r="H125" s="35"/>
      <c r="I125" s="36"/>
      <c r="J125" s="37"/>
      <c r="K125" s="38"/>
      <c r="L125" s="29"/>
      <c r="M125" s="29"/>
      <c r="N125" s="29"/>
      <c r="O125" s="39"/>
      <c r="P125" s="40">
        <f t="shared" si="4"/>
        <v>0</v>
      </c>
      <c r="Q125" s="40">
        <f t="shared" si="5"/>
        <v>0</v>
      </c>
      <c r="R125" s="40">
        <f t="shared" si="6"/>
        <v>0</v>
      </c>
      <c r="S125" s="41"/>
      <c r="T125" s="41"/>
      <c r="U125" s="41"/>
      <c r="V125" s="41"/>
      <c r="W125" s="41"/>
      <c r="X125" s="41"/>
      <c r="Y125" s="33">
        <f t="shared" si="7"/>
        <v>0</v>
      </c>
    </row>
    <row r="126" spans="4:25" x14ac:dyDescent="0.25">
      <c r="D126" s="69"/>
      <c r="E126" s="34"/>
      <c r="F126" s="34"/>
      <c r="H126" s="35"/>
      <c r="I126" s="36"/>
      <c r="J126" s="37"/>
      <c r="K126" s="38"/>
      <c r="L126" s="29"/>
      <c r="M126" s="29"/>
      <c r="N126" s="29"/>
      <c r="O126" s="39"/>
      <c r="P126" s="40">
        <f t="shared" si="4"/>
        <v>0</v>
      </c>
      <c r="Q126" s="40">
        <f t="shared" si="5"/>
        <v>0</v>
      </c>
      <c r="R126" s="40">
        <f t="shared" si="6"/>
        <v>0</v>
      </c>
      <c r="S126" s="41"/>
      <c r="T126" s="41"/>
      <c r="U126" s="41"/>
      <c r="V126" s="41"/>
      <c r="W126" s="41"/>
      <c r="X126" s="41"/>
      <c r="Y126" s="33">
        <f t="shared" si="7"/>
        <v>0</v>
      </c>
    </row>
    <row r="127" spans="4:25" x14ac:dyDescent="0.25">
      <c r="D127" s="69"/>
      <c r="E127" s="34"/>
      <c r="F127" s="34"/>
      <c r="H127" s="35"/>
      <c r="I127" s="36"/>
      <c r="J127" s="37"/>
      <c r="K127" s="38"/>
      <c r="L127" s="29"/>
      <c r="M127" s="29"/>
      <c r="N127" s="29"/>
      <c r="O127" s="39"/>
      <c r="P127" s="40">
        <f t="shared" si="4"/>
        <v>0</v>
      </c>
      <c r="Q127" s="40">
        <f t="shared" si="5"/>
        <v>0</v>
      </c>
      <c r="R127" s="40">
        <f t="shared" si="6"/>
        <v>0</v>
      </c>
      <c r="S127" s="41"/>
      <c r="T127" s="41"/>
      <c r="U127" s="41"/>
      <c r="V127" s="41"/>
      <c r="W127" s="41"/>
      <c r="X127" s="41"/>
      <c r="Y127" s="33">
        <f t="shared" si="7"/>
        <v>0</v>
      </c>
    </row>
    <row r="128" spans="4:25" x14ac:dyDescent="0.25">
      <c r="D128" s="69"/>
      <c r="E128" s="34"/>
      <c r="F128" s="34"/>
      <c r="H128" s="35"/>
      <c r="I128" s="36"/>
      <c r="J128" s="37"/>
      <c r="K128" s="38"/>
      <c r="L128" s="29"/>
      <c r="M128" s="29"/>
      <c r="N128" s="29"/>
      <c r="O128" s="39"/>
      <c r="P128" s="40">
        <f t="shared" si="4"/>
        <v>0</v>
      </c>
      <c r="Q128" s="40">
        <f t="shared" si="5"/>
        <v>0</v>
      </c>
      <c r="R128" s="40">
        <f t="shared" si="6"/>
        <v>0</v>
      </c>
      <c r="S128" s="41"/>
      <c r="T128" s="41"/>
      <c r="U128" s="41"/>
      <c r="V128" s="41"/>
      <c r="W128" s="41"/>
      <c r="X128" s="41"/>
      <c r="Y128" s="33">
        <f t="shared" si="7"/>
        <v>0</v>
      </c>
    </row>
    <row r="129" spans="4:25" x14ac:dyDescent="0.25">
      <c r="D129" s="69"/>
      <c r="E129" s="34"/>
      <c r="F129" s="34"/>
      <c r="H129" s="35"/>
      <c r="I129" s="36"/>
      <c r="J129" s="37"/>
      <c r="K129" s="38"/>
      <c r="L129" s="29"/>
      <c r="M129" s="29"/>
      <c r="N129" s="29"/>
      <c r="O129" s="39"/>
      <c r="P129" s="40">
        <f t="shared" si="4"/>
        <v>0</v>
      </c>
      <c r="Q129" s="40">
        <f t="shared" si="5"/>
        <v>0</v>
      </c>
      <c r="R129" s="40">
        <f t="shared" si="6"/>
        <v>0</v>
      </c>
      <c r="S129" s="41"/>
      <c r="T129" s="41"/>
      <c r="U129" s="41"/>
      <c r="V129" s="41"/>
      <c r="W129" s="41"/>
      <c r="X129" s="41"/>
      <c r="Y129" s="33">
        <f t="shared" si="7"/>
        <v>0</v>
      </c>
    </row>
    <row r="130" spans="4:25" x14ac:dyDescent="0.25">
      <c r="D130" s="69"/>
      <c r="E130" s="34"/>
      <c r="F130" s="34"/>
      <c r="H130" s="35"/>
      <c r="I130" s="36"/>
      <c r="J130" s="37"/>
      <c r="K130" s="38"/>
      <c r="L130" s="29"/>
      <c r="M130" s="29"/>
      <c r="N130" s="29"/>
      <c r="O130" s="39"/>
      <c r="P130" s="40">
        <f t="shared" si="4"/>
        <v>0</v>
      </c>
      <c r="Q130" s="40">
        <f t="shared" si="5"/>
        <v>0</v>
      </c>
      <c r="R130" s="40">
        <f t="shared" si="6"/>
        <v>0</v>
      </c>
      <c r="S130" s="41"/>
      <c r="T130" s="41"/>
      <c r="U130" s="41"/>
      <c r="V130" s="41"/>
      <c r="W130" s="41"/>
      <c r="X130" s="41"/>
      <c r="Y130" s="33">
        <f t="shared" si="7"/>
        <v>0</v>
      </c>
    </row>
    <row r="131" spans="4:25" x14ac:dyDescent="0.25">
      <c r="D131" s="69"/>
      <c r="E131" s="34"/>
      <c r="F131" s="34"/>
      <c r="H131" s="35"/>
      <c r="I131" s="36"/>
      <c r="J131" s="37"/>
      <c r="K131" s="38"/>
      <c r="L131" s="29"/>
      <c r="M131" s="29"/>
      <c r="N131" s="29"/>
      <c r="O131" s="39"/>
      <c r="P131" s="40">
        <f t="shared" ref="P131:P194" si="8">$L131*$O131</f>
        <v>0</v>
      </c>
      <c r="Q131" s="40">
        <f t="shared" si="5"/>
        <v>0</v>
      </c>
      <c r="R131" s="40">
        <f t="shared" si="6"/>
        <v>0</v>
      </c>
      <c r="S131" s="41"/>
      <c r="T131" s="41"/>
      <c r="U131" s="41"/>
      <c r="V131" s="41"/>
      <c r="W131" s="41"/>
      <c r="X131" s="41"/>
      <c r="Y131" s="33">
        <f t="shared" si="7"/>
        <v>0</v>
      </c>
    </row>
    <row r="132" spans="4:25" x14ac:dyDescent="0.25">
      <c r="D132" s="69"/>
      <c r="E132" s="34"/>
      <c r="F132" s="34"/>
      <c r="H132" s="35"/>
      <c r="I132" s="36"/>
      <c r="J132" s="37"/>
      <c r="K132" s="38"/>
      <c r="L132" s="29"/>
      <c r="M132" s="29"/>
      <c r="N132" s="29"/>
      <c r="O132" s="39"/>
      <c r="P132" s="40">
        <f t="shared" si="8"/>
        <v>0</v>
      </c>
      <c r="Q132" s="40">
        <f t="shared" ref="Q132:Q195" si="9">IF(E132="NE",(M132*O132*1.5),(M132*O132))</f>
        <v>0</v>
      </c>
      <c r="R132" s="40">
        <f t="shared" ref="R132:R195" si="10">P132+Q132</f>
        <v>0</v>
      </c>
      <c r="S132" s="41"/>
      <c r="T132" s="41"/>
      <c r="U132" s="41"/>
      <c r="V132" s="41"/>
      <c r="W132" s="41"/>
      <c r="X132" s="41"/>
      <c r="Y132" s="33">
        <f t="shared" ref="Y132:Y195" si="11">SUM(R132:X132)</f>
        <v>0</v>
      </c>
    </row>
    <row r="133" spans="4:25" x14ac:dyDescent="0.25">
      <c r="D133" s="69"/>
      <c r="E133" s="34"/>
      <c r="F133" s="34"/>
      <c r="H133" s="35"/>
      <c r="I133" s="36"/>
      <c r="J133" s="37"/>
      <c r="K133" s="38"/>
      <c r="L133" s="29"/>
      <c r="M133" s="29"/>
      <c r="N133" s="29"/>
      <c r="O133" s="39"/>
      <c r="P133" s="40">
        <f t="shared" si="8"/>
        <v>0</v>
      </c>
      <c r="Q133" s="40">
        <f t="shared" si="9"/>
        <v>0</v>
      </c>
      <c r="R133" s="40">
        <f t="shared" si="10"/>
        <v>0</v>
      </c>
      <c r="S133" s="41"/>
      <c r="T133" s="41"/>
      <c r="U133" s="41"/>
      <c r="V133" s="41"/>
      <c r="W133" s="41"/>
      <c r="X133" s="41"/>
      <c r="Y133" s="33">
        <f t="shared" si="11"/>
        <v>0</v>
      </c>
    </row>
    <row r="134" spans="4:25" x14ac:dyDescent="0.25">
      <c r="D134" s="69"/>
      <c r="E134" s="34"/>
      <c r="F134" s="34"/>
      <c r="H134" s="35"/>
      <c r="I134" s="36"/>
      <c r="J134" s="37"/>
      <c r="K134" s="38"/>
      <c r="L134" s="29"/>
      <c r="M134" s="29"/>
      <c r="N134" s="29"/>
      <c r="O134" s="39"/>
      <c r="P134" s="40">
        <f t="shared" si="8"/>
        <v>0</v>
      </c>
      <c r="Q134" s="40">
        <f t="shared" si="9"/>
        <v>0</v>
      </c>
      <c r="R134" s="40">
        <f t="shared" si="10"/>
        <v>0</v>
      </c>
      <c r="S134" s="41"/>
      <c r="T134" s="41"/>
      <c r="U134" s="41"/>
      <c r="V134" s="41"/>
      <c r="W134" s="41"/>
      <c r="X134" s="41"/>
      <c r="Y134" s="33">
        <f t="shared" si="11"/>
        <v>0</v>
      </c>
    </row>
    <row r="135" spans="4:25" x14ac:dyDescent="0.25">
      <c r="D135" s="69"/>
      <c r="E135" s="34"/>
      <c r="F135" s="34"/>
      <c r="H135" s="35"/>
      <c r="I135" s="36"/>
      <c r="J135" s="37"/>
      <c r="K135" s="38"/>
      <c r="L135" s="29"/>
      <c r="M135" s="29"/>
      <c r="N135" s="29"/>
      <c r="O135" s="39"/>
      <c r="P135" s="40">
        <f t="shared" si="8"/>
        <v>0</v>
      </c>
      <c r="Q135" s="40">
        <f t="shared" si="9"/>
        <v>0</v>
      </c>
      <c r="R135" s="40">
        <f t="shared" si="10"/>
        <v>0</v>
      </c>
      <c r="S135" s="41"/>
      <c r="T135" s="41"/>
      <c r="U135" s="41"/>
      <c r="V135" s="41"/>
      <c r="W135" s="41"/>
      <c r="X135" s="41"/>
      <c r="Y135" s="33">
        <f t="shared" si="11"/>
        <v>0</v>
      </c>
    </row>
    <row r="136" spans="4:25" x14ac:dyDescent="0.25">
      <c r="D136" s="69"/>
      <c r="E136" s="34"/>
      <c r="F136" s="34"/>
      <c r="H136" s="35"/>
      <c r="I136" s="36"/>
      <c r="J136" s="37"/>
      <c r="K136" s="38"/>
      <c r="L136" s="29"/>
      <c r="M136" s="29"/>
      <c r="N136" s="29"/>
      <c r="O136" s="39"/>
      <c r="P136" s="40">
        <f t="shared" si="8"/>
        <v>0</v>
      </c>
      <c r="Q136" s="40">
        <f t="shared" si="9"/>
        <v>0</v>
      </c>
      <c r="R136" s="40">
        <f t="shared" si="10"/>
        <v>0</v>
      </c>
      <c r="S136" s="41"/>
      <c r="T136" s="41"/>
      <c r="U136" s="41"/>
      <c r="V136" s="41"/>
      <c r="W136" s="41"/>
      <c r="X136" s="41"/>
      <c r="Y136" s="33">
        <f t="shared" si="11"/>
        <v>0</v>
      </c>
    </row>
    <row r="137" spans="4:25" x14ac:dyDescent="0.25">
      <c r="D137" s="69"/>
      <c r="E137" s="34"/>
      <c r="F137" s="34"/>
      <c r="H137" s="35"/>
      <c r="I137" s="36"/>
      <c r="J137" s="37"/>
      <c r="K137" s="38"/>
      <c r="L137" s="29"/>
      <c r="M137" s="29"/>
      <c r="N137" s="29"/>
      <c r="O137" s="39"/>
      <c r="P137" s="40">
        <f t="shared" si="8"/>
        <v>0</v>
      </c>
      <c r="Q137" s="40">
        <f t="shared" si="9"/>
        <v>0</v>
      </c>
      <c r="R137" s="40">
        <f t="shared" si="10"/>
        <v>0</v>
      </c>
      <c r="S137" s="41"/>
      <c r="T137" s="41"/>
      <c r="U137" s="41"/>
      <c r="V137" s="41"/>
      <c r="W137" s="41"/>
      <c r="X137" s="41"/>
      <c r="Y137" s="33">
        <f t="shared" si="11"/>
        <v>0</v>
      </c>
    </row>
    <row r="138" spans="4:25" x14ac:dyDescent="0.25">
      <c r="D138" s="69"/>
      <c r="E138" s="34"/>
      <c r="F138" s="34"/>
      <c r="H138" s="35"/>
      <c r="I138" s="36"/>
      <c r="J138" s="37"/>
      <c r="K138" s="38"/>
      <c r="L138" s="29"/>
      <c r="M138" s="29"/>
      <c r="N138" s="29"/>
      <c r="O138" s="39"/>
      <c r="P138" s="40">
        <f t="shared" si="8"/>
        <v>0</v>
      </c>
      <c r="Q138" s="40">
        <f t="shared" si="9"/>
        <v>0</v>
      </c>
      <c r="R138" s="40">
        <f t="shared" si="10"/>
        <v>0</v>
      </c>
      <c r="S138" s="41"/>
      <c r="T138" s="41"/>
      <c r="U138" s="41"/>
      <c r="V138" s="41"/>
      <c r="W138" s="41"/>
      <c r="X138" s="41"/>
      <c r="Y138" s="33">
        <f t="shared" si="11"/>
        <v>0</v>
      </c>
    </row>
    <row r="139" spans="4:25" x14ac:dyDescent="0.25">
      <c r="D139" s="69"/>
      <c r="E139" s="34"/>
      <c r="F139" s="34"/>
      <c r="H139" s="35"/>
      <c r="I139" s="36"/>
      <c r="J139" s="37"/>
      <c r="K139" s="38"/>
      <c r="L139" s="29"/>
      <c r="M139" s="29"/>
      <c r="N139" s="29"/>
      <c r="O139" s="39"/>
      <c r="P139" s="40">
        <f t="shared" si="8"/>
        <v>0</v>
      </c>
      <c r="Q139" s="40">
        <f t="shared" si="9"/>
        <v>0</v>
      </c>
      <c r="R139" s="40">
        <f t="shared" si="10"/>
        <v>0</v>
      </c>
      <c r="S139" s="41"/>
      <c r="T139" s="41"/>
      <c r="U139" s="41"/>
      <c r="V139" s="41"/>
      <c r="W139" s="41"/>
      <c r="X139" s="41"/>
      <c r="Y139" s="33">
        <f t="shared" si="11"/>
        <v>0</v>
      </c>
    </row>
    <row r="140" spans="4:25" x14ac:dyDescent="0.25">
      <c r="D140" s="69"/>
      <c r="E140" s="34"/>
      <c r="F140" s="34"/>
      <c r="H140" s="35"/>
      <c r="I140" s="36"/>
      <c r="J140" s="37"/>
      <c r="K140" s="38"/>
      <c r="L140" s="29"/>
      <c r="M140" s="29"/>
      <c r="N140" s="29"/>
      <c r="O140" s="39"/>
      <c r="P140" s="40">
        <f t="shared" si="8"/>
        <v>0</v>
      </c>
      <c r="Q140" s="40">
        <f t="shared" si="9"/>
        <v>0</v>
      </c>
      <c r="R140" s="40">
        <f t="shared" si="10"/>
        <v>0</v>
      </c>
      <c r="S140" s="41"/>
      <c r="T140" s="41"/>
      <c r="U140" s="41"/>
      <c r="V140" s="41"/>
      <c r="W140" s="41"/>
      <c r="X140" s="41"/>
      <c r="Y140" s="33">
        <f t="shared" si="11"/>
        <v>0</v>
      </c>
    </row>
    <row r="141" spans="4:25" x14ac:dyDescent="0.25">
      <c r="D141" s="69"/>
      <c r="E141" s="34"/>
      <c r="F141" s="34"/>
      <c r="H141" s="35"/>
      <c r="I141" s="36"/>
      <c r="J141" s="37"/>
      <c r="K141" s="38"/>
      <c r="L141" s="29"/>
      <c r="M141" s="29"/>
      <c r="N141" s="29"/>
      <c r="O141" s="39"/>
      <c r="P141" s="40">
        <f t="shared" si="8"/>
        <v>0</v>
      </c>
      <c r="Q141" s="40">
        <f t="shared" si="9"/>
        <v>0</v>
      </c>
      <c r="R141" s="40">
        <f t="shared" si="10"/>
        <v>0</v>
      </c>
      <c r="S141" s="41"/>
      <c r="T141" s="41"/>
      <c r="U141" s="41"/>
      <c r="V141" s="41"/>
      <c r="W141" s="41"/>
      <c r="X141" s="41"/>
      <c r="Y141" s="33">
        <f t="shared" si="11"/>
        <v>0</v>
      </c>
    </row>
    <row r="142" spans="4:25" x14ac:dyDescent="0.25">
      <c r="D142" s="69"/>
      <c r="E142" s="34"/>
      <c r="F142" s="34"/>
      <c r="G142" s="38"/>
      <c r="H142" s="35"/>
      <c r="I142" s="36"/>
      <c r="J142" s="37"/>
      <c r="K142" s="38"/>
      <c r="L142" s="29"/>
      <c r="M142" s="29"/>
      <c r="N142" s="29"/>
      <c r="O142" s="39"/>
      <c r="P142" s="40">
        <f t="shared" si="8"/>
        <v>0</v>
      </c>
      <c r="Q142" s="40">
        <f t="shared" si="9"/>
        <v>0</v>
      </c>
      <c r="R142" s="40">
        <f t="shared" si="10"/>
        <v>0</v>
      </c>
      <c r="S142" s="41"/>
      <c r="T142" s="41"/>
      <c r="U142" s="41"/>
      <c r="V142" s="41"/>
      <c r="W142" s="41"/>
      <c r="X142" s="41"/>
      <c r="Y142" s="33">
        <f t="shared" si="11"/>
        <v>0</v>
      </c>
    </row>
    <row r="143" spans="4:25" x14ac:dyDescent="0.25">
      <c r="D143" s="69"/>
      <c r="E143" s="34"/>
      <c r="F143" s="34"/>
      <c r="G143" s="38"/>
      <c r="H143" s="35"/>
      <c r="I143" s="36"/>
      <c r="J143" s="37"/>
      <c r="K143" s="38"/>
      <c r="L143" s="29"/>
      <c r="M143" s="29"/>
      <c r="N143" s="29"/>
      <c r="O143" s="39"/>
      <c r="P143" s="40">
        <f t="shared" si="8"/>
        <v>0</v>
      </c>
      <c r="Q143" s="40">
        <f t="shared" si="9"/>
        <v>0</v>
      </c>
      <c r="R143" s="40">
        <f t="shared" si="10"/>
        <v>0</v>
      </c>
      <c r="S143" s="41"/>
      <c r="T143" s="41"/>
      <c r="U143" s="41"/>
      <c r="V143" s="41"/>
      <c r="W143" s="41"/>
      <c r="X143" s="41"/>
      <c r="Y143" s="33">
        <f t="shared" si="11"/>
        <v>0</v>
      </c>
    </row>
    <row r="144" spans="4:25" x14ac:dyDescent="0.25">
      <c r="D144" s="69"/>
      <c r="E144" s="34"/>
      <c r="F144" s="34"/>
      <c r="H144" s="35"/>
      <c r="I144" s="36"/>
      <c r="J144" s="37"/>
      <c r="K144" s="38"/>
      <c r="L144" s="29"/>
      <c r="M144" s="29"/>
      <c r="N144" s="29"/>
      <c r="O144" s="39"/>
      <c r="P144" s="40">
        <f t="shared" si="8"/>
        <v>0</v>
      </c>
      <c r="Q144" s="40">
        <f t="shared" si="9"/>
        <v>0</v>
      </c>
      <c r="R144" s="40">
        <f t="shared" si="10"/>
        <v>0</v>
      </c>
      <c r="S144" s="41"/>
      <c r="T144" s="41"/>
      <c r="U144" s="41"/>
      <c r="V144" s="41"/>
      <c r="W144" s="41"/>
      <c r="X144" s="41"/>
      <c r="Y144" s="33">
        <f t="shared" si="11"/>
        <v>0</v>
      </c>
    </row>
    <row r="145" spans="4:25" x14ac:dyDescent="0.25">
      <c r="D145" s="69"/>
      <c r="E145" s="34"/>
      <c r="F145" s="34"/>
      <c r="H145" s="35"/>
      <c r="I145" s="36"/>
      <c r="J145" s="37"/>
      <c r="K145" s="38"/>
      <c r="L145" s="29"/>
      <c r="M145" s="29"/>
      <c r="N145" s="29"/>
      <c r="O145" s="39"/>
      <c r="P145" s="40">
        <f t="shared" si="8"/>
        <v>0</v>
      </c>
      <c r="Q145" s="40">
        <f t="shared" si="9"/>
        <v>0</v>
      </c>
      <c r="R145" s="40">
        <f t="shared" si="10"/>
        <v>0</v>
      </c>
      <c r="S145" s="41"/>
      <c r="T145" s="41"/>
      <c r="U145" s="41"/>
      <c r="V145" s="41"/>
      <c r="W145" s="41"/>
      <c r="X145" s="41"/>
      <c r="Y145" s="33">
        <f t="shared" si="11"/>
        <v>0</v>
      </c>
    </row>
    <row r="146" spans="4:25" x14ac:dyDescent="0.25">
      <c r="D146" s="69"/>
      <c r="E146" s="34"/>
      <c r="F146" s="34"/>
      <c r="H146" s="35"/>
      <c r="I146" s="36"/>
      <c r="J146" s="37"/>
      <c r="K146" s="38"/>
      <c r="L146" s="29"/>
      <c r="M146" s="29"/>
      <c r="N146" s="29"/>
      <c r="O146" s="39"/>
      <c r="P146" s="40">
        <f t="shared" si="8"/>
        <v>0</v>
      </c>
      <c r="Q146" s="40">
        <f t="shared" si="9"/>
        <v>0</v>
      </c>
      <c r="R146" s="40">
        <f t="shared" si="10"/>
        <v>0</v>
      </c>
      <c r="S146" s="41"/>
      <c r="T146" s="41"/>
      <c r="U146" s="41"/>
      <c r="V146" s="41"/>
      <c r="W146" s="41"/>
      <c r="X146" s="41"/>
      <c r="Y146" s="33">
        <f t="shared" si="11"/>
        <v>0</v>
      </c>
    </row>
    <row r="147" spans="4:25" x14ac:dyDescent="0.25">
      <c r="D147" s="69"/>
      <c r="E147" s="34"/>
      <c r="F147" s="34"/>
      <c r="H147" s="35"/>
      <c r="I147" s="36"/>
      <c r="J147" s="37"/>
      <c r="K147" s="38"/>
      <c r="L147" s="29"/>
      <c r="M147" s="29"/>
      <c r="N147" s="29"/>
      <c r="O147" s="39"/>
      <c r="P147" s="40">
        <f t="shared" si="8"/>
        <v>0</v>
      </c>
      <c r="Q147" s="40">
        <f t="shared" si="9"/>
        <v>0</v>
      </c>
      <c r="R147" s="40">
        <f t="shared" si="10"/>
        <v>0</v>
      </c>
      <c r="S147" s="41"/>
      <c r="T147" s="41"/>
      <c r="U147" s="41"/>
      <c r="V147" s="41"/>
      <c r="W147" s="41"/>
      <c r="X147" s="41"/>
      <c r="Y147" s="33">
        <f t="shared" si="11"/>
        <v>0</v>
      </c>
    </row>
    <row r="148" spans="4:25" x14ac:dyDescent="0.25">
      <c r="D148" s="69"/>
      <c r="E148" s="34"/>
      <c r="F148" s="34"/>
      <c r="H148" s="35"/>
      <c r="I148" s="36"/>
      <c r="J148" s="37"/>
      <c r="K148" s="38"/>
      <c r="L148" s="29"/>
      <c r="M148" s="29"/>
      <c r="N148" s="29"/>
      <c r="O148" s="39"/>
      <c r="P148" s="40">
        <f t="shared" si="8"/>
        <v>0</v>
      </c>
      <c r="Q148" s="40">
        <f t="shared" si="9"/>
        <v>0</v>
      </c>
      <c r="R148" s="40">
        <f t="shared" si="10"/>
        <v>0</v>
      </c>
      <c r="S148" s="41"/>
      <c r="T148" s="41"/>
      <c r="U148" s="41"/>
      <c r="V148" s="41"/>
      <c r="W148" s="41"/>
      <c r="X148" s="41"/>
      <c r="Y148" s="33">
        <f t="shared" si="11"/>
        <v>0</v>
      </c>
    </row>
    <row r="149" spans="4:25" x14ac:dyDescent="0.25">
      <c r="D149" s="69"/>
      <c r="E149" s="34"/>
      <c r="F149" s="34"/>
      <c r="H149" s="35"/>
      <c r="I149" s="36"/>
      <c r="J149" s="37"/>
      <c r="K149" s="38"/>
      <c r="L149" s="29"/>
      <c r="M149" s="29"/>
      <c r="N149" s="29"/>
      <c r="O149" s="39"/>
      <c r="P149" s="40">
        <f t="shared" si="8"/>
        <v>0</v>
      </c>
      <c r="Q149" s="40">
        <f t="shared" si="9"/>
        <v>0</v>
      </c>
      <c r="R149" s="40">
        <f t="shared" si="10"/>
        <v>0</v>
      </c>
      <c r="S149" s="41"/>
      <c r="T149" s="41"/>
      <c r="U149" s="41"/>
      <c r="V149" s="41"/>
      <c r="W149" s="41"/>
      <c r="X149" s="41"/>
      <c r="Y149" s="33">
        <f t="shared" si="11"/>
        <v>0</v>
      </c>
    </row>
    <row r="150" spans="4:25" x14ac:dyDescent="0.25">
      <c r="D150" s="69"/>
      <c r="E150" s="34"/>
      <c r="F150" s="34"/>
      <c r="H150" s="35"/>
      <c r="I150" s="36"/>
      <c r="J150" s="37"/>
      <c r="K150" s="38"/>
      <c r="L150" s="29"/>
      <c r="M150" s="29"/>
      <c r="N150" s="29"/>
      <c r="O150" s="39"/>
      <c r="P150" s="40">
        <f t="shared" si="8"/>
        <v>0</v>
      </c>
      <c r="Q150" s="40">
        <f t="shared" si="9"/>
        <v>0</v>
      </c>
      <c r="R150" s="40">
        <f t="shared" si="10"/>
        <v>0</v>
      </c>
      <c r="S150" s="41"/>
      <c r="T150" s="41"/>
      <c r="U150" s="41"/>
      <c r="V150" s="41"/>
      <c r="W150" s="41"/>
      <c r="X150" s="41"/>
      <c r="Y150" s="33">
        <f t="shared" si="11"/>
        <v>0</v>
      </c>
    </row>
    <row r="151" spans="4:25" x14ac:dyDescent="0.25">
      <c r="D151" s="69"/>
      <c r="E151" s="34"/>
      <c r="F151" s="34"/>
      <c r="H151" s="35"/>
      <c r="I151" s="36"/>
      <c r="J151" s="37"/>
      <c r="K151" s="38"/>
      <c r="L151" s="29"/>
      <c r="M151" s="29"/>
      <c r="N151" s="29"/>
      <c r="O151" s="39"/>
      <c r="P151" s="40">
        <f t="shared" si="8"/>
        <v>0</v>
      </c>
      <c r="Q151" s="40">
        <f t="shared" si="9"/>
        <v>0</v>
      </c>
      <c r="R151" s="40">
        <f t="shared" si="10"/>
        <v>0</v>
      </c>
      <c r="S151" s="41"/>
      <c r="T151" s="41"/>
      <c r="U151" s="41"/>
      <c r="V151" s="41"/>
      <c r="W151" s="41"/>
      <c r="X151" s="41"/>
      <c r="Y151" s="33">
        <f t="shared" si="11"/>
        <v>0</v>
      </c>
    </row>
    <row r="152" spans="4:25" x14ac:dyDescent="0.25">
      <c r="D152" s="69"/>
      <c r="E152" s="34"/>
      <c r="F152" s="34"/>
      <c r="H152" s="35"/>
      <c r="I152" s="36"/>
      <c r="J152" s="37"/>
      <c r="K152" s="38"/>
      <c r="L152" s="29"/>
      <c r="M152" s="29"/>
      <c r="N152" s="29"/>
      <c r="O152" s="39"/>
      <c r="P152" s="40">
        <f t="shared" si="8"/>
        <v>0</v>
      </c>
      <c r="Q152" s="40">
        <f t="shared" si="9"/>
        <v>0</v>
      </c>
      <c r="R152" s="40">
        <f t="shared" si="10"/>
        <v>0</v>
      </c>
      <c r="S152" s="41"/>
      <c r="T152" s="41"/>
      <c r="U152" s="41"/>
      <c r="V152" s="41"/>
      <c r="W152" s="41"/>
      <c r="X152" s="41"/>
      <c r="Y152" s="33">
        <f t="shared" si="11"/>
        <v>0</v>
      </c>
    </row>
    <row r="153" spans="4:25" x14ac:dyDescent="0.25">
      <c r="D153" s="69"/>
      <c r="E153" s="34"/>
      <c r="F153" s="34"/>
      <c r="H153" s="35"/>
      <c r="I153" s="36"/>
      <c r="J153" s="37"/>
      <c r="K153" s="38"/>
      <c r="L153" s="29"/>
      <c r="M153" s="29"/>
      <c r="N153" s="29"/>
      <c r="O153" s="39"/>
      <c r="P153" s="40">
        <f t="shared" si="8"/>
        <v>0</v>
      </c>
      <c r="Q153" s="40">
        <f t="shared" si="9"/>
        <v>0</v>
      </c>
      <c r="R153" s="40">
        <f t="shared" si="10"/>
        <v>0</v>
      </c>
      <c r="S153" s="41"/>
      <c r="T153" s="41"/>
      <c r="U153" s="41"/>
      <c r="V153" s="41"/>
      <c r="W153" s="41"/>
      <c r="X153" s="41"/>
      <c r="Y153" s="33">
        <f t="shared" si="11"/>
        <v>0</v>
      </c>
    </row>
    <row r="154" spans="4:25" x14ac:dyDescent="0.25">
      <c r="D154" s="69"/>
      <c r="E154" s="34"/>
      <c r="F154" s="34"/>
      <c r="H154" s="35"/>
      <c r="I154" s="36"/>
      <c r="J154" s="37"/>
      <c r="K154" s="38"/>
      <c r="L154" s="29"/>
      <c r="M154" s="29"/>
      <c r="N154" s="29"/>
      <c r="O154" s="39"/>
      <c r="P154" s="40">
        <f t="shared" si="8"/>
        <v>0</v>
      </c>
      <c r="Q154" s="40">
        <f t="shared" si="9"/>
        <v>0</v>
      </c>
      <c r="R154" s="40">
        <f t="shared" si="10"/>
        <v>0</v>
      </c>
      <c r="S154" s="41"/>
      <c r="T154" s="41"/>
      <c r="U154" s="41"/>
      <c r="V154" s="41"/>
      <c r="W154" s="41"/>
      <c r="X154" s="41"/>
      <c r="Y154" s="33">
        <f t="shared" si="11"/>
        <v>0</v>
      </c>
    </row>
    <row r="155" spans="4:25" x14ac:dyDescent="0.25">
      <c r="D155" s="69"/>
      <c r="E155" s="34"/>
      <c r="F155" s="34"/>
      <c r="H155" s="35"/>
      <c r="I155" s="36"/>
      <c r="J155" s="37"/>
      <c r="K155" s="38"/>
      <c r="L155" s="29"/>
      <c r="M155" s="29"/>
      <c r="N155" s="29"/>
      <c r="O155" s="39"/>
      <c r="P155" s="40">
        <f t="shared" si="8"/>
        <v>0</v>
      </c>
      <c r="Q155" s="40">
        <f t="shared" si="9"/>
        <v>0</v>
      </c>
      <c r="R155" s="40">
        <f t="shared" si="10"/>
        <v>0</v>
      </c>
      <c r="S155" s="41"/>
      <c r="T155" s="41"/>
      <c r="U155" s="41"/>
      <c r="V155" s="41"/>
      <c r="W155" s="41"/>
      <c r="X155" s="41"/>
      <c r="Y155" s="33">
        <f t="shared" si="11"/>
        <v>0</v>
      </c>
    </row>
    <row r="156" spans="4:25" x14ac:dyDescent="0.25">
      <c r="D156" s="69"/>
      <c r="E156" s="34"/>
      <c r="F156" s="34"/>
      <c r="H156" s="35"/>
      <c r="I156" s="36"/>
      <c r="J156" s="37"/>
      <c r="K156" s="38"/>
      <c r="L156" s="29"/>
      <c r="M156" s="29"/>
      <c r="N156" s="29"/>
      <c r="O156" s="39"/>
      <c r="P156" s="40">
        <f t="shared" si="8"/>
        <v>0</v>
      </c>
      <c r="Q156" s="40">
        <f t="shared" si="9"/>
        <v>0</v>
      </c>
      <c r="R156" s="40">
        <f t="shared" si="10"/>
        <v>0</v>
      </c>
      <c r="S156" s="41"/>
      <c r="T156" s="41"/>
      <c r="U156" s="41"/>
      <c r="V156" s="41"/>
      <c r="W156" s="41"/>
      <c r="X156" s="41"/>
      <c r="Y156" s="33">
        <f t="shared" si="11"/>
        <v>0</v>
      </c>
    </row>
    <row r="157" spans="4:25" x14ac:dyDescent="0.25">
      <c r="D157" s="69"/>
      <c r="E157" s="34"/>
      <c r="F157" s="34"/>
      <c r="H157" s="35"/>
      <c r="I157" s="36"/>
      <c r="J157" s="37"/>
      <c r="K157" s="38"/>
      <c r="L157" s="29"/>
      <c r="M157" s="29"/>
      <c r="N157" s="29"/>
      <c r="O157" s="39"/>
      <c r="P157" s="40">
        <f t="shared" si="8"/>
        <v>0</v>
      </c>
      <c r="Q157" s="40">
        <f t="shared" si="9"/>
        <v>0</v>
      </c>
      <c r="R157" s="40">
        <f t="shared" si="10"/>
        <v>0</v>
      </c>
      <c r="S157" s="41"/>
      <c r="T157" s="41"/>
      <c r="U157" s="41"/>
      <c r="V157" s="41"/>
      <c r="W157" s="41"/>
      <c r="X157" s="41"/>
      <c r="Y157" s="33">
        <f t="shared" si="11"/>
        <v>0</v>
      </c>
    </row>
    <row r="158" spans="4:25" x14ac:dyDescent="0.25">
      <c r="D158" s="69"/>
      <c r="E158" s="34"/>
      <c r="F158" s="34"/>
      <c r="H158" s="35"/>
      <c r="I158" s="36"/>
      <c r="J158" s="37"/>
      <c r="K158" s="38"/>
      <c r="L158" s="29"/>
      <c r="M158" s="29"/>
      <c r="N158" s="29"/>
      <c r="O158" s="39"/>
      <c r="P158" s="40">
        <f t="shared" si="8"/>
        <v>0</v>
      </c>
      <c r="Q158" s="40">
        <f t="shared" si="9"/>
        <v>0</v>
      </c>
      <c r="R158" s="40">
        <f t="shared" si="10"/>
        <v>0</v>
      </c>
      <c r="S158" s="41"/>
      <c r="T158" s="41"/>
      <c r="U158" s="41"/>
      <c r="V158" s="41"/>
      <c r="W158" s="41"/>
      <c r="X158" s="41"/>
      <c r="Y158" s="33">
        <f t="shared" si="11"/>
        <v>0</v>
      </c>
    </row>
    <row r="159" spans="4:25" x14ac:dyDescent="0.25">
      <c r="D159" s="69"/>
      <c r="E159" s="34"/>
      <c r="F159" s="34"/>
      <c r="H159" s="35"/>
      <c r="I159" s="36"/>
      <c r="J159" s="37"/>
      <c r="K159" s="38"/>
      <c r="L159" s="29"/>
      <c r="M159" s="29"/>
      <c r="N159" s="29"/>
      <c r="O159" s="39"/>
      <c r="P159" s="40">
        <f t="shared" si="8"/>
        <v>0</v>
      </c>
      <c r="Q159" s="40">
        <f t="shared" si="9"/>
        <v>0</v>
      </c>
      <c r="R159" s="40">
        <f t="shared" si="10"/>
        <v>0</v>
      </c>
      <c r="S159" s="41"/>
      <c r="T159" s="41"/>
      <c r="U159" s="41"/>
      <c r="V159" s="41"/>
      <c r="W159" s="41"/>
      <c r="X159" s="41"/>
      <c r="Y159" s="33">
        <f t="shared" si="11"/>
        <v>0</v>
      </c>
    </row>
    <row r="160" spans="4:25" x14ac:dyDescent="0.25">
      <c r="D160" s="69"/>
      <c r="E160" s="34"/>
      <c r="F160" s="34"/>
      <c r="H160" s="35"/>
      <c r="I160" s="36"/>
      <c r="J160" s="37"/>
      <c r="K160" s="38"/>
      <c r="L160" s="29"/>
      <c r="M160" s="29"/>
      <c r="N160" s="29"/>
      <c r="O160" s="39"/>
      <c r="P160" s="40">
        <f t="shared" si="8"/>
        <v>0</v>
      </c>
      <c r="Q160" s="40">
        <f t="shared" si="9"/>
        <v>0</v>
      </c>
      <c r="R160" s="40">
        <f t="shared" si="10"/>
        <v>0</v>
      </c>
      <c r="S160" s="41"/>
      <c r="T160" s="41"/>
      <c r="U160" s="41"/>
      <c r="V160" s="41"/>
      <c r="W160" s="41"/>
      <c r="X160" s="41"/>
      <c r="Y160" s="33">
        <f t="shared" si="11"/>
        <v>0</v>
      </c>
    </row>
    <row r="161" spans="4:25" x14ac:dyDescent="0.25">
      <c r="D161" s="69"/>
      <c r="E161" s="34"/>
      <c r="F161" s="34"/>
      <c r="H161" s="35"/>
      <c r="I161" s="36"/>
      <c r="J161" s="37"/>
      <c r="K161" s="38"/>
      <c r="L161" s="29"/>
      <c r="M161" s="29"/>
      <c r="N161" s="29"/>
      <c r="O161" s="39"/>
      <c r="P161" s="40">
        <f t="shared" si="8"/>
        <v>0</v>
      </c>
      <c r="Q161" s="40">
        <f t="shared" si="9"/>
        <v>0</v>
      </c>
      <c r="R161" s="40">
        <f t="shared" si="10"/>
        <v>0</v>
      </c>
      <c r="S161" s="41"/>
      <c r="T161" s="41"/>
      <c r="U161" s="41"/>
      <c r="V161" s="41"/>
      <c r="W161" s="41"/>
      <c r="X161" s="41"/>
      <c r="Y161" s="33">
        <f t="shared" si="11"/>
        <v>0</v>
      </c>
    </row>
    <row r="162" spans="4:25" x14ac:dyDescent="0.25">
      <c r="D162" s="69"/>
      <c r="E162" s="34"/>
      <c r="F162" s="34"/>
      <c r="H162" s="35"/>
      <c r="I162" s="36"/>
      <c r="J162" s="37"/>
      <c r="K162" s="38"/>
      <c r="L162" s="29"/>
      <c r="M162" s="29"/>
      <c r="N162" s="29"/>
      <c r="O162" s="39"/>
      <c r="P162" s="40">
        <f t="shared" si="8"/>
        <v>0</v>
      </c>
      <c r="Q162" s="40">
        <f t="shared" si="9"/>
        <v>0</v>
      </c>
      <c r="R162" s="40">
        <f t="shared" si="10"/>
        <v>0</v>
      </c>
      <c r="S162" s="41"/>
      <c r="T162" s="41"/>
      <c r="U162" s="41"/>
      <c r="V162" s="41"/>
      <c r="W162" s="41"/>
      <c r="X162" s="41"/>
      <c r="Y162" s="33">
        <f t="shared" si="11"/>
        <v>0</v>
      </c>
    </row>
    <row r="163" spans="4:25" x14ac:dyDescent="0.25">
      <c r="D163" s="69"/>
      <c r="E163" s="34"/>
      <c r="F163" s="34"/>
      <c r="H163" s="35"/>
      <c r="I163" s="36"/>
      <c r="J163" s="37"/>
      <c r="K163" s="38"/>
      <c r="L163" s="29"/>
      <c r="M163" s="29"/>
      <c r="N163" s="29"/>
      <c r="O163" s="39"/>
      <c r="P163" s="40">
        <f t="shared" si="8"/>
        <v>0</v>
      </c>
      <c r="Q163" s="40">
        <f t="shared" si="9"/>
        <v>0</v>
      </c>
      <c r="R163" s="40">
        <f t="shared" si="10"/>
        <v>0</v>
      </c>
      <c r="S163" s="41"/>
      <c r="T163" s="41"/>
      <c r="U163" s="41"/>
      <c r="V163" s="41"/>
      <c r="W163" s="41"/>
      <c r="X163" s="41"/>
      <c r="Y163" s="33">
        <f t="shared" si="11"/>
        <v>0</v>
      </c>
    </row>
    <row r="164" spans="4:25" x14ac:dyDescent="0.25">
      <c r="D164" s="69"/>
      <c r="E164" s="34"/>
      <c r="F164" s="34"/>
      <c r="H164" s="35"/>
      <c r="I164" s="36"/>
      <c r="J164" s="37"/>
      <c r="K164" s="38"/>
      <c r="L164" s="29"/>
      <c r="M164" s="29"/>
      <c r="N164" s="29"/>
      <c r="O164" s="39"/>
      <c r="P164" s="40">
        <f t="shared" si="8"/>
        <v>0</v>
      </c>
      <c r="Q164" s="40">
        <f t="shared" si="9"/>
        <v>0</v>
      </c>
      <c r="R164" s="40">
        <f t="shared" si="10"/>
        <v>0</v>
      </c>
      <c r="S164" s="41"/>
      <c r="T164" s="41"/>
      <c r="U164" s="41"/>
      <c r="V164" s="41"/>
      <c r="W164" s="41"/>
      <c r="X164" s="41"/>
      <c r="Y164" s="33">
        <f t="shared" si="11"/>
        <v>0</v>
      </c>
    </row>
    <row r="165" spans="4:25" x14ac:dyDescent="0.25">
      <c r="D165" s="69"/>
      <c r="E165" s="34"/>
      <c r="F165" s="34"/>
      <c r="H165" s="35"/>
      <c r="I165" s="36"/>
      <c r="J165" s="37"/>
      <c r="K165" s="38"/>
      <c r="L165" s="29"/>
      <c r="M165" s="29"/>
      <c r="N165" s="29"/>
      <c r="O165" s="39"/>
      <c r="P165" s="40">
        <f t="shared" si="8"/>
        <v>0</v>
      </c>
      <c r="Q165" s="40">
        <f t="shared" si="9"/>
        <v>0</v>
      </c>
      <c r="R165" s="40">
        <f t="shared" si="10"/>
        <v>0</v>
      </c>
      <c r="S165" s="41"/>
      <c r="T165" s="41"/>
      <c r="U165" s="41"/>
      <c r="V165" s="41"/>
      <c r="W165" s="41"/>
      <c r="X165" s="41"/>
      <c r="Y165" s="33">
        <f t="shared" si="11"/>
        <v>0</v>
      </c>
    </row>
    <row r="166" spans="4:25" x14ac:dyDescent="0.25">
      <c r="D166" s="69"/>
      <c r="E166" s="34"/>
      <c r="F166" s="34"/>
      <c r="H166" s="35"/>
      <c r="I166" s="36"/>
      <c r="J166" s="37"/>
      <c r="K166" s="38"/>
      <c r="L166" s="29"/>
      <c r="M166" s="29"/>
      <c r="N166" s="29"/>
      <c r="O166" s="39"/>
      <c r="P166" s="40">
        <f t="shared" si="8"/>
        <v>0</v>
      </c>
      <c r="Q166" s="40">
        <f t="shared" si="9"/>
        <v>0</v>
      </c>
      <c r="R166" s="40">
        <f t="shared" si="10"/>
        <v>0</v>
      </c>
      <c r="S166" s="41"/>
      <c r="T166" s="41"/>
      <c r="U166" s="41"/>
      <c r="V166" s="41"/>
      <c r="W166" s="41"/>
      <c r="X166" s="41"/>
      <c r="Y166" s="33">
        <f t="shared" si="11"/>
        <v>0</v>
      </c>
    </row>
    <row r="167" spans="4:25" x14ac:dyDescent="0.25">
      <c r="D167" s="69"/>
      <c r="E167" s="34"/>
      <c r="F167" s="34"/>
      <c r="H167" s="35"/>
      <c r="I167" s="36"/>
      <c r="J167" s="37"/>
      <c r="K167" s="38"/>
      <c r="L167" s="29"/>
      <c r="M167" s="29"/>
      <c r="N167" s="29"/>
      <c r="O167" s="39"/>
      <c r="P167" s="40">
        <f t="shared" si="8"/>
        <v>0</v>
      </c>
      <c r="Q167" s="40">
        <f t="shared" si="9"/>
        <v>0</v>
      </c>
      <c r="R167" s="40">
        <f t="shared" si="10"/>
        <v>0</v>
      </c>
      <c r="S167" s="41"/>
      <c r="T167" s="41"/>
      <c r="U167" s="41"/>
      <c r="V167" s="41"/>
      <c r="W167" s="41"/>
      <c r="X167" s="41"/>
      <c r="Y167" s="33">
        <f t="shared" si="11"/>
        <v>0</v>
      </c>
    </row>
    <row r="168" spans="4:25" x14ac:dyDescent="0.25">
      <c r="D168" s="69"/>
      <c r="E168" s="34"/>
      <c r="F168" s="34"/>
      <c r="H168" s="35"/>
      <c r="I168" s="36"/>
      <c r="J168" s="37"/>
      <c r="K168" s="38"/>
      <c r="L168" s="29"/>
      <c r="M168" s="29"/>
      <c r="N168" s="29"/>
      <c r="O168" s="39"/>
      <c r="P168" s="40">
        <f t="shared" si="8"/>
        <v>0</v>
      </c>
      <c r="Q168" s="40">
        <f t="shared" si="9"/>
        <v>0</v>
      </c>
      <c r="R168" s="40">
        <f t="shared" si="10"/>
        <v>0</v>
      </c>
      <c r="S168" s="41"/>
      <c r="T168" s="41"/>
      <c r="U168" s="41"/>
      <c r="V168" s="41"/>
      <c r="W168" s="41"/>
      <c r="X168" s="41"/>
      <c r="Y168" s="33">
        <f t="shared" si="11"/>
        <v>0</v>
      </c>
    </row>
    <row r="169" spans="4:25" x14ac:dyDescent="0.25">
      <c r="D169" s="69"/>
      <c r="E169" s="34"/>
      <c r="F169" s="34"/>
      <c r="H169" s="35"/>
      <c r="I169" s="36"/>
      <c r="J169" s="37"/>
      <c r="K169" s="38"/>
      <c r="L169" s="29"/>
      <c r="M169" s="29"/>
      <c r="N169" s="29"/>
      <c r="O169" s="39"/>
      <c r="P169" s="40">
        <f t="shared" si="8"/>
        <v>0</v>
      </c>
      <c r="Q169" s="40">
        <f t="shared" si="9"/>
        <v>0</v>
      </c>
      <c r="R169" s="40">
        <f t="shared" si="10"/>
        <v>0</v>
      </c>
      <c r="S169" s="41"/>
      <c r="T169" s="41"/>
      <c r="U169" s="41"/>
      <c r="V169" s="41"/>
      <c r="W169" s="41"/>
      <c r="X169" s="41"/>
      <c r="Y169" s="33">
        <f t="shared" si="11"/>
        <v>0</v>
      </c>
    </row>
    <row r="170" spans="4:25" x14ac:dyDescent="0.25">
      <c r="D170" s="69"/>
      <c r="E170" s="34"/>
      <c r="F170" s="34"/>
      <c r="H170" s="35"/>
      <c r="I170" s="36"/>
      <c r="J170" s="37"/>
      <c r="K170" s="38"/>
      <c r="L170" s="29"/>
      <c r="M170" s="29"/>
      <c r="N170" s="29"/>
      <c r="O170" s="39"/>
      <c r="P170" s="40">
        <f t="shared" si="8"/>
        <v>0</v>
      </c>
      <c r="Q170" s="40">
        <f t="shared" si="9"/>
        <v>0</v>
      </c>
      <c r="R170" s="40">
        <f t="shared" si="10"/>
        <v>0</v>
      </c>
      <c r="S170" s="41"/>
      <c r="T170" s="41"/>
      <c r="U170" s="41"/>
      <c r="V170" s="41"/>
      <c r="W170" s="41"/>
      <c r="X170" s="41"/>
      <c r="Y170" s="33">
        <f t="shared" si="11"/>
        <v>0</v>
      </c>
    </row>
    <row r="171" spans="4:25" x14ac:dyDescent="0.25">
      <c r="D171" s="69"/>
      <c r="E171" s="34"/>
      <c r="F171" s="34"/>
      <c r="H171" s="35"/>
      <c r="I171" s="36"/>
      <c r="J171" s="37"/>
      <c r="K171" s="38"/>
      <c r="L171" s="29"/>
      <c r="M171" s="29"/>
      <c r="N171" s="29"/>
      <c r="O171" s="39"/>
      <c r="P171" s="40">
        <f t="shared" si="8"/>
        <v>0</v>
      </c>
      <c r="Q171" s="40">
        <f t="shared" si="9"/>
        <v>0</v>
      </c>
      <c r="R171" s="40">
        <f t="shared" si="10"/>
        <v>0</v>
      </c>
      <c r="S171" s="41"/>
      <c r="T171" s="41"/>
      <c r="U171" s="41"/>
      <c r="V171" s="41"/>
      <c r="W171" s="41"/>
      <c r="X171" s="41"/>
      <c r="Y171" s="33">
        <f t="shared" si="11"/>
        <v>0</v>
      </c>
    </row>
    <row r="172" spans="4:25" x14ac:dyDescent="0.25">
      <c r="D172" s="69"/>
      <c r="E172" s="34"/>
      <c r="F172" s="34"/>
      <c r="H172" s="35"/>
      <c r="I172" s="36"/>
      <c r="J172" s="37"/>
      <c r="K172" s="38"/>
      <c r="L172" s="29"/>
      <c r="M172" s="29"/>
      <c r="N172" s="29"/>
      <c r="O172" s="39"/>
      <c r="P172" s="40">
        <f t="shared" si="8"/>
        <v>0</v>
      </c>
      <c r="Q172" s="40">
        <f t="shared" si="9"/>
        <v>0</v>
      </c>
      <c r="R172" s="40">
        <f t="shared" si="10"/>
        <v>0</v>
      </c>
      <c r="S172" s="41"/>
      <c r="T172" s="41"/>
      <c r="U172" s="41"/>
      <c r="V172" s="41"/>
      <c r="W172" s="41"/>
      <c r="X172" s="41"/>
      <c r="Y172" s="33">
        <f t="shared" si="11"/>
        <v>0</v>
      </c>
    </row>
    <row r="173" spans="4:25" x14ac:dyDescent="0.25">
      <c r="D173" s="69"/>
      <c r="E173" s="34"/>
      <c r="F173" s="34"/>
      <c r="H173" s="35"/>
      <c r="I173" s="36"/>
      <c r="J173" s="37"/>
      <c r="K173" s="38"/>
      <c r="L173" s="29"/>
      <c r="M173" s="29"/>
      <c r="N173" s="29"/>
      <c r="O173" s="39"/>
      <c r="P173" s="40">
        <f t="shared" si="8"/>
        <v>0</v>
      </c>
      <c r="Q173" s="40">
        <f t="shared" si="9"/>
        <v>0</v>
      </c>
      <c r="R173" s="40">
        <f t="shared" si="10"/>
        <v>0</v>
      </c>
      <c r="S173" s="41"/>
      <c r="T173" s="41"/>
      <c r="U173" s="41"/>
      <c r="V173" s="41"/>
      <c r="W173" s="41"/>
      <c r="X173" s="41"/>
      <c r="Y173" s="33">
        <f t="shared" si="11"/>
        <v>0</v>
      </c>
    </row>
    <row r="174" spans="4:25" x14ac:dyDescent="0.25">
      <c r="D174" s="69"/>
      <c r="E174" s="34"/>
      <c r="F174" s="34"/>
      <c r="H174" s="35"/>
      <c r="I174" s="36"/>
      <c r="J174" s="37"/>
      <c r="K174" s="38"/>
      <c r="L174" s="29"/>
      <c r="M174" s="29"/>
      <c r="N174" s="29"/>
      <c r="O174" s="39"/>
      <c r="P174" s="40">
        <f t="shared" si="8"/>
        <v>0</v>
      </c>
      <c r="Q174" s="40">
        <f t="shared" si="9"/>
        <v>0</v>
      </c>
      <c r="R174" s="40">
        <f t="shared" si="10"/>
        <v>0</v>
      </c>
      <c r="S174" s="41"/>
      <c r="T174" s="41"/>
      <c r="U174" s="41"/>
      <c r="V174" s="41"/>
      <c r="W174" s="41"/>
      <c r="X174" s="41"/>
      <c r="Y174" s="33">
        <f t="shared" si="11"/>
        <v>0</v>
      </c>
    </row>
    <row r="175" spans="4:25" x14ac:dyDescent="0.25">
      <c r="D175" s="69"/>
      <c r="E175" s="34"/>
      <c r="F175" s="34"/>
      <c r="H175" s="35"/>
      <c r="I175" s="36"/>
      <c r="J175" s="37"/>
      <c r="K175" s="38"/>
      <c r="L175" s="29"/>
      <c r="M175" s="29"/>
      <c r="N175" s="29"/>
      <c r="O175" s="39"/>
      <c r="P175" s="40">
        <f t="shared" si="8"/>
        <v>0</v>
      </c>
      <c r="Q175" s="40">
        <f t="shared" si="9"/>
        <v>0</v>
      </c>
      <c r="R175" s="40">
        <f t="shared" si="10"/>
        <v>0</v>
      </c>
      <c r="S175" s="41"/>
      <c r="T175" s="41"/>
      <c r="U175" s="41"/>
      <c r="V175" s="41"/>
      <c r="W175" s="41"/>
      <c r="X175" s="41"/>
      <c r="Y175" s="33">
        <f t="shared" si="11"/>
        <v>0</v>
      </c>
    </row>
    <row r="176" spans="4:25" x14ac:dyDescent="0.25">
      <c r="D176" s="69"/>
      <c r="E176" s="34"/>
      <c r="F176" s="34"/>
      <c r="H176" s="35"/>
      <c r="I176" s="36"/>
      <c r="J176" s="37"/>
      <c r="K176" s="38"/>
      <c r="L176" s="29"/>
      <c r="M176" s="29"/>
      <c r="N176" s="29"/>
      <c r="O176" s="39"/>
      <c r="P176" s="40">
        <f t="shared" si="8"/>
        <v>0</v>
      </c>
      <c r="Q176" s="40">
        <f t="shared" si="9"/>
        <v>0</v>
      </c>
      <c r="R176" s="40">
        <f t="shared" si="10"/>
        <v>0</v>
      </c>
      <c r="S176" s="41"/>
      <c r="T176" s="41"/>
      <c r="U176" s="41"/>
      <c r="V176" s="41"/>
      <c r="W176" s="41"/>
      <c r="X176" s="41"/>
      <c r="Y176" s="33">
        <f t="shared" si="11"/>
        <v>0</v>
      </c>
    </row>
    <row r="177" spans="4:25" x14ac:dyDescent="0.25">
      <c r="D177" s="69"/>
      <c r="E177" s="34"/>
      <c r="F177" s="34"/>
      <c r="H177" s="35"/>
      <c r="I177" s="36"/>
      <c r="J177" s="37"/>
      <c r="K177" s="38"/>
      <c r="L177" s="29"/>
      <c r="M177" s="29"/>
      <c r="N177" s="29"/>
      <c r="O177" s="39"/>
      <c r="P177" s="40">
        <f t="shared" si="8"/>
        <v>0</v>
      </c>
      <c r="Q177" s="40">
        <f t="shared" si="9"/>
        <v>0</v>
      </c>
      <c r="R177" s="40">
        <f t="shared" si="10"/>
        <v>0</v>
      </c>
      <c r="S177" s="41"/>
      <c r="T177" s="41"/>
      <c r="U177" s="41"/>
      <c r="V177" s="41"/>
      <c r="W177" s="41"/>
      <c r="X177" s="41"/>
      <c r="Y177" s="33">
        <f t="shared" si="11"/>
        <v>0</v>
      </c>
    </row>
    <row r="178" spans="4:25" x14ac:dyDescent="0.25">
      <c r="D178" s="69"/>
      <c r="E178" s="34"/>
      <c r="F178" s="34"/>
      <c r="H178" s="35"/>
      <c r="I178" s="36"/>
      <c r="J178" s="37"/>
      <c r="K178" s="38"/>
      <c r="L178" s="29"/>
      <c r="M178" s="29"/>
      <c r="N178" s="29"/>
      <c r="O178" s="39"/>
      <c r="P178" s="40">
        <f t="shared" si="8"/>
        <v>0</v>
      </c>
      <c r="Q178" s="40">
        <f t="shared" si="9"/>
        <v>0</v>
      </c>
      <c r="R178" s="40">
        <f t="shared" si="10"/>
        <v>0</v>
      </c>
      <c r="S178" s="41"/>
      <c r="T178" s="41"/>
      <c r="U178" s="41"/>
      <c r="V178" s="41"/>
      <c r="W178" s="41"/>
      <c r="X178" s="41"/>
      <c r="Y178" s="33">
        <f t="shared" si="11"/>
        <v>0</v>
      </c>
    </row>
    <row r="179" spans="4:25" x14ac:dyDescent="0.25">
      <c r="D179" s="69"/>
      <c r="E179" s="34"/>
      <c r="F179" s="34"/>
      <c r="H179" s="35"/>
      <c r="I179" s="36"/>
      <c r="J179" s="37"/>
      <c r="K179" s="38"/>
      <c r="L179" s="29"/>
      <c r="M179" s="29"/>
      <c r="N179" s="29"/>
      <c r="O179" s="39"/>
      <c r="P179" s="40">
        <f t="shared" si="8"/>
        <v>0</v>
      </c>
      <c r="Q179" s="40">
        <f t="shared" si="9"/>
        <v>0</v>
      </c>
      <c r="R179" s="40">
        <f t="shared" si="10"/>
        <v>0</v>
      </c>
      <c r="S179" s="41"/>
      <c r="T179" s="41"/>
      <c r="U179" s="41"/>
      <c r="V179" s="41"/>
      <c r="W179" s="41"/>
      <c r="X179" s="41"/>
      <c r="Y179" s="33">
        <f t="shared" si="11"/>
        <v>0</v>
      </c>
    </row>
    <row r="180" spans="4:25" x14ac:dyDescent="0.25">
      <c r="D180" s="69"/>
      <c r="E180" s="34"/>
      <c r="F180" s="34"/>
      <c r="H180" s="35"/>
      <c r="I180" s="36"/>
      <c r="J180" s="37"/>
      <c r="K180" s="38"/>
      <c r="L180" s="29"/>
      <c r="M180" s="29"/>
      <c r="N180" s="29"/>
      <c r="O180" s="39"/>
      <c r="P180" s="40">
        <f t="shared" si="8"/>
        <v>0</v>
      </c>
      <c r="Q180" s="40">
        <f t="shared" si="9"/>
        <v>0</v>
      </c>
      <c r="R180" s="40">
        <f t="shared" si="10"/>
        <v>0</v>
      </c>
      <c r="S180" s="41"/>
      <c r="T180" s="41"/>
      <c r="U180" s="41"/>
      <c r="V180" s="41"/>
      <c r="W180" s="41"/>
      <c r="X180" s="41"/>
      <c r="Y180" s="33">
        <f t="shared" si="11"/>
        <v>0</v>
      </c>
    </row>
    <row r="181" spans="4:25" x14ac:dyDescent="0.25">
      <c r="D181" s="69"/>
      <c r="E181" s="34"/>
      <c r="F181" s="34"/>
      <c r="H181" s="35"/>
      <c r="I181" s="36"/>
      <c r="J181" s="37"/>
      <c r="K181" s="38"/>
      <c r="L181" s="29"/>
      <c r="M181" s="29"/>
      <c r="N181" s="29"/>
      <c r="O181" s="39"/>
      <c r="P181" s="40">
        <f t="shared" si="8"/>
        <v>0</v>
      </c>
      <c r="Q181" s="40">
        <f t="shared" si="9"/>
        <v>0</v>
      </c>
      <c r="R181" s="40">
        <f t="shared" si="10"/>
        <v>0</v>
      </c>
      <c r="S181" s="41"/>
      <c r="T181" s="41"/>
      <c r="U181" s="41"/>
      <c r="V181" s="41"/>
      <c r="W181" s="41"/>
      <c r="X181" s="41"/>
      <c r="Y181" s="33">
        <f t="shared" si="11"/>
        <v>0</v>
      </c>
    </row>
    <row r="182" spans="4:25" x14ac:dyDescent="0.25">
      <c r="D182" s="69"/>
      <c r="E182" s="34"/>
      <c r="F182" s="34"/>
      <c r="H182" s="35"/>
      <c r="I182" s="36"/>
      <c r="J182" s="37"/>
      <c r="K182" s="38"/>
      <c r="L182" s="29"/>
      <c r="M182" s="29"/>
      <c r="N182" s="29"/>
      <c r="O182" s="39"/>
      <c r="P182" s="40">
        <f t="shared" si="8"/>
        <v>0</v>
      </c>
      <c r="Q182" s="40">
        <f t="shared" si="9"/>
        <v>0</v>
      </c>
      <c r="R182" s="40">
        <f t="shared" si="10"/>
        <v>0</v>
      </c>
      <c r="S182" s="41"/>
      <c r="T182" s="41"/>
      <c r="U182" s="41"/>
      <c r="V182" s="41"/>
      <c r="W182" s="41"/>
      <c r="X182" s="41"/>
      <c r="Y182" s="33">
        <f t="shared" si="11"/>
        <v>0</v>
      </c>
    </row>
    <row r="183" spans="4:25" x14ac:dyDescent="0.25">
      <c r="D183" s="69"/>
      <c r="E183" s="34"/>
      <c r="F183" s="34"/>
      <c r="H183" s="35"/>
      <c r="I183" s="36"/>
      <c r="J183" s="37"/>
      <c r="K183" s="38"/>
      <c r="L183" s="29"/>
      <c r="M183" s="29"/>
      <c r="N183" s="29"/>
      <c r="O183" s="39"/>
      <c r="P183" s="40">
        <f t="shared" si="8"/>
        <v>0</v>
      </c>
      <c r="Q183" s="40">
        <f t="shared" si="9"/>
        <v>0</v>
      </c>
      <c r="R183" s="40">
        <f t="shared" si="10"/>
        <v>0</v>
      </c>
      <c r="S183" s="41"/>
      <c r="T183" s="41"/>
      <c r="U183" s="41"/>
      <c r="V183" s="41"/>
      <c r="W183" s="41"/>
      <c r="X183" s="41"/>
      <c r="Y183" s="33">
        <f t="shared" si="11"/>
        <v>0</v>
      </c>
    </row>
    <row r="184" spans="4:25" x14ac:dyDescent="0.25">
      <c r="D184" s="69"/>
      <c r="E184" s="34"/>
      <c r="F184" s="34"/>
      <c r="H184" s="35"/>
      <c r="I184" s="36"/>
      <c r="J184" s="37"/>
      <c r="K184" s="38"/>
      <c r="L184" s="29"/>
      <c r="M184" s="29"/>
      <c r="N184" s="29"/>
      <c r="O184" s="39"/>
      <c r="P184" s="40">
        <f t="shared" si="8"/>
        <v>0</v>
      </c>
      <c r="Q184" s="40">
        <f t="shared" si="9"/>
        <v>0</v>
      </c>
      <c r="R184" s="40">
        <f t="shared" si="10"/>
        <v>0</v>
      </c>
      <c r="S184" s="41"/>
      <c r="T184" s="41"/>
      <c r="U184" s="41"/>
      <c r="V184" s="41"/>
      <c r="W184" s="41"/>
      <c r="X184" s="41"/>
      <c r="Y184" s="33">
        <f t="shared" si="11"/>
        <v>0</v>
      </c>
    </row>
    <row r="185" spans="4:25" x14ac:dyDescent="0.25">
      <c r="D185" s="69"/>
      <c r="E185" s="34"/>
      <c r="F185" s="34"/>
      <c r="H185" s="35"/>
      <c r="I185" s="36"/>
      <c r="J185" s="37"/>
      <c r="K185" s="38"/>
      <c r="L185" s="29"/>
      <c r="M185" s="29"/>
      <c r="N185" s="29"/>
      <c r="O185" s="39"/>
      <c r="P185" s="40">
        <f t="shared" si="8"/>
        <v>0</v>
      </c>
      <c r="Q185" s="40">
        <f t="shared" si="9"/>
        <v>0</v>
      </c>
      <c r="R185" s="40">
        <f t="shared" si="10"/>
        <v>0</v>
      </c>
      <c r="S185" s="41"/>
      <c r="T185" s="41"/>
      <c r="U185" s="41"/>
      <c r="V185" s="41"/>
      <c r="W185" s="41"/>
      <c r="X185" s="41"/>
      <c r="Y185" s="33">
        <f t="shared" si="11"/>
        <v>0</v>
      </c>
    </row>
    <row r="186" spans="4:25" x14ac:dyDescent="0.25">
      <c r="D186" s="69"/>
      <c r="E186" s="34"/>
      <c r="F186" s="34"/>
      <c r="H186" s="35"/>
      <c r="I186" s="36"/>
      <c r="J186" s="37"/>
      <c r="K186" s="38"/>
      <c r="L186" s="29"/>
      <c r="M186" s="29"/>
      <c r="N186" s="29"/>
      <c r="O186" s="39"/>
      <c r="P186" s="40">
        <f t="shared" si="8"/>
        <v>0</v>
      </c>
      <c r="Q186" s="40">
        <f t="shared" si="9"/>
        <v>0</v>
      </c>
      <c r="R186" s="40">
        <f t="shared" si="10"/>
        <v>0</v>
      </c>
      <c r="S186" s="41"/>
      <c r="T186" s="41"/>
      <c r="U186" s="41"/>
      <c r="V186" s="41"/>
      <c r="W186" s="41"/>
      <c r="X186" s="41"/>
      <c r="Y186" s="33">
        <f t="shared" si="11"/>
        <v>0</v>
      </c>
    </row>
    <row r="187" spans="4:25" x14ac:dyDescent="0.25">
      <c r="D187" s="69"/>
      <c r="E187" s="34"/>
      <c r="F187" s="34"/>
      <c r="H187" s="35"/>
      <c r="I187" s="36"/>
      <c r="J187" s="37"/>
      <c r="K187" s="38"/>
      <c r="L187" s="29"/>
      <c r="M187" s="29"/>
      <c r="N187" s="29"/>
      <c r="O187" s="39"/>
      <c r="P187" s="40">
        <f t="shared" si="8"/>
        <v>0</v>
      </c>
      <c r="Q187" s="40">
        <f t="shared" si="9"/>
        <v>0</v>
      </c>
      <c r="R187" s="40">
        <f t="shared" si="10"/>
        <v>0</v>
      </c>
      <c r="S187" s="41"/>
      <c r="T187" s="41"/>
      <c r="U187" s="41"/>
      <c r="V187" s="41"/>
      <c r="W187" s="41"/>
      <c r="X187" s="41"/>
      <c r="Y187" s="33">
        <f t="shared" si="11"/>
        <v>0</v>
      </c>
    </row>
    <row r="188" spans="4:25" x14ac:dyDescent="0.25">
      <c r="D188" s="69"/>
      <c r="E188" s="34"/>
      <c r="F188" s="34"/>
      <c r="H188" s="35"/>
      <c r="I188" s="36"/>
      <c r="J188" s="37"/>
      <c r="K188" s="38"/>
      <c r="L188" s="29"/>
      <c r="M188" s="29"/>
      <c r="N188" s="29"/>
      <c r="O188" s="39"/>
      <c r="P188" s="40">
        <f t="shared" si="8"/>
        <v>0</v>
      </c>
      <c r="Q188" s="40">
        <f t="shared" si="9"/>
        <v>0</v>
      </c>
      <c r="R188" s="40">
        <f t="shared" si="10"/>
        <v>0</v>
      </c>
      <c r="S188" s="41"/>
      <c r="T188" s="41"/>
      <c r="U188" s="41"/>
      <c r="V188" s="41"/>
      <c r="W188" s="41"/>
      <c r="X188" s="41"/>
      <c r="Y188" s="33">
        <f t="shared" si="11"/>
        <v>0</v>
      </c>
    </row>
    <row r="189" spans="4:25" x14ac:dyDescent="0.25">
      <c r="D189" s="69"/>
      <c r="E189" s="34"/>
      <c r="F189" s="34"/>
      <c r="H189" s="35"/>
      <c r="I189" s="36"/>
      <c r="J189" s="37"/>
      <c r="K189" s="38"/>
      <c r="L189" s="29"/>
      <c r="M189" s="29"/>
      <c r="N189" s="29"/>
      <c r="O189" s="39"/>
      <c r="P189" s="40">
        <f t="shared" si="8"/>
        <v>0</v>
      </c>
      <c r="Q189" s="40">
        <f t="shared" si="9"/>
        <v>0</v>
      </c>
      <c r="R189" s="40">
        <f t="shared" si="10"/>
        <v>0</v>
      </c>
      <c r="S189" s="41"/>
      <c r="T189" s="41"/>
      <c r="U189" s="41"/>
      <c r="V189" s="41"/>
      <c r="W189" s="41"/>
      <c r="X189" s="41"/>
      <c r="Y189" s="33">
        <f t="shared" si="11"/>
        <v>0</v>
      </c>
    </row>
    <row r="190" spans="4:25" x14ac:dyDescent="0.25">
      <c r="D190" s="69"/>
      <c r="E190" s="34"/>
      <c r="F190" s="34"/>
      <c r="H190" s="35"/>
      <c r="I190" s="36"/>
      <c r="J190" s="37"/>
      <c r="K190" s="38"/>
      <c r="L190" s="29"/>
      <c r="M190" s="29"/>
      <c r="N190" s="29"/>
      <c r="O190" s="39"/>
      <c r="P190" s="40">
        <f t="shared" si="8"/>
        <v>0</v>
      </c>
      <c r="Q190" s="40">
        <f t="shared" si="9"/>
        <v>0</v>
      </c>
      <c r="R190" s="40">
        <f t="shared" si="10"/>
        <v>0</v>
      </c>
      <c r="S190" s="41"/>
      <c r="T190" s="41"/>
      <c r="U190" s="41"/>
      <c r="V190" s="41"/>
      <c r="W190" s="41"/>
      <c r="X190" s="41"/>
      <c r="Y190" s="33">
        <f t="shared" si="11"/>
        <v>0</v>
      </c>
    </row>
    <row r="191" spans="4:25" x14ac:dyDescent="0.25">
      <c r="D191" s="69"/>
      <c r="E191" s="34"/>
      <c r="F191" s="34"/>
      <c r="H191" s="35"/>
      <c r="I191" s="36"/>
      <c r="J191" s="37"/>
      <c r="K191" s="38"/>
      <c r="L191" s="29"/>
      <c r="M191" s="29"/>
      <c r="N191" s="29"/>
      <c r="O191" s="39"/>
      <c r="P191" s="40">
        <f t="shared" si="8"/>
        <v>0</v>
      </c>
      <c r="Q191" s="40">
        <f t="shared" si="9"/>
        <v>0</v>
      </c>
      <c r="R191" s="40">
        <f t="shared" si="10"/>
        <v>0</v>
      </c>
      <c r="S191" s="41"/>
      <c r="T191" s="41"/>
      <c r="U191" s="41"/>
      <c r="V191" s="41"/>
      <c r="W191" s="41"/>
      <c r="X191" s="41"/>
      <c r="Y191" s="33">
        <f t="shared" si="11"/>
        <v>0</v>
      </c>
    </row>
    <row r="192" spans="4:25" x14ac:dyDescent="0.25">
      <c r="D192" s="69"/>
      <c r="E192" s="34"/>
      <c r="F192" s="34"/>
      <c r="H192" s="35"/>
      <c r="I192" s="36"/>
      <c r="J192" s="37"/>
      <c r="K192" s="38"/>
      <c r="L192" s="29"/>
      <c r="M192" s="29"/>
      <c r="N192" s="29"/>
      <c r="O192" s="39"/>
      <c r="P192" s="40">
        <f t="shared" si="8"/>
        <v>0</v>
      </c>
      <c r="Q192" s="40">
        <f t="shared" si="9"/>
        <v>0</v>
      </c>
      <c r="R192" s="40">
        <f t="shared" si="10"/>
        <v>0</v>
      </c>
      <c r="S192" s="41"/>
      <c r="T192" s="41"/>
      <c r="U192" s="41"/>
      <c r="V192" s="41"/>
      <c r="W192" s="41"/>
      <c r="X192" s="41"/>
      <c r="Y192" s="33">
        <f t="shared" si="11"/>
        <v>0</v>
      </c>
    </row>
    <row r="193" spans="4:25" x14ac:dyDescent="0.25">
      <c r="D193" s="69"/>
      <c r="E193" s="34"/>
      <c r="F193" s="34"/>
      <c r="H193" s="35"/>
      <c r="I193" s="36"/>
      <c r="J193" s="37"/>
      <c r="K193" s="38"/>
      <c r="L193" s="29"/>
      <c r="M193" s="29"/>
      <c r="N193" s="29"/>
      <c r="O193" s="39"/>
      <c r="P193" s="40">
        <f t="shared" si="8"/>
        <v>0</v>
      </c>
      <c r="Q193" s="40">
        <f t="shared" si="9"/>
        <v>0</v>
      </c>
      <c r="R193" s="40">
        <f t="shared" si="10"/>
        <v>0</v>
      </c>
      <c r="S193" s="41"/>
      <c r="T193" s="41"/>
      <c r="U193" s="41"/>
      <c r="V193" s="41"/>
      <c r="W193" s="41"/>
      <c r="X193" s="41"/>
      <c r="Y193" s="33">
        <f t="shared" si="11"/>
        <v>0</v>
      </c>
    </row>
    <row r="194" spans="4:25" x14ac:dyDescent="0.25">
      <c r="D194" s="69"/>
      <c r="E194" s="34"/>
      <c r="F194" s="34"/>
      <c r="H194" s="35"/>
      <c r="I194" s="36"/>
      <c r="J194" s="37"/>
      <c r="K194" s="38"/>
      <c r="L194" s="29"/>
      <c r="M194" s="29"/>
      <c r="N194" s="29"/>
      <c r="O194" s="39"/>
      <c r="P194" s="40">
        <f t="shared" si="8"/>
        <v>0</v>
      </c>
      <c r="Q194" s="40">
        <f t="shared" si="9"/>
        <v>0</v>
      </c>
      <c r="R194" s="40">
        <f t="shared" si="10"/>
        <v>0</v>
      </c>
      <c r="S194" s="41"/>
      <c r="T194" s="41"/>
      <c r="U194" s="41"/>
      <c r="V194" s="41"/>
      <c r="W194" s="41"/>
      <c r="X194" s="41"/>
      <c r="Y194" s="33">
        <f t="shared" si="11"/>
        <v>0</v>
      </c>
    </row>
    <row r="195" spans="4:25" x14ac:dyDescent="0.25">
      <c r="D195" s="69"/>
      <c r="E195" s="34"/>
      <c r="F195" s="34"/>
      <c r="H195" s="35"/>
      <c r="I195" s="36"/>
      <c r="J195" s="37"/>
      <c r="K195" s="38"/>
      <c r="L195" s="29"/>
      <c r="M195" s="29"/>
      <c r="N195" s="29"/>
      <c r="O195" s="39"/>
      <c r="P195" s="40">
        <f t="shared" ref="P195:P258" si="12">$L195*$O195</f>
        <v>0</v>
      </c>
      <c r="Q195" s="40">
        <f t="shared" si="9"/>
        <v>0</v>
      </c>
      <c r="R195" s="40">
        <f t="shared" si="10"/>
        <v>0</v>
      </c>
      <c r="S195" s="41"/>
      <c r="T195" s="41"/>
      <c r="U195" s="41"/>
      <c r="V195" s="41"/>
      <c r="W195" s="41"/>
      <c r="X195" s="41"/>
      <c r="Y195" s="33">
        <f t="shared" si="11"/>
        <v>0</v>
      </c>
    </row>
    <row r="196" spans="4:25" x14ac:dyDescent="0.25">
      <c r="D196" s="69"/>
      <c r="E196" s="34"/>
      <c r="F196" s="34"/>
      <c r="H196" s="35"/>
      <c r="I196" s="36"/>
      <c r="J196" s="37"/>
      <c r="K196" s="38"/>
      <c r="L196" s="29"/>
      <c r="M196" s="29"/>
      <c r="N196" s="29"/>
      <c r="O196" s="39"/>
      <c r="P196" s="40">
        <f t="shared" si="12"/>
        <v>0</v>
      </c>
      <c r="Q196" s="40">
        <f t="shared" ref="Q196:Q259" si="13">IF(E196="NE",(M196*O196*1.5),(M196*O196))</f>
        <v>0</v>
      </c>
      <c r="R196" s="40">
        <f t="shared" ref="R196:R259" si="14">P196+Q196</f>
        <v>0</v>
      </c>
      <c r="S196" s="41"/>
      <c r="T196" s="41"/>
      <c r="U196" s="41"/>
      <c r="V196" s="41"/>
      <c r="W196" s="41"/>
      <c r="X196" s="41"/>
      <c r="Y196" s="33">
        <f t="shared" ref="Y196:Y259" si="15">SUM(R196:X196)</f>
        <v>0</v>
      </c>
    </row>
    <row r="197" spans="4:25" x14ac:dyDescent="0.25">
      <c r="D197" s="69"/>
      <c r="E197" s="34"/>
      <c r="F197" s="34"/>
      <c r="H197" s="35"/>
      <c r="I197" s="36"/>
      <c r="J197" s="37"/>
      <c r="K197" s="38"/>
      <c r="L197" s="29"/>
      <c r="M197" s="29"/>
      <c r="N197" s="29"/>
      <c r="O197" s="39"/>
      <c r="P197" s="40">
        <f t="shared" si="12"/>
        <v>0</v>
      </c>
      <c r="Q197" s="40">
        <f t="shared" si="13"/>
        <v>0</v>
      </c>
      <c r="R197" s="40">
        <f t="shared" si="14"/>
        <v>0</v>
      </c>
      <c r="S197" s="41"/>
      <c r="T197" s="41"/>
      <c r="U197" s="41"/>
      <c r="V197" s="41"/>
      <c r="W197" s="41"/>
      <c r="X197" s="41"/>
      <c r="Y197" s="33">
        <f t="shared" si="15"/>
        <v>0</v>
      </c>
    </row>
    <row r="198" spans="4:25" x14ac:dyDescent="0.25">
      <c r="D198" s="69"/>
      <c r="E198" s="34"/>
      <c r="F198" s="34"/>
      <c r="H198" s="35"/>
      <c r="I198" s="36"/>
      <c r="J198" s="37"/>
      <c r="K198" s="38"/>
      <c r="L198" s="29"/>
      <c r="M198" s="29"/>
      <c r="N198" s="29"/>
      <c r="O198" s="39"/>
      <c r="P198" s="40">
        <f t="shared" si="12"/>
        <v>0</v>
      </c>
      <c r="Q198" s="40">
        <f t="shared" si="13"/>
        <v>0</v>
      </c>
      <c r="R198" s="40">
        <f t="shared" si="14"/>
        <v>0</v>
      </c>
      <c r="S198" s="41"/>
      <c r="T198" s="41"/>
      <c r="U198" s="41"/>
      <c r="V198" s="41"/>
      <c r="W198" s="41"/>
      <c r="X198" s="41"/>
      <c r="Y198" s="33">
        <f t="shared" si="15"/>
        <v>0</v>
      </c>
    </row>
    <row r="199" spans="4:25" x14ac:dyDescent="0.25">
      <c r="D199" s="69"/>
      <c r="E199" s="34"/>
      <c r="F199" s="34"/>
      <c r="H199" s="35"/>
      <c r="I199" s="36"/>
      <c r="J199" s="37"/>
      <c r="K199" s="38"/>
      <c r="L199" s="29"/>
      <c r="M199" s="29"/>
      <c r="N199" s="29"/>
      <c r="O199" s="39"/>
      <c r="P199" s="40">
        <f t="shared" si="12"/>
        <v>0</v>
      </c>
      <c r="Q199" s="40">
        <f t="shared" si="13"/>
        <v>0</v>
      </c>
      <c r="R199" s="40">
        <f t="shared" si="14"/>
        <v>0</v>
      </c>
      <c r="S199" s="41"/>
      <c r="T199" s="41"/>
      <c r="U199" s="41"/>
      <c r="V199" s="41"/>
      <c r="W199" s="41"/>
      <c r="X199" s="41"/>
      <c r="Y199" s="33">
        <f t="shared" si="15"/>
        <v>0</v>
      </c>
    </row>
    <row r="200" spans="4:25" x14ac:dyDescent="0.25">
      <c r="D200" s="69"/>
      <c r="E200" s="34"/>
      <c r="F200" s="34"/>
      <c r="H200" s="35"/>
      <c r="I200" s="36"/>
      <c r="J200" s="37"/>
      <c r="K200" s="38"/>
      <c r="L200" s="29"/>
      <c r="M200" s="29"/>
      <c r="N200" s="29"/>
      <c r="O200" s="39"/>
      <c r="P200" s="40">
        <f t="shared" si="12"/>
        <v>0</v>
      </c>
      <c r="Q200" s="40">
        <f t="shared" si="13"/>
        <v>0</v>
      </c>
      <c r="R200" s="40">
        <f t="shared" si="14"/>
        <v>0</v>
      </c>
      <c r="S200" s="41"/>
      <c r="T200" s="41"/>
      <c r="U200" s="41"/>
      <c r="V200" s="41"/>
      <c r="W200" s="41"/>
      <c r="X200" s="41"/>
      <c r="Y200" s="33">
        <f t="shared" si="15"/>
        <v>0</v>
      </c>
    </row>
    <row r="201" spans="4:25" x14ac:dyDescent="0.25">
      <c r="D201" s="69"/>
      <c r="E201" s="34"/>
      <c r="F201" s="34"/>
      <c r="H201" s="35"/>
      <c r="I201" s="36"/>
      <c r="J201" s="37"/>
      <c r="K201" s="38"/>
      <c r="L201" s="29"/>
      <c r="M201" s="29"/>
      <c r="N201" s="29"/>
      <c r="O201" s="39"/>
      <c r="P201" s="40">
        <f t="shared" si="12"/>
        <v>0</v>
      </c>
      <c r="Q201" s="40">
        <f t="shared" si="13"/>
        <v>0</v>
      </c>
      <c r="R201" s="40">
        <f t="shared" si="14"/>
        <v>0</v>
      </c>
      <c r="S201" s="41"/>
      <c r="T201" s="41"/>
      <c r="U201" s="41"/>
      <c r="V201" s="41"/>
      <c r="W201" s="41"/>
      <c r="X201" s="41"/>
      <c r="Y201" s="33">
        <f t="shared" si="15"/>
        <v>0</v>
      </c>
    </row>
    <row r="202" spans="4:25" x14ac:dyDescent="0.25">
      <c r="D202" s="69"/>
      <c r="E202" s="34"/>
      <c r="F202" s="34"/>
      <c r="G202" s="38"/>
      <c r="H202" s="35"/>
      <c r="I202" s="36"/>
      <c r="J202" s="37"/>
      <c r="K202" s="38"/>
      <c r="L202" s="29"/>
      <c r="M202" s="29"/>
      <c r="N202" s="29"/>
      <c r="O202" s="39"/>
      <c r="P202" s="40">
        <f t="shared" si="12"/>
        <v>0</v>
      </c>
      <c r="Q202" s="40">
        <f t="shared" si="13"/>
        <v>0</v>
      </c>
      <c r="R202" s="40">
        <f t="shared" si="14"/>
        <v>0</v>
      </c>
      <c r="S202" s="41"/>
      <c r="T202" s="41"/>
      <c r="U202" s="41"/>
      <c r="V202" s="41"/>
      <c r="W202" s="41"/>
      <c r="X202" s="41"/>
      <c r="Y202" s="33">
        <f t="shared" si="15"/>
        <v>0</v>
      </c>
    </row>
    <row r="203" spans="4:25" x14ac:dyDescent="0.25">
      <c r="D203" s="69"/>
      <c r="E203" s="34"/>
      <c r="F203" s="34"/>
      <c r="G203" s="38"/>
      <c r="H203" s="35"/>
      <c r="I203" s="36"/>
      <c r="J203" s="37"/>
      <c r="K203" s="38"/>
      <c r="L203" s="29"/>
      <c r="M203" s="29"/>
      <c r="N203" s="29"/>
      <c r="O203" s="39"/>
      <c r="P203" s="40">
        <f t="shared" si="12"/>
        <v>0</v>
      </c>
      <c r="Q203" s="40">
        <f t="shared" si="13"/>
        <v>0</v>
      </c>
      <c r="R203" s="40">
        <f t="shared" si="14"/>
        <v>0</v>
      </c>
      <c r="S203" s="41"/>
      <c r="T203" s="41"/>
      <c r="U203" s="41"/>
      <c r="V203" s="41"/>
      <c r="W203" s="41"/>
      <c r="X203" s="41"/>
      <c r="Y203" s="33">
        <f t="shared" si="15"/>
        <v>0</v>
      </c>
    </row>
    <row r="204" spans="4:25" x14ac:dyDescent="0.25">
      <c r="D204" s="69"/>
      <c r="E204" s="34"/>
      <c r="F204" s="34"/>
      <c r="H204" s="35"/>
      <c r="I204" s="36"/>
      <c r="J204" s="37"/>
      <c r="K204" s="38"/>
      <c r="L204" s="29"/>
      <c r="M204" s="29"/>
      <c r="N204" s="29"/>
      <c r="O204" s="39"/>
      <c r="P204" s="40">
        <f t="shared" si="12"/>
        <v>0</v>
      </c>
      <c r="Q204" s="40">
        <f t="shared" si="13"/>
        <v>0</v>
      </c>
      <c r="R204" s="40">
        <f t="shared" si="14"/>
        <v>0</v>
      </c>
      <c r="S204" s="41"/>
      <c r="T204" s="41"/>
      <c r="U204" s="41"/>
      <c r="V204" s="41"/>
      <c r="W204" s="41"/>
      <c r="X204" s="41"/>
      <c r="Y204" s="33">
        <f t="shared" si="15"/>
        <v>0</v>
      </c>
    </row>
    <row r="205" spans="4:25" x14ac:dyDescent="0.25">
      <c r="D205" s="69"/>
      <c r="E205" s="34"/>
      <c r="F205" s="34"/>
      <c r="H205" s="35"/>
      <c r="I205" s="36"/>
      <c r="J205" s="37"/>
      <c r="K205" s="38"/>
      <c r="L205" s="29"/>
      <c r="M205" s="29"/>
      <c r="N205" s="29"/>
      <c r="O205" s="39"/>
      <c r="P205" s="40">
        <f t="shared" si="12"/>
        <v>0</v>
      </c>
      <c r="Q205" s="40">
        <f t="shared" si="13"/>
        <v>0</v>
      </c>
      <c r="R205" s="40">
        <f t="shared" si="14"/>
        <v>0</v>
      </c>
      <c r="S205" s="41"/>
      <c r="T205" s="41"/>
      <c r="U205" s="41"/>
      <c r="V205" s="41"/>
      <c r="W205" s="41"/>
      <c r="X205" s="41"/>
      <c r="Y205" s="33">
        <f t="shared" si="15"/>
        <v>0</v>
      </c>
    </row>
    <row r="206" spans="4:25" x14ac:dyDescent="0.25">
      <c r="D206" s="69"/>
      <c r="E206" s="34"/>
      <c r="F206" s="34"/>
      <c r="H206" s="35"/>
      <c r="I206" s="36"/>
      <c r="J206" s="37"/>
      <c r="K206" s="38"/>
      <c r="L206" s="29"/>
      <c r="M206" s="29"/>
      <c r="N206" s="29"/>
      <c r="O206" s="39"/>
      <c r="P206" s="40">
        <f t="shared" si="12"/>
        <v>0</v>
      </c>
      <c r="Q206" s="40">
        <f t="shared" si="13"/>
        <v>0</v>
      </c>
      <c r="R206" s="40">
        <f t="shared" si="14"/>
        <v>0</v>
      </c>
      <c r="S206" s="41"/>
      <c r="T206" s="41"/>
      <c r="U206" s="41"/>
      <c r="V206" s="41"/>
      <c r="W206" s="41"/>
      <c r="X206" s="41"/>
      <c r="Y206" s="33">
        <f t="shared" si="15"/>
        <v>0</v>
      </c>
    </row>
    <row r="207" spans="4:25" x14ac:dyDescent="0.25">
      <c r="D207" s="69"/>
      <c r="E207" s="34"/>
      <c r="F207" s="34"/>
      <c r="H207" s="35"/>
      <c r="I207" s="36"/>
      <c r="J207" s="37"/>
      <c r="K207" s="38"/>
      <c r="L207" s="29"/>
      <c r="M207" s="29"/>
      <c r="N207" s="29"/>
      <c r="O207" s="39"/>
      <c r="P207" s="40">
        <f t="shared" si="12"/>
        <v>0</v>
      </c>
      <c r="Q207" s="40">
        <f t="shared" si="13"/>
        <v>0</v>
      </c>
      <c r="R207" s="40">
        <f t="shared" si="14"/>
        <v>0</v>
      </c>
      <c r="S207" s="41"/>
      <c r="T207" s="41"/>
      <c r="U207" s="41"/>
      <c r="V207" s="41"/>
      <c r="W207" s="41"/>
      <c r="X207" s="41"/>
      <c r="Y207" s="33">
        <f t="shared" si="15"/>
        <v>0</v>
      </c>
    </row>
    <row r="208" spans="4:25" x14ac:dyDescent="0.25">
      <c r="D208" s="69"/>
      <c r="E208" s="34"/>
      <c r="F208" s="34"/>
      <c r="H208" s="35"/>
      <c r="I208" s="36"/>
      <c r="J208" s="37"/>
      <c r="K208" s="38"/>
      <c r="L208" s="29"/>
      <c r="M208" s="29"/>
      <c r="N208" s="29"/>
      <c r="O208" s="39"/>
      <c r="P208" s="40">
        <f t="shared" si="12"/>
        <v>0</v>
      </c>
      <c r="Q208" s="40">
        <f t="shared" si="13"/>
        <v>0</v>
      </c>
      <c r="R208" s="40">
        <f t="shared" si="14"/>
        <v>0</v>
      </c>
      <c r="S208" s="41"/>
      <c r="T208" s="41"/>
      <c r="U208" s="41"/>
      <c r="V208" s="41"/>
      <c r="W208" s="41"/>
      <c r="X208" s="41"/>
      <c r="Y208" s="33">
        <f t="shared" si="15"/>
        <v>0</v>
      </c>
    </row>
    <row r="209" spans="4:25" x14ac:dyDescent="0.25">
      <c r="D209" s="69"/>
      <c r="E209" s="34"/>
      <c r="F209" s="34"/>
      <c r="H209" s="35"/>
      <c r="I209" s="36"/>
      <c r="J209" s="37"/>
      <c r="K209" s="38"/>
      <c r="L209" s="29"/>
      <c r="M209" s="29"/>
      <c r="N209" s="29"/>
      <c r="O209" s="39"/>
      <c r="P209" s="40">
        <f t="shared" si="12"/>
        <v>0</v>
      </c>
      <c r="Q209" s="40">
        <f t="shared" si="13"/>
        <v>0</v>
      </c>
      <c r="R209" s="40">
        <f t="shared" si="14"/>
        <v>0</v>
      </c>
      <c r="S209" s="41"/>
      <c r="T209" s="41"/>
      <c r="U209" s="41"/>
      <c r="V209" s="41"/>
      <c r="W209" s="41"/>
      <c r="X209" s="41"/>
      <c r="Y209" s="33">
        <f t="shared" si="15"/>
        <v>0</v>
      </c>
    </row>
    <row r="210" spans="4:25" x14ac:dyDescent="0.25">
      <c r="D210" s="69"/>
      <c r="E210" s="34"/>
      <c r="F210" s="34"/>
      <c r="H210" s="35"/>
      <c r="I210" s="36"/>
      <c r="J210" s="37"/>
      <c r="K210" s="38"/>
      <c r="L210" s="29"/>
      <c r="M210" s="29"/>
      <c r="N210" s="29"/>
      <c r="O210" s="39"/>
      <c r="P210" s="40">
        <f t="shared" si="12"/>
        <v>0</v>
      </c>
      <c r="Q210" s="40">
        <f t="shared" si="13"/>
        <v>0</v>
      </c>
      <c r="R210" s="40">
        <f t="shared" si="14"/>
        <v>0</v>
      </c>
      <c r="S210" s="41"/>
      <c r="T210" s="41"/>
      <c r="U210" s="41"/>
      <c r="V210" s="41"/>
      <c r="W210" s="41"/>
      <c r="X210" s="41"/>
      <c r="Y210" s="33">
        <f t="shared" si="15"/>
        <v>0</v>
      </c>
    </row>
    <row r="211" spans="4:25" x14ac:dyDescent="0.25">
      <c r="D211" s="69"/>
      <c r="E211" s="34"/>
      <c r="F211" s="34"/>
      <c r="H211" s="35"/>
      <c r="I211" s="36"/>
      <c r="J211" s="37"/>
      <c r="K211" s="38"/>
      <c r="L211" s="29"/>
      <c r="M211" s="29"/>
      <c r="N211" s="29"/>
      <c r="O211" s="39"/>
      <c r="P211" s="40">
        <f t="shared" si="12"/>
        <v>0</v>
      </c>
      <c r="Q211" s="40">
        <f t="shared" si="13"/>
        <v>0</v>
      </c>
      <c r="R211" s="40">
        <f t="shared" si="14"/>
        <v>0</v>
      </c>
      <c r="S211" s="41"/>
      <c r="T211" s="41"/>
      <c r="U211" s="41"/>
      <c r="V211" s="41"/>
      <c r="W211" s="41"/>
      <c r="X211" s="41"/>
      <c r="Y211" s="33">
        <f t="shared" si="15"/>
        <v>0</v>
      </c>
    </row>
    <row r="212" spans="4:25" x14ac:dyDescent="0.25">
      <c r="D212" s="69"/>
      <c r="E212" s="34"/>
      <c r="F212" s="34"/>
      <c r="H212" s="35"/>
      <c r="I212" s="36"/>
      <c r="J212" s="37"/>
      <c r="K212" s="38"/>
      <c r="L212" s="29"/>
      <c r="M212" s="29"/>
      <c r="N212" s="29"/>
      <c r="O212" s="39"/>
      <c r="P212" s="40">
        <f t="shared" si="12"/>
        <v>0</v>
      </c>
      <c r="Q212" s="40">
        <f t="shared" si="13"/>
        <v>0</v>
      </c>
      <c r="R212" s="40">
        <f t="shared" si="14"/>
        <v>0</v>
      </c>
      <c r="S212" s="41"/>
      <c r="T212" s="41"/>
      <c r="U212" s="41"/>
      <c r="V212" s="41"/>
      <c r="W212" s="41"/>
      <c r="X212" s="41"/>
      <c r="Y212" s="33">
        <f t="shared" si="15"/>
        <v>0</v>
      </c>
    </row>
    <row r="213" spans="4:25" x14ac:dyDescent="0.25">
      <c r="D213" s="69"/>
      <c r="E213" s="34"/>
      <c r="F213" s="34"/>
      <c r="H213" s="35"/>
      <c r="I213" s="36"/>
      <c r="J213" s="37"/>
      <c r="K213" s="38"/>
      <c r="L213" s="29"/>
      <c r="M213" s="29"/>
      <c r="N213" s="29"/>
      <c r="O213" s="39"/>
      <c r="P213" s="40">
        <f t="shared" si="12"/>
        <v>0</v>
      </c>
      <c r="Q213" s="40">
        <f t="shared" si="13"/>
        <v>0</v>
      </c>
      <c r="R213" s="40">
        <f t="shared" si="14"/>
        <v>0</v>
      </c>
      <c r="S213" s="41"/>
      <c r="T213" s="41"/>
      <c r="U213" s="41"/>
      <c r="V213" s="41"/>
      <c r="W213" s="41"/>
      <c r="X213" s="41"/>
      <c r="Y213" s="33">
        <f t="shared" si="15"/>
        <v>0</v>
      </c>
    </row>
    <row r="214" spans="4:25" x14ac:dyDescent="0.25">
      <c r="D214" s="69"/>
      <c r="E214" s="34"/>
      <c r="F214" s="34"/>
      <c r="H214" s="35"/>
      <c r="I214" s="36"/>
      <c r="J214" s="37"/>
      <c r="K214" s="38"/>
      <c r="L214" s="29"/>
      <c r="M214" s="29"/>
      <c r="N214" s="29"/>
      <c r="O214" s="39"/>
      <c r="P214" s="40">
        <f t="shared" si="12"/>
        <v>0</v>
      </c>
      <c r="Q214" s="40">
        <f t="shared" si="13"/>
        <v>0</v>
      </c>
      <c r="R214" s="40">
        <f t="shared" si="14"/>
        <v>0</v>
      </c>
      <c r="S214" s="41"/>
      <c r="T214" s="41"/>
      <c r="U214" s="41"/>
      <c r="V214" s="41"/>
      <c r="W214" s="41"/>
      <c r="X214" s="41"/>
      <c r="Y214" s="33">
        <f t="shared" si="15"/>
        <v>0</v>
      </c>
    </row>
    <row r="215" spans="4:25" x14ac:dyDescent="0.25">
      <c r="D215" s="69"/>
      <c r="E215" s="34"/>
      <c r="F215" s="34"/>
      <c r="H215" s="35"/>
      <c r="I215" s="36"/>
      <c r="J215" s="37"/>
      <c r="K215" s="38"/>
      <c r="L215" s="29"/>
      <c r="M215" s="29"/>
      <c r="N215" s="29"/>
      <c r="O215" s="39"/>
      <c r="P215" s="40">
        <f t="shared" si="12"/>
        <v>0</v>
      </c>
      <c r="Q215" s="40">
        <f t="shared" si="13"/>
        <v>0</v>
      </c>
      <c r="R215" s="40">
        <f t="shared" si="14"/>
        <v>0</v>
      </c>
      <c r="S215" s="41"/>
      <c r="T215" s="41"/>
      <c r="U215" s="41"/>
      <c r="V215" s="41"/>
      <c r="W215" s="41"/>
      <c r="X215" s="41"/>
      <c r="Y215" s="33">
        <f t="shared" si="15"/>
        <v>0</v>
      </c>
    </row>
    <row r="216" spans="4:25" x14ac:dyDescent="0.25">
      <c r="D216" s="69"/>
      <c r="E216" s="34"/>
      <c r="F216" s="34"/>
      <c r="H216" s="35"/>
      <c r="I216" s="36"/>
      <c r="J216" s="37"/>
      <c r="K216" s="38"/>
      <c r="L216" s="29"/>
      <c r="M216" s="29"/>
      <c r="N216" s="29"/>
      <c r="O216" s="39"/>
      <c r="P216" s="40">
        <f t="shared" si="12"/>
        <v>0</v>
      </c>
      <c r="Q216" s="40">
        <f t="shared" si="13"/>
        <v>0</v>
      </c>
      <c r="R216" s="40">
        <f t="shared" si="14"/>
        <v>0</v>
      </c>
      <c r="S216" s="41"/>
      <c r="T216" s="41"/>
      <c r="U216" s="41"/>
      <c r="V216" s="41"/>
      <c r="W216" s="41"/>
      <c r="X216" s="41"/>
      <c r="Y216" s="33">
        <f t="shared" si="15"/>
        <v>0</v>
      </c>
    </row>
    <row r="217" spans="4:25" x14ac:dyDescent="0.25">
      <c r="D217" s="69"/>
      <c r="E217" s="34"/>
      <c r="F217" s="34"/>
      <c r="H217" s="35"/>
      <c r="I217" s="36"/>
      <c r="J217" s="37"/>
      <c r="K217" s="38"/>
      <c r="L217" s="29"/>
      <c r="M217" s="29"/>
      <c r="N217" s="29"/>
      <c r="O217" s="39"/>
      <c r="P217" s="40">
        <f t="shared" si="12"/>
        <v>0</v>
      </c>
      <c r="Q217" s="40">
        <f t="shared" si="13"/>
        <v>0</v>
      </c>
      <c r="R217" s="40">
        <f t="shared" si="14"/>
        <v>0</v>
      </c>
      <c r="S217" s="41"/>
      <c r="T217" s="41"/>
      <c r="U217" s="41"/>
      <c r="V217" s="41"/>
      <c r="W217" s="41"/>
      <c r="X217" s="41"/>
      <c r="Y217" s="33">
        <f t="shared" si="15"/>
        <v>0</v>
      </c>
    </row>
    <row r="218" spans="4:25" x14ac:dyDescent="0.25">
      <c r="D218" s="69"/>
      <c r="E218" s="34"/>
      <c r="F218" s="34"/>
      <c r="H218" s="35"/>
      <c r="I218" s="36"/>
      <c r="J218" s="37"/>
      <c r="K218" s="38"/>
      <c r="L218" s="29"/>
      <c r="M218" s="29"/>
      <c r="N218" s="29"/>
      <c r="O218" s="39"/>
      <c r="P218" s="40">
        <f t="shared" si="12"/>
        <v>0</v>
      </c>
      <c r="Q218" s="40">
        <f t="shared" si="13"/>
        <v>0</v>
      </c>
      <c r="R218" s="40">
        <f t="shared" si="14"/>
        <v>0</v>
      </c>
      <c r="S218" s="41"/>
      <c r="T218" s="41"/>
      <c r="U218" s="41"/>
      <c r="V218" s="41"/>
      <c r="W218" s="41"/>
      <c r="X218" s="41"/>
      <c r="Y218" s="33">
        <f t="shared" si="15"/>
        <v>0</v>
      </c>
    </row>
    <row r="219" spans="4:25" x14ac:dyDescent="0.25">
      <c r="D219" s="69"/>
      <c r="E219" s="34"/>
      <c r="F219" s="34"/>
      <c r="H219" s="35"/>
      <c r="I219" s="36"/>
      <c r="J219" s="37"/>
      <c r="K219" s="38"/>
      <c r="L219" s="29"/>
      <c r="M219" s="29"/>
      <c r="N219" s="29"/>
      <c r="O219" s="39"/>
      <c r="P219" s="40">
        <f t="shared" si="12"/>
        <v>0</v>
      </c>
      <c r="Q219" s="40">
        <f t="shared" si="13"/>
        <v>0</v>
      </c>
      <c r="R219" s="40">
        <f t="shared" si="14"/>
        <v>0</v>
      </c>
      <c r="S219" s="41"/>
      <c r="T219" s="41"/>
      <c r="U219" s="41"/>
      <c r="V219" s="41"/>
      <c r="W219" s="41"/>
      <c r="X219" s="41"/>
      <c r="Y219" s="33">
        <f t="shared" si="15"/>
        <v>0</v>
      </c>
    </row>
    <row r="220" spans="4:25" x14ac:dyDescent="0.25">
      <c r="D220" s="69"/>
      <c r="E220" s="34"/>
      <c r="F220" s="34"/>
      <c r="H220" s="35"/>
      <c r="I220" s="36"/>
      <c r="J220" s="37"/>
      <c r="K220" s="38"/>
      <c r="L220" s="29"/>
      <c r="M220" s="29"/>
      <c r="N220" s="29"/>
      <c r="O220" s="39"/>
      <c r="P220" s="40">
        <f t="shared" si="12"/>
        <v>0</v>
      </c>
      <c r="Q220" s="40">
        <f t="shared" si="13"/>
        <v>0</v>
      </c>
      <c r="R220" s="40">
        <f t="shared" si="14"/>
        <v>0</v>
      </c>
      <c r="S220" s="41"/>
      <c r="T220" s="41"/>
      <c r="U220" s="41"/>
      <c r="V220" s="41"/>
      <c r="W220" s="41"/>
      <c r="X220" s="41"/>
      <c r="Y220" s="33">
        <f t="shared" si="15"/>
        <v>0</v>
      </c>
    </row>
    <row r="221" spans="4:25" x14ac:dyDescent="0.25">
      <c r="D221" s="69"/>
      <c r="E221" s="34"/>
      <c r="F221" s="34"/>
      <c r="H221" s="35"/>
      <c r="I221" s="36"/>
      <c r="J221" s="37"/>
      <c r="K221" s="38"/>
      <c r="L221" s="29"/>
      <c r="M221" s="29"/>
      <c r="N221" s="29"/>
      <c r="O221" s="39"/>
      <c r="P221" s="40">
        <f t="shared" si="12"/>
        <v>0</v>
      </c>
      <c r="Q221" s="40">
        <f t="shared" si="13"/>
        <v>0</v>
      </c>
      <c r="R221" s="40">
        <f t="shared" si="14"/>
        <v>0</v>
      </c>
      <c r="S221" s="41"/>
      <c r="T221" s="41"/>
      <c r="U221" s="41"/>
      <c r="V221" s="41"/>
      <c r="W221" s="41"/>
      <c r="X221" s="41"/>
      <c r="Y221" s="33">
        <f t="shared" si="15"/>
        <v>0</v>
      </c>
    </row>
    <row r="222" spans="4:25" x14ac:dyDescent="0.25">
      <c r="D222" s="69"/>
      <c r="E222" s="34"/>
      <c r="F222" s="34"/>
      <c r="H222" s="35"/>
      <c r="I222" s="36"/>
      <c r="J222" s="37"/>
      <c r="K222" s="38"/>
      <c r="L222" s="29"/>
      <c r="M222" s="29"/>
      <c r="N222" s="29"/>
      <c r="O222" s="39"/>
      <c r="P222" s="40">
        <f t="shared" si="12"/>
        <v>0</v>
      </c>
      <c r="Q222" s="40">
        <f t="shared" si="13"/>
        <v>0</v>
      </c>
      <c r="R222" s="40">
        <f t="shared" si="14"/>
        <v>0</v>
      </c>
      <c r="S222" s="41"/>
      <c r="T222" s="41"/>
      <c r="U222" s="41"/>
      <c r="V222" s="41"/>
      <c r="W222" s="41"/>
      <c r="X222" s="41"/>
      <c r="Y222" s="33">
        <f t="shared" si="15"/>
        <v>0</v>
      </c>
    </row>
    <row r="223" spans="4:25" x14ac:dyDescent="0.25">
      <c r="D223" s="69"/>
      <c r="E223" s="34"/>
      <c r="F223" s="34"/>
      <c r="H223" s="35"/>
      <c r="I223" s="36"/>
      <c r="J223" s="37"/>
      <c r="K223" s="38"/>
      <c r="L223" s="29"/>
      <c r="M223" s="29"/>
      <c r="N223" s="29"/>
      <c r="O223" s="39"/>
      <c r="P223" s="40">
        <f t="shared" si="12"/>
        <v>0</v>
      </c>
      <c r="Q223" s="40">
        <f t="shared" si="13"/>
        <v>0</v>
      </c>
      <c r="R223" s="40">
        <f t="shared" si="14"/>
        <v>0</v>
      </c>
      <c r="S223" s="41"/>
      <c r="T223" s="41"/>
      <c r="U223" s="41"/>
      <c r="V223" s="41"/>
      <c r="W223" s="41"/>
      <c r="X223" s="41"/>
      <c r="Y223" s="33">
        <f t="shared" si="15"/>
        <v>0</v>
      </c>
    </row>
    <row r="224" spans="4:25" x14ac:dyDescent="0.25">
      <c r="D224" s="69"/>
      <c r="E224" s="34"/>
      <c r="F224" s="34"/>
      <c r="H224" s="35"/>
      <c r="I224" s="36"/>
      <c r="J224" s="37"/>
      <c r="K224" s="38"/>
      <c r="L224" s="29"/>
      <c r="M224" s="29"/>
      <c r="N224" s="29"/>
      <c r="O224" s="39"/>
      <c r="P224" s="40">
        <f t="shared" si="12"/>
        <v>0</v>
      </c>
      <c r="Q224" s="40">
        <f t="shared" si="13"/>
        <v>0</v>
      </c>
      <c r="R224" s="40">
        <f t="shared" si="14"/>
        <v>0</v>
      </c>
      <c r="S224" s="41"/>
      <c r="T224" s="41"/>
      <c r="U224" s="41"/>
      <c r="V224" s="41"/>
      <c r="W224" s="41"/>
      <c r="X224" s="41"/>
      <c r="Y224" s="33">
        <f t="shared" si="15"/>
        <v>0</v>
      </c>
    </row>
    <row r="225" spans="4:25" x14ac:dyDescent="0.25">
      <c r="D225" s="69"/>
      <c r="E225" s="34"/>
      <c r="F225" s="34"/>
      <c r="H225" s="35"/>
      <c r="I225" s="36"/>
      <c r="J225" s="37"/>
      <c r="K225" s="38"/>
      <c r="L225" s="29"/>
      <c r="M225" s="29"/>
      <c r="N225" s="29"/>
      <c r="O225" s="39"/>
      <c r="P225" s="40">
        <f t="shared" si="12"/>
        <v>0</v>
      </c>
      <c r="Q225" s="40">
        <f t="shared" si="13"/>
        <v>0</v>
      </c>
      <c r="R225" s="40">
        <f t="shared" si="14"/>
        <v>0</v>
      </c>
      <c r="S225" s="41"/>
      <c r="T225" s="41"/>
      <c r="U225" s="41"/>
      <c r="V225" s="41"/>
      <c r="W225" s="41"/>
      <c r="X225" s="41"/>
      <c r="Y225" s="33">
        <f t="shared" si="15"/>
        <v>0</v>
      </c>
    </row>
    <row r="226" spans="4:25" x14ac:dyDescent="0.25">
      <c r="D226" s="69"/>
      <c r="E226" s="34"/>
      <c r="F226" s="34"/>
      <c r="H226" s="35"/>
      <c r="I226" s="36"/>
      <c r="J226" s="37"/>
      <c r="K226" s="38"/>
      <c r="L226" s="29"/>
      <c r="M226" s="29"/>
      <c r="N226" s="29"/>
      <c r="O226" s="39"/>
      <c r="P226" s="40">
        <f t="shared" si="12"/>
        <v>0</v>
      </c>
      <c r="Q226" s="40">
        <f t="shared" si="13"/>
        <v>0</v>
      </c>
      <c r="R226" s="40">
        <f t="shared" si="14"/>
        <v>0</v>
      </c>
      <c r="S226" s="41"/>
      <c r="T226" s="41"/>
      <c r="U226" s="41"/>
      <c r="V226" s="41"/>
      <c r="W226" s="41"/>
      <c r="X226" s="41"/>
      <c r="Y226" s="33">
        <f t="shared" si="15"/>
        <v>0</v>
      </c>
    </row>
    <row r="227" spans="4:25" x14ac:dyDescent="0.25">
      <c r="D227" s="69"/>
      <c r="E227" s="34"/>
      <c r="F227" s="34"/>
      <c r="H227" s="35"/>
      <c r="I227" s="36"/>
      <c r="J227" s="37"/>
      <c r="K227" s="38"/>
      <c r="L227" s="29"/>
      <c r="M227" s="29"/>
      <c r="N227" s="29"/>
      <c r="O227" s="39"/>
      <c r="P227" s="40">
        <f t="shared" si="12"/>
        <v>0</v>
      </c>
      <c r="Q227" s="40">
        <f t="shared" si="13"/>
        <v>0</v>
      </c>
      <c r="R227" s="40">
        <f t="shared" si="14"/>
        <v>0</v>
      </c>
      <c r="S227" s="41"/>
      <c r="T227" s="41"/>
      <c r="U227" s="41"/>
      <c r="V227" s="41"/>
      <c r="W227" s="41"/>
      <c r="X227" s="41"/>
      <c r="Y227" s="33">
        <f t="shared" si="15"/>
        <v>0</v>
      </c>
    </row>
    <row r="228" spans="4:25" x14ac:dyDescent="0.25">
      <c r="D228" s="69"/>
      <c r="E228" s="34"/>
      <c r="F228" s="34"/>
      <c r="H228" s="35"/>
      <c r="I228" s="36"/>
      <c r="J228" s="37"/>
      <c r="K228" s="38"/>
      <c r="L228" s="29"/>
      <c r="M228" s="29"/>
      <c r="N228" s="29"/>
      <c r="O228" s="39"/>
      <c r="P228" s="40">
        <f t="shared" si="12"/>
        <v>0</v>
      </c>
      <c r="Q228" s="40">
        <f t="shared" si="13"/>
        <v>0</v>
      </c>
      <c r="R228" s="40">
        <f t="shared" si="14"/>
        <v>0</v>
      </c>
      <c r="S228" s="41"/>
      <c r="T228" s="41"/>
      <c r="U228" s="41"/>
      <c r="V228" s="41"/>
      <c r="W228" s="41"/>
      <c r="X228" s="41"/>
      <c r="Y228" s="33">
        <f t="shared" si="15"/>
        <v>0</v>
      </c>
    </row>
    <row r="229" spans="4:25" x14ac:dyDescent="0.25">
      <c r="D229" s="69"/>
      <c r="E229" s="34"/>
      <c r="F229" s="34"/>
      <c r="H229" s="35"/>
      <c r="I229" s="36"/>
      <c r="J229" s="37"/>
      <c r="K229" s="38"/>
      <c r="L229" s="29"/>
      <c r="M229" s="29"/>
      <c r="N229" s="29"/>
      <c r="O229" s="39"/>
      <c r="P229" s="40">
        <f t="shared" si="12"/>
        <v>0</v>
      </c>
      <c r="Q229" s="40">
        <f t="shared" si="13"/>
        <v>0</v>
      </c>
      <c r="R229" s="40">
        <f t="shared" si="14"/>
        <v>0</v>
      </c>
      <c r="S229" s="41"/>
      <c r="T229" s="41"/>
      <c r="U229" s="41"/>
      <c r="V229" s="41"/>
      <c r="W229" s="41"/>
      <c r="X229" s="41"/>
      <c r="Y229" s="33">
        <f t="shared" si="15"/>
        <v>0</v>
      </c>
    </row>
    <row r="230" spans="4:25" x14ac:dyDescent="0.25">
      <c r="D230" s="69"/>
      <c r="E230" s="34"/>
      <c r="F230" s="34"/>
      <c r="H230" s="35"/>
      <c r="I230" s="36"/>
      <c r="J230" s="37"/>
      <c r="K230" s="38"/>
      <c r="L230" s="29"/>
      <c r="M230" s="29"/>
      <c r="N230" s="29"/>
      <c r="O230" s="39"/>
      <c r="P230" s="40">
        <f t="shared" si="12"/>
        <v>0</v>
      </c>
      <c r="Q230" s="40">
        <f t="shared" si="13"/>
        <v>0</v>
      </c>
      <c r="R230" s="40">
        <f t="shared" si="14"/>
        <v>0</v>
      </c>
      <c r="S230" s="41"/>
      <c r="T230" s="41"/>
      <c r="U230" s="41"/>
      <c r="V230" s="41"/>
      <c r="W230" s="41"/>
      <c r="X230" s="41"/>
      <c r="Y230" s="33">
        <f t="shared" si="15"/>
        <v>0</v>
      </c>
    </row>
    <row r="231" spans="4:25" x14ac:dyDescent="0.25">
      <c r="D231" s="69"/>
      <c r="E231" s="34"/>
      <c r="F231" s="34"/>
      <c r="H231" s="35"/>
      <c r="I231" s="36"/>
      <c r="J231" s="37"/>
      <c r="K231" s="38"/>
      <c r="L231" s="29"/>
      <c r="M231" s="29"/>
      <c r="N231" s="29"/>
      <c r="O231" s="39"/>
      <c r="P231" s="40">
        <f t="shared" si="12"/>
        <v>0</v>
      </c>
      <c r="Q231" s="40">
        <f t="shared" si="13"/>
        <v>0</v>
      </c>
      <c r="R231" s="40">
        <f t="shared" si="14"/>
        <v>0</v>
      </c>
      <c r="S231" s="41"/>
      <c r="T231" s="41"/>
      <c r="U231" s="41"/>
      <c r="V231" s="41"/>
      <c r="W231" s="41"/>
      <c r="X231" s="41"/>
      <c r="Y231" s="33">
        <f t="shared" si="15"/>
        <v>0</v>
      </c>
    </row>
    <row r="232" spans="4:25" x14ac:dyDescent="0.25">
      <c r="D232" s="69"/>
      <c r="E232" s="34"/>
      <c r="F232" s="34"/>
      <c r="H232" s="35"/>
      <c r="I232" s="36"/>
      <c r="J232" s="37"/>
      <c r="K232" s="38"/>
      <c r="L232" s="29"/>
      <c r="M232" s="29"/>
      <c r="N232" s="29"/>
      <c r="O232" s="39"/>
      <c r="P232" s="40">
        <f t="shared" si="12"/>
        <v>0</v>
      </c>
      <c r="Q232" s="40">
        <f t="shared" si="13"/>
        <v>0</v>
      </c>
      <c r="R232" s="40">
        <f t="shared" si="14"/>
        <v>0</v>
      </c>
      <c r="S232" s="41"/>
      <c r="T232" s="41"/>
      <c r="U232" s="41"/>
      <c r="V232" s="41"/>
      <c r="W232" s="41"/>
      <c r="X232" s="41"/>
      <c r="Y232" s="33">
        <f t="shared" si="15"/>
        <v>0</v>
      </c>
    </row>
    <row r="233" spans="4:25" x14ac:dyDescent="0.25">
      <c r="D233" s="69"/>
      <c r="E233" s="34"/>
      <c r="F233" s="34"/>
      <c r="H233" s="35"/>
      <c r="I233" s="36"/>
      <c r="J233" s="37"/>
      <c r="K233" s="38"/>
      <c r="L233" s="29"/>
      <c r="M233" s="29"/>
      <c r="N233" s="29"/>
      <c r="O233" s="39"/>
      <c r="P233" s="40">
        <f t="shared" si="12"/>
        <v>0</v>
      </c>
      <c r="Q233" s="40">
        <f t="shared" si="13"/>
        <v>0</v>
      </c>
      <c r="R233" s="40">
        <f t="shared" si="14"/>
        <v>0</v>
      </c>
      <c r="S233" s="41"/>
      <c r="T233" s="41"/>
      <c r="U233" s="41"/>
      <c r="V233" s="41"/>
      <c r="W233" s="41"/>
      <c r="X233" s="41"/>
      <c r="Y233" s="33">
        <f t="shared" si="15"/>
        <v>0</v>
      </c>
    </row>
    <row r="234" spans="4:25" x14ac:dyDescent="0.25">
      <c r="D234" s="69"/>
      <c r="E234" s="34"/>
      <c r="F234" s="34"/>
      <c r="H234" s="35"/>
      <c r="I234" s="36"/>
      <c r="J234" s="37"/>
      <c r="K234" s="38"/>
      <c r="L234" s="29"/>
      <c r="M234" s="29"/>
      <c r="N234" s="29"/>
      <c r="O234" s="39"/>
      <c r="P234" s="40">
        <f t="shared" si="12"/>
        <v>0</v>
      </c>
      <c r="Q234" s="40">
        <f t="shared" si="13"/>
        <v>0</v>
      </c>
      <c r="R234" s="40">
        <f t="shared" si="14"/>
        <v>0</v>
      </c>
      <c r="S234" s="41"/>
      <c r="T234" s="41"/>
      <c r="U234" s="41"/>
      <c r="V234" s="41"/>
      <c r="W234" s="41"/>
      <c r="X234" s="41"/>
      <c r="Y234" s="33">
        <f t="shared" si="15"/>
        <v>0</v>
      </c>
    </row>
    <row r="235" spans="4:25" x14ac:dyDescent="0.25">
      <c r="D235" s="69"/>
      <c r="E235" s="34"/>
      <c r="F235" s="34"/>
      <c r="H235" s="35"/>
      <c r="I235" s="36"/>
      <c r="J235" s="37"/>
      <c r="K235" s="38"/>
      <c r="L235" s="29"/>
      <c r="M235" s="29"/>
      <c r="N235" s="29"/>
      <c r="O235" s="39"/>
      <c r="P235" s="40">
        <f t="shared" si="12"/>
        <v>0</v>
      </c>
      <c r="Q235" s="40">
        <f t="shared" si="13"/>
        <v>0</v>
      </c>
      <c r="R235" s="40">
        <f t="shared" si="14"/>
        <v>0</v>
      </c>
      <c r="S235" s="41"/>
      <c r="T235" s="41"/>
      <c r="U235" s="41"/>
      <c r="V235" s="41"/>
      <c r="W235" s="41"/>
      <c r="X235" s="41"/>
      <c r="Y235" s="33">
        <f t="shared" si="15"/>
        <v>0</v>
      </c>
    </row>
    <row r="236" spans="4:25" x14ac:dyDescent="0.25">
      <c r="D236" s="69"/>
      <c r="E236" s="34"/>
      <c r="F236" s="34"/>
      <c r="H236" s="35"/>
      <c r="I236" s="36"/>
      <c r="J236" s="37"/>
      <c r="K236" s="38"/>
      <c r="L236" s="29"/>
      <c r="M236" s="29"/>
      <c r="N236" s="29"/>
      <c r="O236" s="39"/>
      <c r="P236" s="40">
        <f t="shared" si="12"/>
        <v>0</v>
      </c>
      <c r="Q236" s="40">
        <f t="shared" si="13"/>
        <v>0</v>
      </c>
      <c r="R236" s="40">
        <f t="shared" si="14"/>
        <v>0</v>
      </c>
      <c r="S236" s="41"/>
      <c r="T236" s="41"/>
      <c r="U236" s="41"/>
      <c r="V236" s="41"/>
      <c r="W236" s="41"/>
      <c r="X236" s="41"/>
      <c r="Y236" s="33">
        <f t="shared" si="15"/>
        <v>0</v>
      </c>
    </row>
    <row r="237" spans="4:25" x14ac:dyDescent="0.25">
      <c r="D237" s="69"/>
      <c r="E237" s="34"/>
      <c r="F237" s="34"/>
      <c r="H237" s="35"/>
      <c r="I237" s="36"/>
      <c r="J237" s="37"/>
      <c r="K237" s="38"/>
      <c r="L237" s="29"/>
      <c r="M237" s="29"/>
      <c r="N237" s="29"/>
      <c r="O237" s="39"/>
      <c r="P237" s="40">
        <f t="shared" si="12"/>
        <v>0</v>
      </c>
      <c r="Q237" s="40">
        <f t="shared" si="13"/>
        <v>0</v>
      </c>
      <c r="R237" s="40">
        <f t="shared" si="14"/>
        <v>0</v>
      </c>
      <c r="S237" s="41"/>
      <c r="T237" s="41"/>
      <c r="U237" s="41"/>
      <c r="V237" s="41"/>
      <c r="W237" s="41"/>
      <c r="X237" s="41"/>
      <c r="Y237" s="33">
        <f t="shared" si="15"/>
        <v>0</v>
      </c>
    </row>
    <row r="238" spans="4:25" x14ac:dyDescent="0.25">
      <c r="D238" s="69"/>
      <c r="E238" s="34"/>
      <c r="F238" s="34"/>
      <c r="H238" s="35"/>
      <c r="I238" s="36"/>
      <c r="J238" s="37"/>
      <c r="K238" s="38"/>
      <c r="L238" s="29"/>
      <c r="M238" s="29"/>
      <c r="N238" s="29"/>
      <c r="O238" s="39"/>
      <c r="P238" s="40">
        <f t="shared" si="12"/>
        <v>0</v>
      </c>
      <c r="Q238" s="40">
        <f t="shared" si="13"/>
        <v>0</v>
      </c>
      <c r="R238" s="40">
        <f t="shared" si="14"/>
        <v>0</v>
      </c>
      <c r="S238" s="41"/>
      <c r="T238" s="41"/>
      <c r="U238" s="41"/>
      <c r="V238" s="41"/>
      <c r="W238" s="41"/>
      <c r="X238" s="41"/>
      <c r="Y238" s="33">
        <f t="shared" si="15"/>
        <v>0</v>
      </c>
    </row>
    <row r="239" spans="4:25" x14ac:dyDescent="0.25">
      <c r="D239" s="69"/>
      <c r="E239" s="34"/>
      <c r="F239" s="34"/>
      <c r="H239" s="35"/>
      <c r="I239" s="36"/>
      <c r="J239" s="37"/>
      <c r="K239" s="38"/>
      <c r="L239" s="29"/>
      <c r="M239" s="29"/>
      <c r="N239" s="29"/>
      <c r="O239" s="39"/>
      <c r="P239" s="40">
        <f t="shared" si="12"/>
        <v>0</v>
      </c>
      <c r="Q239" s="40">
        <f t="shared" si="13"/>
        <v>0</v>
      </c>
      <c r="R239" s="40">
        <f t="shared" si="14"/>
        <v>0</v>
      </c>
      <c r="S239" s="41"/>
      <c r="T239" s="41"/>
      <c r="U239" s="41"/>
      <c r="V239" s="41"/>
      <c r="W239" s="41"/>
      <c r="X239" s="41"/>
      <c r="Y239" s="33">
        <f t="shared" si="15"/>
        <v>0</v>
      </c>
    </row>
    <row r="240" spans="4:25" x14ac:dyDescent="0.25">
      <c r="D240" s="69"/>
      <c r="E240" s="34"/>
      <c r="F240" s="34"/>
      <c r="H240" s="35"/>
      <c r="I240" s="36"/>
      <c r="J240" s="37"/>
      <c r="K240" s="38"/>
      <c r="L240" s="29"/>
      <c r="M240" s="29"/>
      <c r="N240" s="29"/>
      <c r="O240" s="39"/>
      <c r="P240" s="40">
        <f t="shared" si="12"/>
        <v>0</v>
      </c>
      <c r="Q240" s="40">
        <f t="shared" si="13"/>
        <v>0</v>
      </c>
      <c r="R240" s="40">
        <f t="shared" si="14"/>
        <v>0</v>
      </c>
      <c r="S240" s="41"/>
      <c r="T240" s="41"/>
      <c r="U240" s="41"/>
      <c r="V240" s="41"/>
      <c r="W240" s="41"/>
      <c r="X240" s="41"/>
      <c r="Y240" s="33">
        <f t="shared" si="15"/>
        <v>0</v>
      </c>
    </row>
    <row r="241" spans="4:25" x14ac:dyDescent="0.25">
      <c r="D241" s="69"/>
      <c r="E241" s="34"/>
      <c r="F241" s="34"/>
      <c r="H241" s="35"/>
      <c r="I241" s="36"/>
      <c r="J241" s="37"/>
      <c r="K241" s="38"/>
      <c r="L241" s="29"/>
      <c r="M241" s="29"/>
      <c r="N241" s="29"/>
      <c r="O241" s="39"/>
      <c r="P241" s="40">
        <f t="shared" si="12"/>
        <v>0</v>
      </c>
      <c r="Q241" s="40">
        <f t="shared" si="13"/>
        <v>0</v>
      </c>
      <c r="R241" s="40">
        <f t="shared" si="14"/>
        <v>0</v>
      </c>
      <c r="S241" s="41"/>
      <c r="T241" s="41"/>
      <c r="U241" s="41"/>
      <c r="V241" s="41"/>
      <c r="W241" s="41"/>
      <c r="X241" s="41"/>
      <c r="Y241" s="33">
        <f t="shared" si="15"/>
        <v>0</v>
      </c>
    </row>
    <row r="242" spans="4:25" x14ac:dyDescent="0.25">
      <c r="D242" s="69"/>
      <c r="E242" s="34"/>
      <c r="F242" s="34"/>
      <c r="H242" s="35"/>
      <c r="I242" s="36"/>
      <c r="J242" s="37"/>
      <c r="K242" s="38"/>
      <c r="L242" s="29"/>
      <c r="M242" s="29"/>
      <c r="N242" s="29"/>
      <c r="O242" s="39"/>
      <c r="P242" s="40">
        <f t="shared" si="12"/>
        <v>0</v>
      </c>
      <c r="Q242" s="40">
        <f t="shared" si="13"/>
        <v>0</v>
      </c>
      <c r="R242" s="40">
        <f t="shared" si="14"/>
        <v>0</v>
      </c>
      <c r="S242" s="41"/>
      <c r="T242" s="41"/>
      <c r="U242" s="41"/>
      <c r="V242" s="41"/>
      <c r="W242" s="41"/>
      <c r="X242" s="41"/>
      <c r="Y242" s="33">
        <f t="shared" si="15"/>
        <v>0</v>
      </c>
    </row>
    <row r="243" spans="4:25" x14ac:dyDescent="0.25">
      <c r="D243" s="69"/>
      <c r="E243" s="34"/>
      <c r="F243" s="34"/>
      <c r="H243" s="35"/>
      <c r="I243" s="36"/>
      <c r="J243" s="37"/>
      <c r="K243" s="38"/>
      <c r="L243" s="29"/>
      <c r="M243" s="29"/>
      <c r="N243" s="29"/>
      <c r="O243" s="39"/>
      <c r="P243" s="40">
        <f t="shared" si="12"/>
        <v>0</v>
      </c>
      <c r="Q243" s="40">
        <f t="shared" si="13"/>
        <v>0</v>
      </c>
      <c r="R243" s="40">
        <f t="shared" si="14"/>
        <v>0</v>
      </c>
      <c r="S243" s="41"/>
      <c r="T243" s="41"/>
      <c r="U243" s="41"/>
      <c r="V243" s="41"/>
      <c r="W243" s="41"/>
      <c r="X243" s="41"/>
      <c r="Y243" s="33">
        <f t="shared" si="15"/>
        <v>0</v>
      </c>
    </row>
    <row r="244" spans="4:25" x14ac:dyDescent="0.25">
      <c r="D244" s="69"/>
      <c r="E244" s="34"/>
      <c r="F244" s="34"/>
      <c r="H244" s="35"/>
      <c r="I244" s="36"/>
      <c r="J244" s="37"/>
      <c r="K244" s="38"/>
      <c r="L244" s="29"/>
      <c r="M244" s="29"/>
      <c r="N244" s="29"/>
      <c r="O244" s="39"/>
      <c r="P244" s="40">
        <f t="shared" si="12"/>
        <v>0</v>
      </c>
      <c r="Q244" s="40">
        <f t="shared" si="13"/>
        <v>0</v>
      </c>
      <c r="R244" s="40">
        <f t="shared" si="14"/>
        <v>0</v>
      </c>
      <c r="S244" s="41"/>
      <c r="T244" s="41"/>
      <c r="U244" s="41"/>
      <c r="V244" s="41"/>
      <c r="W244" s="41"/>
      <c r="X244" s="41"/>
      <c r="Y244" s="33">
        <f t="shared" si="15"/>
        <v>0</v>
      </c>
    </row>
    <row r="245" spans="4:25" x14ac:dyDescent="0.25">
      <c r="D245" s="69"/>
      <c r="E245" s="34"/>
      <c r="F245" s="34"/>
      <c r="H245" s="35"/>
      <c r="I245" s="36"/>
      <c r="J245" s="37"/>
      <c r="K245" s="38"/>
      <c r="L245" s="29"/>
      <c r="M245" s="29"/>
      <c r="N245" s="29"/>
      <c r="O245" s="39"/>
      <c r="P245" s="40">
        <f t="shared" si="12"/>
        <v>0</v>
      </c>
      <c r="Q245" s="40">
        <f t="shared" si="13"/>
        <v>0</v>
      </c>
      <c r="R245" s="40">
        <f t="shared" si="14"/>
        <v>0</v>
      </c>
      <c r="S245" s="41"/>
      <c r="T245" s="41"/>
      <c r="U245" s="41"/>
      <c r="V245" s="41"/>
      <c r="W245" s="41"/>
      <c r="X245" s="41"/>
      <c r="Y245" s="33">
        <f t="shared" si="15"/>
        <v>0</v>
      </c>
    </row>
    <row r="246" spans="4:25" x14ac:dyDescent="0.25">
      <c r="D246" s="69"/>
      <c r="E246" s="34"/>
      <c r="F246" s="34"/>
      <c r="H246" s="35"/>
      <c r="I246" s="36"/>
      <c r="J246" s="37"/>
      <c r="K246" s="38"/>
      <c r="L246" s="29"/>
      <c r="M246" s="29"/>
      <c r="N246" s="29"/>
      <c r="O246" s="39"/>
      <c r="P246" s="40">
        <f t="shared" si="12"/>
        <v>0</v>
      </c>
      <c r="Q246" s="40">
        <f t="shared" si="13"/>
        <v>0</v>
      </c>
      <c r="R246" s="40">
        <f t="shared" si="14"/>
        <v>0</v>
      </c>
      <c r="S246" s="41"/>
      <c r="T246" s="41"/>
      <c r="U246" s="41"/>
      <c r="V246" s="41"/>
      <c r="W246" s="41"/>
      <c r="X246" s="41"/>
      <c r="Y246" s="33">
        <f t="shared" si="15"/>
        <v>0</v>
      </c>
    </row>
    <row r="247" spans="4:25" x14ac:dyDescent="0.25">
      <c r="D247" s="69"/>
      <c r="E247" s="34"/>
      <c r="F247" s="34"/>
      <c r="H247" s="35"/>
      <c r="I247" s="36"/>
      <c r="J247" s="37"/>
      <c r="K247" s="38"/>
      <c r="L247" s="29"/>
      <c r="M247" s="29"/>
      <c r="N247" s="29"/>
      <c r="O247" s="39"/>
      <c r="P247" s="40">
        <f t="shared" si="12"/>
        <v>0</v>
      </c>
      <c r="Q247" s="40">
        <f t="shared" si="13"/>
        <v>0</v>
      </c>
      <c r="R247" s="40">
        <f t="shared" si="14"/>
        <v>0</v>
      </c>
      <c r="S247" s="41"/>
      <c r="T247" s="41"/>
      <c r="U247" s="41"/>
      <c r="V247" s="41"/>
      <c r="W247" s="41"/>
      <c r="X247" s="41"/>
      <c r="Y247" s="33">
        <f t="shared" si="15"/>
        <v>0</v>
      </c>
    </row>
    <row r="248" spans="4:25" x14ac:dyDescent="0.25">
      <c r="D248" s="69"/>
      <c r="E248" s="34"/>
      <c r="F248" s="34"/>
      <c r="H248" s="35"/>
      <c r="I248" s="36"/>
      <c r="J248" s="37"/>
      <c r="K248" s="38"/>
      <c r="L248" s="29"/>
      <c r="M248" s="29"/>
      <c r="N248" s="29"/>
      <c r="O248" s="39"/>
      <c r="P248" s="40">
        <f t="shared" si="12"/>
        <v>0</v>
      </c>
      <c r="Q248" s="40">
        <f t="shared" si="13"/>
        <v>0</v>
      </c>
      <c r="R248" s="40">
        <f t="shared" si="14"/>
        <v>0</v>
      </c>
      <c r="S248" s="41"/>
      <c r="T248" s="41"/>
      <c r="U248" s="41"/>
      <c r="V248" s="41"/>
      <c r="W248" s="41"/>
      <c r="X248" s="41"/>
      <c r="Y248" s="33">
        <f t="shared" si="15"/>
        <v>0</v>
      </c>
    </row>
    <row r="249" spans="4:25" x14ac:dyDescent="0.25">
      <c r="D249" s="69"/>
      <c r="E249" s="34"/>
      <c r="F249" s="34"/>
      <c r="H249" s="35"/>
      <c r="I249" s="36"/>
      <c r="J249" s="37"/>
      <c r="K249" s="38"/>
      <c r="L249" s="29"/>
      <c r="M249" s="29"/>
      <c r="N249" s="29"/>
      <c r="O249" s="39"/>
      <c r="P249" s="40">
        <f t="shared" si="12"/>
        <v>0</v>
      </c>
      <c r="Q249" s="40">
        <f t="shared" si="13"/>
        <v>0</v>
      </c>
      <c r="R249" s="40">
        <f t="shared" si="14"/>
        <v>0</v>
      </c>
      <c r="S249" s="41"/>
      <c r="T249" s="41"/>
      <c r="U249" s="41"/>
      <c r="V249" s="41"/>
      <c r="W249" s="41"/>
      <c r="X249" s="41"/>
      <c r="Y249" s="33">
        <f t="shared" si="15"/>
        <v>0</v>
      </c>
    </row>
    <row r="250" spans="4:25" x14ac:dyDescent="0.25">
      <c r="D250" s="69"/>
      <c r="E250" s="34"/>
      <c r="F250" s="34"/>
      <c r="H250" s="35"/>
      <c r="I250" s="36"/>
      <c r="J250" s="37"/>
      <c r="K250" s="38"/>
      <c r="L250" s="29"/>
      <c r="M250" s="29"/>
      <c r="N250" s="29"/>
      <c r="O250" s="39"/>
      <c r="P250" s="40">
        <f t="shared" si="12"/>
        <v>0</v>
      </c>
      <c r="Q250" s="40">
        <f t="shared" si="13"/>
        <v>0</v>
      </c>
      <c r="R250" s="40">
        <f t="shared" si="14"/>
        <v>0</v>
      </c>
      <c r="S250" s="41"/>
      <c r="T250" s="41"/>
      <c r="U250" s="41"/>
      <c r="V250" s="41"/>
      <c r="W250" s="41"/>
      <c r="X250" s="41"/>
      <c r="Y250" s="33">
        <f t="shared" si="15"/>
        <v>0</v>
      </c>
    </row>
    <row r="251" spans="4:25" x14ac:dyDescent="0.25">
      <c r="D251" s="69"/>
      <c r="E251" s="34"/>
      <c r="F251" s="34"/>
      <c r="H251" s="35"/>
      <c r="I251" s="36"/>
      <c r="J251" s="37"/>
      <c r="K251" s="38"/>
      <c r="L251" s="29"/>
      <c r="M251" s="29"/>
      <c r="N251" s="29"/>
      <c r="O251" s="39"/>
      <c r="P251" s="40">
        <f t="shared" si="12"/>
        <v>0</v>
      </c>
      <c r="Q251" s="40">
        <f t="shared" si="13"/>
        <v>0</v>
      </c>
      <c r="R251" s="40">
        <f t="shared" si="14"/>
        <v>0</v>
      </c>
      <c r="S251" s="41"/>
      <c r="T251" s="41"/>
      <c r="U251" s="41"/>
      <c r="V251" s="41"/>
      <c r="W251" s="41"/>
      <c r="X251" s="41"/>
      <c r="Y251" s="33">
        <f t="shared" si="15"/>
        <v>0</v>
      </c>
    </row>
    <row r="252" spans="4:25" x14ac:dyDescent="0.25">
      <c r="D252" s="69"/>
      <c r="E252" s="34"/>
      <c r="F252" s="34"/>
      <c r="H252" s="35"/>
      <c r="I252" s="36"/>
      <c r="J252" s="37"/>
      <c r="K252" s="38"/>
      <c r="L252" s="29"/>
      <c r="M252" s="29"/>
      <c r="N252" s="29"/>
      <c r="O252" s="39"/>
      <c r="P252" s="40">
        <f t="shared" si="12"/>
        <v>0</v>
      </c>
      <c r="Q252" s="40">
        <f t="shared" si="13"/>
        <v>0</v>
      </c>
      <c r="R252" s="40">
        <f t="shared" si="14"/>
        <v>0</v>
      </c>
      <c r="S252" s="41"/>
      <c r="T252" s="41"/>
      <c r="U252" s="41"/>
      <c r="V252" s="41"/>
      <c r="W252" s="41"/>
      <c r="X252" s="41"/>
      <c r="Y252" s="33">
        <f t="shared" si="15"/>
        <v>0</v>
      </c>
    </row>
    <row r="253" spans="4:25" x14ac:dyDescent="0.25">
      <c r="D253" s="69"/>
      <c r="E253" s="34"/>
      <c r="F253" s="34"/>
      <c r="H253" s="35"/>
      <c r="I253" s="36"/>
      <c r="J253" s="37"/>
      <c r="K253" s="38"/>
      <c r="L253" s="29"/>
      <c r="M253" s="29"/>
      <c r="N253" s="29"/>
      <c r="O253" s="39"/>
      <c r="P253" s="40">
        <f t="shared" si="12"/>
        <v>0</v>
      </c>
      <c r="Q253" s="40">
        <f t="shared" si="13"/>
        <v>0</v>
      </c>
      <c r="R253" s="40">
        <f t="shared" si="14"/>
        <v>0</v>
      </c>
      <c r="S253" s="41"/>
      <c r="T253" s="41"/>
      <c r="U253" s="41"/>
      <c r="V253" s="41"/>
      <c r="W253" s="41"/>
      <c r="X253" s="41"/>
      <c r="Y253" s="33">
        <f t="shared" si="15"/>
        <v>0</v>
      </c>
    </row>
    <row r="254" spans="4:25" x14ac:dyDescent="0.25">
      <c r="D254" s="69"/>
      <c r="E254" s="34"/>
      <c r="F254" s="34"/>
      <c r="H254" s="35"/>
      <c r="I254" s="36"/>
      <c r="J254" s="37"/>
      <c r="K254" s="38"/>
      <c r="L254" s="29"/>
      <c r="M254" s="29"/>
      <c r="N254" s="29"/>
      <c r="O254" s="39"/>
      <c r="P254" s="40">
        <f t="shared" si="12"/>
        <v>0</v>
      </c>
      <c r="Q254" s="40">
        <f t="shared" si="13"/>
        <v>0</v>
      </c>
      <c r="R254" s="40">
        <f t="shared" si="14"/>
        <v>0</v>
      </c>
      <c r="S254" s="41"/>
      <c r="T254" s="41"/>
      <c r="U254" s="41"/>
      <c r="V254" s="41"/>
      <c r="W254" s="41"/>
      <c r="X254" s="41"/>
      <c r="Y254" s="33">
        <f t="shared" si="15"/>
        <v>0</v>
      </c>
    </row>
    <row r="255" spans="4:25" x14ac:dyDescent="0.25">
      <c r="D255" s="69"/>
      <c r="E255" s="34"/>
      <c r="F255" s="34"/>
      <c r="H255" s="35"/>
      <c r="I255" s="36"/>
      <c r="J255" s="37"/>
      <c r="K255" s="38"/>
      <c r="L255" s="29"/>
      <c r="M255" s="29"/>
      <c r="N255" s="29"/>
      <c r="O255" s="39"/>
      <c r="P255" s="40">
        <f t="shared" si="12"/>
        <v>0</v>
      </c>
      <c r="Q255" s="40">
        <f t="shared" si="13"/>
        <v>0</v>
      </c>
      <c r="R255" s="40">
        <f t="shared" si="14"/>
        <v>0</v>
      </c>
      <c r="S255" s="41"/>
      <c r="T255" s="41"/>
      <c r="U255" s="41"/>
      <c r="V255" s="41"/>
      <c r="W255" s="41"/>
      <c r="X255" s="41"/>
      <c r="Y255" s="33">
        <f t="shared" si="15"/>
        <v>0</v>
      </c>
    </row>
    <row r="256" spans="4:25" x14ac:dyDescent="0.25">
      <c r="D256" s="69"/>
      <c r="E256" s="34"/>
      <c r="F256" s="34"/>
      <c r="H256" s="35"/>
      <c r="I256" s="36"/>
      <c r="J256" s="37"/>
      <c r="K256" s="38"/>
      <c r="L256" s="29"/>
      <c r="M256" s="29"/>
      <c r="N256" s="29"/>
      <c r="O256" s="39"/>
      <c r="P256" s="40">
        <f t="shared" si="12"/>
        <v>0</v>
      </c>
      <c r="Q256" s="40">
        <f t="shared" si="13"/>
        <v>0</v>
      </c>
      <c r="R256" s="40">
        <f t="shared" si="14"/>
        <v>0</v>
      </c>
      <c r="S256" s="41"/>
      <c r="T256" s="41"/>
      <c r="U256" s="41"/>
      <c r="V256" s="41"/>
      <c r="W256" s="41"/>
      <c r="X256" s="41"/>
      <c r="Y256" s="33">
        <f t="shared" si="15"/>
        <v>0</v>
      </c>
    </row>
    <row r="257" spans="4:25" x14ac:dyDescent="0.25">
      <c r="D257" s="69"/>
      <c r="E257" s="34"/>
      <c r="F257" s="34"/>
      <c r="H257" s="35"/>
      <c r="I257" s="36"/>
      <c r="J257" s="37"/>
      <c r="K257" s="38"/>
      <c r="L257" s="29"/>
      <c r="M257" s="29"/>
      <c r="N257" s="29"/>
      <c r="O257" s="39"/>
      <c r="P257" s="40">
        <f t="shared" si="12"/>
        <v>0</v>
      </c>
      <c r="Q257" s="40">
        <f t="shared" si="13"/>
        <v>0</v>
      </c>
      <c r="R257" s="40">
        <f t="shared" si="14"/>
        <v>0</v>
      </c>
      <c r="S257" s="41"/>
      <c r="T257" s="41"/>
      <c r="U257" s="41"/>
      <c r="V257" s="41"/>
      <c r="W257" s="41"/>
      <c r="X257" s="41"/>
      <c r="Y257" s="33">
        <f t="shared" si="15"/>
        <v>0</v>
      </c>
    </row>
    <row r="258" spans="4:25" x14ac:dyDescent="0.25">
      <c r="D258" s="69"/>
      <c r="E258" s="34"/>
      <c r="F258" s="34"/>
      <c r="H258" s="35"/>
      <c r="I258" s="36"/>
      <c r="J258" s="37"/>
      <c r="K258" s="38"/>
      <c r="L258" s="29"/>
      <c r="M258" s="29"/>
      <c r="N258" s="29"/>
      <c r="O258" s="39"/>
      <c r="P258" s="40">
        <f t="shared" si="12"/>
        <v>0</v>
      </c>
      <c r="Q258" s="40">
        <f t="shared" si="13"/>
        <v>0</v>
      </c>
      <c r="R258" s="40">
        <f t="shared" si="14"/>
        <v>0</v>
      </c>
      <c r="S258" s="41"/>
      <c r="T258" s="41"/>
      <c r="U258" s="41"/>
      <c r="V258" s="41"/>
      <c r="W258" s="41"/>
      <c r="X258" s="41"/>
      <c r="Y258" s="33">
        <f t="shared" si="15"/>
        <v>0</v>
      </c>
    </row>
    <row r="259" spans="4:25" x14ac:dyDescent="0.25">
      <c r="D259" s="69"/>
      <c r="E259" s="34"/>
      <c r="F259" s="34"/>
      <c r="H259" s="35"/>
      <c r="I259" s="36"/>
      <c r="J259" s="37"/>
      <c r="K259" s="38"/>
      <c r="L259" s="29"/>
      <c r="M259" s="29"/>
      <c r="N259" s="29"/>
      <c r="O259" s="39"/>
      <c r="P259" s="40">
        <f t="shared" ref="P259:P302" si="16">$L259*$O259</f>
        <v>0</v>
      </c>
      <c r="Q259" s="40">
        <f t="shared" si="13"/>
        <v>0</v>
      </c>
      <c r="R259" s="40">
        <f t="shared" si="14"/>
        <v>0</v>
      </c>
      <c r="S259" s="41"/>
      <c r="T259" s="41"/>
      <c r="U259" s="41"/>
      <c r="V259" s="41"/>
      <c r="W259" s="41"/>
      <c r="X259" s="41"/>
      <c r="Y259" s="33">
        <f t="shared" si="15"/>
        <v>0</v>
      </c>
    </row>
    <row r="260" spans="4:25" x14ac:dyDescent="0.25">
      <c r="D260" s="69"/>
      <c r="E260" s="34"/>
      <c r="F260" s="34"/>
      <c r="H260" s="35"/>
      <c r="I260" s="36"/>
      <c r="J260" s="37"/>
      <c r="K260" s="38"/>
      <c r="L260" s="29"/>
      <c r="M260" s="29"/>
      <c r="N260" s="29"/>
      <c r="O260" s="39"/>
      <c r="P260" s="40">
        <f t="shared" si="16"/>
        <v>0</v>
      </c>
      <c r="Q260" s="40">
        <f t="shared" ref="Q260:Q302" si="17">IF(E260="NE",(M260*O260*1.5),(M260*O260))</f>
        <v>0</v>
      </c>
      <c r="R260" s="40">
        <f t="shared" ref="R260:R302" si="18">P260+Q260</f>
        <v>0</v>
      </c>
      <c r="S260" s="41"/>
      <c r="T260" s="41"/>
      <c r="U260" s="41"/>
      <c r="V260" s="41"/>
      <c r="W260" s="41"/>
      <c r="X260" s="41"/>
      <c r="Y260" s="33">
        <f t="shared" ref="Y260:Y302" si="19">SUM(R260:X260)</f>
        <v>0</v>
      </c>
    </row>
    <row r="261" spans="4:25" x14ac:dyDescent="0.25">
      <c r="D261" s="69"/>
      <c r="E261" s="34"/>
      <c r="F261" s="34"/>
      <c r="H261" s="35"/>
      <c r="I261" s="36"/>
      <c r="J261" s="37"/>
      <c r="K261" s="38"/>
      <c r="L261" s="29"/>
      <c r="M261" s="29"/>
      <c r="N261" s="29"/>
      <c r="O261" s="39"/>
      <c r="P261" s="40">
        <f t="shared" si="16"/>
        <v>0</v>
      </c>
      <c r="Q261" s="40">
        <f t="shared" si="17"/>
        <v>0</v>
      </c>
      <c r="R261" s="40">
        <f t="shared" si="18"/>
        <v>0</v>
      </c>
      <c r="S261" s="41"/>
      <c r="T261" s="41"/>
      <c r="U261" s="41"/>
      <c r="V261" s="41"/>
      <c r="W261" s="41"/>
      <c r="X261" s="41"/>
      <c r="Y261" s="33">
        <f t="shared" si="19"/>
        <v>0</v>
      </c>
    </row>
    <row r="262" spans="4:25" x14ac:dyDescent="0.25">
      <c r="D262" s="69"/>
      <c r="E262" s="34"/>
      <c r="F262" s="34"/>
      <c r="G262" s="38"/>
      <c r="H262" s="35"/>
      <c r="I262" s="36"/>
      <c r="J262" s="37"/>
      <c r="K262" s="38"/>
      <c r="L262" s="29"/>
      <c r="M262" s="29"/>
      <c r="N262" s="29"/>
      <c r="O262" s="39"/>
      <c r="P262" s="40">
        <f t="shared" si="16"/>
        <v>0</v>
      </c>
      <c r="Q262" s="40">
        <f t="shared" si="17"/>
        <v>0</v>
      </c>
      <c r="R262" s="40">
        <f t="shared" si="18"/>
        <v>0</v>
      </c>
      <c r="S262" s="41"/>
      <c r="T262" s="41"/>
      <c r="U262" s="41"/>
      <c r="V262" s="41"/>
      <c r="W262" s="41"/>
      <c r="X262" s="41"/>
      <c r="Y262" s="33">
        <f t="shared" si="19"/>
        <v>0</v>
      </c>
    </row>
    <row r="263" spans="4:25" x14ac:dyDescent="0.25">
      <c r="D263" s="69"/>
      <c r="E263" s="34"/>
      <c r="F263" s="34"/>
      <c r="G263" s="38"/>
      <c r="H263" s="35"/>
      <c r="I263" s="36"/>
      <c r="J263" s="37"/>
      <c r="K263" s="38"/>
      <c r="L263" s="29"/>
      <c r="M263" s="29"/>
      <c r="N263" s="29"/>
      <c r="O263" s="39"/>
      <c r="P263" s="40">
        <f t="shared" si="16"/>
        <v>0</v>
      </c>
      <c r="Q263" s="40">
        <f t="shared" si="17"/>
        <v>0</v>
      </c>
      <c r="R263" s="40">
        <f t="shared" si="18"/>
        <v>0</v>
      </c>
      <c r="S263" s="41"/>
      <c r="T263" s="41"/>
      <c r="U263" s="41"/>
      <c r="V263" s="41"/>
      <c r="W263" s="41"/>
      <c r="X263" s="41"/>
      <c r="Y263" s="33">
        <f t="shared" si="19"/>
        <v>0</v>
      </c>
    </row>
    <row r="264" spans="4:25" x14ac:dyDescent="0.25">
      <c r="D264" s="69"/>
      <c r="E264" s="34"/>
      <c r="F264" s="34"/>
      <c r="H264" s="35"/>
      <c r="I264" s="36"/>
      <c r="J264" s="37"/>
      <c r="K264" s="38"/>
      <c r="L264" s="29"/>
      <c r="M264" s="29"/>
      <c r="N264" s="29"/>
      <c r="O264" s="39"/>
      <c r="P264" s="40">
        <f t="shared" si="16"/>
        <v>0</v>
      </c>
      <c r="Q264" s="40">
        <f t="shared" si="17"/>
        <v>0</v>
      </c>
      <c r="R264" s="40">
        <f t="shared" si="18"/>
        <v>0</v>
      </c>
      <c r="S264" s="41"/>
      <c r="T264" s="41"/>
      <c r="U264" s="41"/>
      <c r="V264" s="41"/>
      <c r="W264" s="41"/>
      <c r="X264" s="41"/>
      <c r="Y264" s="33">
        <f t="shared" si="19"/>
        <v>0</v>
      </c>
    </row>
    <row r="265" spans="4:25" x14ac:dyDescent="0.25">
      <c r="D265" s="69"/>
      <c r="E265" s="34"/>
      <c r="F265" s="34"/>
      <c r="H265" s="35"/>
      <c r="I265" s="36"/>
      <c r="J265" s="37"/>
      <c r="K265" s="38"/>
      <c r="L265" s="29"/>
      <c r="M265" s="29"/>
      <c r="N265" s="29"/>
      <c r="O265" s="39"/>
      <c r="P265" s="40">
        <f t="shared" si="16"/>
        <v>0</v>
      </c>
      <c r="Q265" s="40">
        <f t="shared" si="17"/>
        <v>0</v>
      </c>
      <c r="R265" s="40">
        <f t="shared" si="18"/>
        <v>0</v>
      </c>
      <c r="S265" s="41"/>
      <c r="T265" s="41"/>
      <c r="U265" s="41"/>
      <c r="V265" s="41"/>
      <c r="W265" s="41"/>
      <c r="X265" s="41"/>
      <c r="Y265" s="33">
        <f t="shared" si="19"/>
        <v>0</v>
      </c>
    </row>
    <row r="266" spans="4:25" x14ac:dyDescent="0.25">
      <c r="D266" s="69"/>
      <c r="E266" s="34"/>
      <c r="F266" s="34"/>
      <c r="H266" s="35"/>
      <c r="I266" s="36"/>
      <c r="J266" s="37"/>
      <c r="K266" s="38"/>
      <c r="L266" s="29"/>
      <c r="M266" s="29"/>
      <c r="N266" s="29"/>
      <c r="O266" s="39"/>
      <c r="P266" s="40">
        <f t="shared" si="16"/>
        <v>0</v>
      </c>
      <c r="Q266" s="40">
        <f t="shared" si="17"/>
        <v>0</v>
      </c>
      <c r="R266" s="40">
        <f t="shared" si="18"/>
        <v>0</v>
      </c>
      <c r="S266" s="41"/>
      <c r="T266" s="41"/>
      <c r="U266" s="41"/>
      <c r="V266" s="41"/>
      <c r="W266" s="41"/>
      <c r="X266" s="41"/>
      <c r="Y266" s="33">
        <f t="shared" si="19"/>
        <v>0</v>
      </c>
    </row>
    <row r="267" spans="4:25" x14ac:dyDescent="0.25">
      <c r="D267" s="69"/>
      <c r="E267" s="34"/>
      <c r="F267" s="34"/>
      <c r="H267" s="35"/>
      <c r="I267" s="36"/>
      <c r="J267" s="37"/>
      <c r="K267" s="38"/>
      <c r="L267" s="29"/>
      <c r="M267" s="29"/>
      <c r="N267" s="29"/>
      <c r="O267" s="39"/>
      <c r="P267" s="40">
        <f t="shared" si="16"/>
        <v>0</v>
      </c>
      <c r="Q267" s="40">
        <f t="shared" si="17"/>
        <v>0</v>
      </c>
      <c r="R267" s="40">
        <f t="shared" si="18"/>
        <v>0</v>
      </c>
      <c r="S267" s="41"/>
      <c r="T267" s="41"/>
      <c r="U267" s="41"/>
      <c r="V267" s="41"/>
      <c r="W267" s="41"/>
      <c r="X267" s="41"/>
      <c r="Y267" s="33">
        <f t="shared" si="19"/>
        <v>0</v>
      </c>
    </row>
    <row r="268" spans="4:25" x14ac:dyDescent="0.25">
      <c r="D268" s="69"/>
      <c r="E268" s="34"/>
      <c r="F268" s="34"/>
      <c r="H268" s="35"/>
      <c r="I268" s="36"/>
      <c r="J268" s="37"/>
      <c r="K268" s="38"/>
      <c r="L268" s="29"/>
      <c r="M268" s="29"/>
      <c r="N268" s="29"/>
      <c r="O268" s="39"/>
      <c r="P268" s="40">
        <f t="shared" si="16"/>
        <v>0</v>
      </c>
      <c r="Q268" s="40">
        <f t="shared" si="17"/>
        <v>0</v>
      </c>
      <c r="R268" s="40">
        <f t="shared" si="18"/>
        <v>0</v>
      </c>
      <c r="S268" s="41"/>
      <c r="T268" s="41"/>
      <c r="U268" s="41"/>
      <c r="V268" s="41"/>
      <c r="W268" s="41"/>
      <c r="X268" s="41"/>
      <c r="Y268" s="33">
        <f t="shared" si="19"/>
        <v>0</v>
      </c>
    </row>
    <row r="269" spans="4:25" x14ac:dyDescent="0.25">
      <c r="D269" s="69"/>
      <c r="E269" s="34"/>
      <c r="F269" s="34"/>
      <c r="H269" s="35"/>
      <c r="I269" s="36"/>
      <c r="J269" s="37"/>
      <c r="K269" s="38"/>
      <c r="L269" s="29"/>
      <c r="M269" s="29"/>
      <c r="N269" s="29"/>
      <c r="O269" s="39"/>
      <c r="P269" s="40">
        <f t="shared" si="16"/>
        <v>0</v>
      </c>
      <c r="Q269" s="40">
        <f t="shared" si="17"/>
        <v>0</v>
      </c>
      <c r="R269" s="40">
        <f t="shared" si="18"/>
        <v>0</v>
      </c>
      <c r="S269" s="41"/>
      <c r="T269" s="41"/>
      <c r="U269" s="41"/>
      <c r="V269" s="41"/>
      <c r="W269" s="41"/>
      <c r="X269" s="41"/>
      <c r="Y269" s="33">
        <f t="shared" si="19"/>
        <v>0</v>
      </c>
    </row>
    <row r="270" spans="4:25" x14ac:dyDescent="0.25">
      <c r="D270" s="69"/>
      <c r="E270" s="34"/>
      <c r="F270" s="34"/>
      <c r="H270" s="35"/>
      <c r="I270" s="36"/>
      <c r="J270" s="37"/>
      <c r="K270" s="38"/>
      <c r="L270" s="29"/>
      <c r="M270" s="29"/>
      <c r="N270" s="29"/>
      <c r="O270" s="39"/>
      <c r="P270" s="40">
        <f t="shared" si="16"/>
        <v>0</v>
      </c>
      <c r="Q270" s="40">
        <f t="shared" si="17"/>
        <v>0</v>
      </c>
      <c r="R270" s="40">
        <f t="shared" si="18"/>
        <v>0</v>
      </c>
      <c r="S270" s="41"/>
      <c r="T270" s="41"/>
      <c r="U270" s="41"/>
      <c r="V270" s="41"/>
      <c r="W270" s="41"/>
      <c r="X270" s="41"/>
      <c r="Y270" s="33">
        <f t="shared" si="19"/>
        <v>0</v>
      </c>
    </row>
    <row r="271" spans="4:25" x14ac:dyDescent="0.25">
      <c r="D271" s="69"/>
      <c r="E271" s="34"/>
      <c r="F271" s="34"/>
      <c r="H271" s="35"/>
      <c r="I271" s="36"/>
      <c r="J271" s="37"/>
      <c r="K271" s="38"/>
      <c r="L271" s="29"/>
      <c r="M271" s="29"/>
      <c r="N271" s="29"/>
      <c r="O271" s="39"/>
      <c r="P271" s="40">
        <f t="shared" si="16"/>
        <v>0</v>
      </c>
      <c r="Q271" s="40">
        <f t="shared" si="17"/>
        <v>0</v>
      </c>
      <c r="R271" s="40">
        <f t="shared" si="18"/>
        <v>0</v>
      </c>
      <c r="S271" s="41"/>
      <c r="T271" s="41"/>
      <c r="U271" s="41"/>
      <c r="V271" s="41"/>
      <c r="W271" s="41"/>
      <c r="X271" s="41"/>
      <c r="Y271" s="33">
        <f t="shared" si="19"/>
        <v>0</v>
      </c>
    </row>
    <row r="272" spans="4:25" x14ac:dyDescent="0.25">
      <c r="D272" s="69"/>
      <c r="E272" s="34"/>
      <c r="F272" s="34"/>
      <c r="H272" s="35"/>
      <c r="I272" s="36"/>
      <c r="J272" s="37"/>
      <c r="K272" s="38"/>
      <c r="L272" s="29"/>
      <c r="M272" s="29"/>
      <c r="N272" s="29"/>
      <c r="O272" s="39"/>
      <c r="P272" s="40">
        <f t="shared" si="16"/>
        <v>0</v>
      </c>
      <c r="Q272" s="40">
        <f t="shared" si="17"/>
        <v>0</v>
      </c>
      <c r="R272" s="40">
        <f t="shared" si="18"/>
        <v>0</v>
      </c>
      <c r="S272" s="41"/>
      <c r="T272" s="41"/>
      <c r="U272" s="41"/>
      <c r="V272" s="41"/>
      <c r="W272" s="41"/>
      <c r="X272" s="41"/>
      <c r="Y272" s="33">
        <f t="shared" si="19"/>
        <v>0</v>
      </c>
    </row>
    <row r="273" spans="4:25" x14ac:dyDescent="0.25">
      <c r="D273" s="69"/>
      <c r="E273" s="34"/>
      <c r="F273" s="34"/>
      <c r="H273" s="35"/>
      <c r="I273" s="36"/>
      <c r="J273" s="37"/>
      <c r="K273" s="38"/>
      <c r="L273" s="29"/>
      <c r="M273" s="29"/>
      <c r="N273" s="29"/>
      <c r="O273" s="39"/>
      <c r="P273" s="40">
        <f t="shared" si="16"/>
        <v>0</v>
      </c>
      <c r="Q273" s="40">
        <f t="shared" si="17"/>
        <v>0</v>
      </c>
      <c r="R273" s="40">
        <f t="shared" si="18"/>
        <v>0</v>
      </c>
      <c r="S273" s="41"/>
      <c r="T273" s="41"/>
      <c r="U273" s="41"/>
      <c r="V273" s="41"/>
      <c r="W273" s="41"/>
      <c r="X273" s="41"/>
      <c r="Y273" s="33">
        <f t="shared" si="19"/>
        <v>0</v>
      </c>
    </row>
    <row r="274" spans="4:25" x14ac:dyDescent="0.25">
      <c r="D274" s="69"/>
      <c r="E274" s="34"/>
      <c r="F274" s="34"/>
      <c r="H274" s="35"/>
      <c r="I274" s="36"/>
      <c r="J274" s="37"/>
      <c r="K274" s="38"/>
      <c r="L274" s="29"/>
      <c r="M274" s="29"/>
      <c r="N274" s="29"/>
      <c r="O274" s="39"/>
      <c r="P274" s="40">
        <f t="shared" si="16"/>
        <v>0</v>
      </c>
      <c r="Q274" s="40">
        <f t="shared" si="17"/>
        <v>0</v>
      </c>
      <c r="R274" s="40">
        <f t="shared" si="18"/>
        <v>0</v>
      </c>
      <c r="S274" s="41"/>
      <c r="T274" s="41"/>
      <c r="U274" s="41"/>
      <c r="V274" s="41"/>
      <c r="W274" s="41"/>
      <c r="X274" s="41"/>
      <c r="Y274" s="33">
        <f t="shared" si="19"/>
        <v>0</v>
      </c>
    </row>
    <row r="275" spans="4:25" x14ac:dyDescent="0.25">
      <c r="D275" s="69"/>
      <c r="E275" s="34"/>
      <c r="F275" s="34"/>
      <c r="H275" s="35"/>
      <c r="I275" s="36"/>
      <c r="J275" s="37"/>
      <c r="K275" s="38"/>
      <c r="L275" s="29"/>
      <c r="M275" s="29"/>
      <c r="N275" s="29"/>
      <c r="O275" s="39"/>
      <c r="P275" s="40">
        <f t="shared" si="16"/>
        <v>0</v>
      </c>
      <c r="Q275" s="40">
        <f t="shared" si="17"/>
        <v>0</v>
      </c>
      <c r="R275" s="40">
        <f t="shared" si="18"/>
        <v>0</v>
      </c>
      <c r="S275" s="41"/>
      <c r="T275" s="41"/>
      <c r="U275" s="41"/>
      <c r="V275" s="41"/>
      <c r="W275" s="41"/>
      <c r="X275" s="41"/>
      <c r="Y275" s="33">
        <f t="shared" si="19"/>
        <v>0</v>
      </c>
    </row>
    <row r="276" spans="4:25" x14ac:dyDescent="0.25">
      <c r="D276" s="69"/>
      <c r="E276" s="34"/>
      <c r="F276" s="34"/>
      <c r="H276" s="35"/>
      <c r="I276" s="36"/>
      <c r="J276" s="37"/>
      <c r="K276" s="38"/>
      <c r="L276" s="29"/>
      <c r="M276" s="29"/>
      <c r="N276" s="29"/>
      <c r="O276" s="39"/>
      <c r="P276" s="40">
        <f t="shared" si="16"/>
        <v>0</v>
      </c>
      <c r="Q276" s="40">
        <f t="shared" si="17"/>
        <v>0</v>
      </c>
      <c r="R276" s="40">
        <f t="shared" si="18"/>
        <v>0</v>
      </c>
      <c r="S276" s="41"/>
      <c r="T276" s="41"/>
      <c r="U276" s="41"/>
      <c r="V276" s="41"/>
      <c r="W276" s="41"/>
      <c r="X276" s="41"/>
      <c r="Y276" s="33">
        <f t="shared" si="19"/>
        <v>0</v>
      </c>
    </row>
    <row r="277" spans="4:25" x14ac:dyDescent="0.25">
      <c r="D277" s="69"/>
      <c r="E277" s="34"/>
      <c r="F277" s="34"/>
      <c r="H277" s="35"/>
      <c r="I277" s="36"/>
      <c r="J277" s="37"/>
      <c r="K277" s="38"/>
      <c r="L277" s="29"/>
      <c r="M277" s="29"/>
      <c r="N277" s="29"/>
      <c r="O277" s="39"/>
      <c r="P277" s="40">
        <f t="shared" si="16"/>
        <v>0</v>
      </c>
      <c r="Q277" s="40">
        <f t="shared" si="17"/>
        <v>0</v>
      </c>
      <c r="R277" s="40">
        <f t="shared" si="18"/>
        <v>0</v>
      </c>
      <c r="S277" s="41"/>
      <c r="T277" s="41"/>
      <c r="U277" s="41"/>
      <c r="V277" s="41"/>
      <c r="W277" s="41"/>
      <c r="X277" s="41"/>
      <c r="Y277" s="33">
        <f t="shared" si="19"/>
        <v>0</v>
      </c>
    </row>
    <row r="278" spans="4:25" x14ac:dyDescent="0.25">
      <c r="D278" s="69"/>
      <c r="E278" s="34"/>
      <c r="F278" s="34"/>
      <c r="H278" s="35"/>
      <c r="I278" s="36"/>
      <c r="J278" s="37"/>
      <c r="K278" s="38"/>
      <c r="L278" s="29"/>
      <c r="M278" s="29"/>
      <c r="N278" s="29"/>
      <c r="O278" s="39"/>
      <c r="P278" s="40">
        <f t="shared" si="16"/>
        <v>0</v>
      </c>
      <c r="Q278" s="40">
        <f t="shared" si="17"/>
        <v>0</v>
      </c>
      <c r="R278" s="40">
        <f t="shared" si="18"/>
        <v>0</v>
      </c>
      <c r="S278" s="41"/>
      <c r="T278" s="41"/>
      <c r="U278" s="41"/>
      <c r="V278" s="41"/>
      <c r="W278" s="41"/>
      <c r="X278" s="41"/>
      <c r="Y278" s="33">
        <f t="shared" si="19"/>
        <v>0</v>
      </c>
    </row>
    <row r="279" spans="4:25" x14ac:dyDescent="0.25">
      <c r="D279" s="69"/>
      <c r="E279" s="34"/>
      <c r="F279" s="34"/>
      <c r="H279" s="35"/>
      <c r="I279" s="36"/>
      <c r="J279" s="37"/>
      <c r="K279" s="38"/>
      <c r="L279" s="29"/>
      <c r="M279" s="29"/>
      <c r="N279" s="29"/>
      <c r="O279" s="39"/>
      <c r="P279" s="40">
        <f t="shared" si="16"/>
        <v>0</v>
      </c>
      <c r="Q279" s="40">
        <f t="shared" si="17"/>
        <v>0</v>
      </c>
      <c r="R279" s="40">
        <f t="shared" si="18"/>
        <v>0</v>
      </c>
      <c r="S279" s="41"/>
      <c r="T279" s="41"/>
      <c r="U279" s="41"/>
      <c r="V279" s="41"/>
      <c r="W279" s="41"/>
      <c r="X279" s="41"/>
      <c r="Y279" s="33">
        <f t="shared" si="19"/>
        <v>0</v>
      </c>
    </row>
    <row r="280" spans="4:25" x14ac:dyDescent="0.25">
      <c r="D280" s="69"/>
      <c r="E280" s="34"/>
      <c r="F280" s="34"/>
      <c r="H280" s="35"/>
      <c r="I280" s="36"/>
      <c r="J280" s="37"/>
      <c r="K280" s="38"/>
      <c r="L280" s="29"/>
      <c r="M280" s="29"/>
      <c r="N280" s="29"/>
      <c r="O280" s="39"/>
      <c r="P280" s="40">
        <f t="shared" si="16"/>
        <v>0</v>
      </c>
      <c r="Q280" s="40">
        <f t="shared" si="17"/>
        <v>0</v>
      </c>
      <c r="R280" s="40">
        <f t="shared" si="18"/>
        <v>0</v>
      </c>
      <c r="S280" s="41"/>
      <c r="T280" s="41"/>
      <c r="U280" s="41"/>
      <c r="V280" s="41"/>
      <c r="W280" s="41"/>
      <c r="X280" s="41"/>
      <c r="Y280" s="33">
        <f t="shared" si="19"/>
        <v>0</v>
      </c>
    </row>
    <row r="281" spans="4:25" x14ac:dyDescent="0.25">
      <c r="D281" s="69"/>
      <c r="E281" s="34"/>
      <c r="F281" s="34"/>
      <c r="H281" s="35"/>
      <c r="I281" s="36"/>
      <c r="J281" s="37"/>
      <c r="K281" s="38"/>
      <c r="L281" s="29"/>
      <c r="M281" s="29"/>
      <c r="N281" s="29"/>
      <c r="O281" s="39"/>
      <c r="P281" s="40">
        <f t="shared" si="16"/>
        <v>0</v>
      </c>
      <c r="Q281" s="40">
        <f t="shared" si="17"/>
        <v>0</v>
      </c>
      <c r="R281" s="40">
        <f t="shared" si="18"/>
        <v>0</v>
      </c>
      <c r="S281" s="41"/>
      <c r="T281" s="41"/>
      <c r="U281" s="41"/>
      <c r="V281" s="41"/>
      <c r="W281" s="41"/>
      <c r="X281" s="41"/>
      <c r="Y281" s="33">
        <f t="shared" si="19"/>
        <v>0</v>
      </c>
    </row>
    <row r="282" spans="4:25" x14ac:dyDescent="0.25">
      <c r="D282" s="69"/>
      <c r="E282" s="34"/>
      <c r="F282" s="34"/>
      <c r="H282" s="35"/>
      <c r="I282" s="36"/>
      <c r="J282" s="37"/>
      <c r="K282" s="38"/>
      <c r="L282" s="29"/>
      <c r="M282" s="29"/>
      <c r="N282" s="29"/>
      <c r="O282" s="39"/>
      <c r="P282" s="40">
        <f t="shared" si="16"/>
        <v>0</v>
      </c>
      <c r="Q282" s="40">
        <f t="shared" si="17"/>
        <v>0</v>
      </c>
      <c r="R282" s="40">
        <f t="shared" si="18"/>
        <v>0</v>
      </c>
      <c r="S282" s="41"/>
      <c r="T282" s="41"/>
      <c r="U282" s="41"/>
      <c r="V282" s="41"/>
      <c r="W282" s="41"/>
      <c r="X282" s="41"/>
      <c r="Y282" s="33">
        <f t="shared" si="19"/>
        <v>0</v>
      </c>
    </row>
    <row r="283" spans="4:25" x14ac:dyDescent="0.25">
      <c r="D283" s="69"/>
      <c r="E283" s="34"/>
      <c r="F283" s="34"/>
      <c r="H283" s="35"/>
      <c r="I283" s="36"/>
      <c r="J283" s="37"/>
      <c r="K283" s="38"/>
      <c r="L283" s="29"/>
      <c r="M283" s="29"/>
      <c r="N283" s="29"/>
      <c r="O283" s="39"/>
      <c r="P283" s="40">
        <f t="shared" si="16"/>
        <v>0</v>
      </c>
      <c r="Q283" s="40">
        <f t="shared" si="17"/>
        <v>0</v>
      </c>
      <c r="R283" s="40">
        <f t="shared" si="18"/>
        <v>0</v>
      </c>
      <c r="S283" s="41"/>
      <c r="T283" s="41"/>
      <c r="U283" s="41"/>
      <c r="V283" s="41"/>
      <c r="W283" s="41"/>
      <c r="X283" s="41"/>
      <c r="Y283" s="33">
        <f t="shared" si="19"/>
        <v>0</v>
      </c>
    </row>
    <row r="284" spans="4:25" x14ac:dyDescent="0.25">
      <c r="D284" s="69"/>
      <c r="E284" s="34"/>
      <c r="F284" s="34"/>
      <c r="H284" s="35"/>
      <c r="I284" s="36"/>
      <c r="J284" s="37"/>
      <c r="K284" s="38"/>
      <c r="L284" s="29"/>
      <c r="M284" s="29"/>
      <c r="N284" s="29"/>
      <c r="O284" s="39"/>
      <c r="P284" s="40">
        <f t="shared" si="16"/>
        <v>0</v>
      </c>
      <c r="Q284" s="40">
        <f t="shared" si="17"/>
        <v>0</v>
      </c>
      <c r="R284" s="40">
        <f t="shared" si="18"/>
        <v>0</v>
      </c>
      <c r="S284" s="41"/>
      <c r="T284" s="41"/>
      <c r="U284" s="41"/>
      <c r="V284" s="41"/>
      <c r="W284" s="41"/>
      <c r="X284" s="41"/>
      <c r="Y284" s="33">
        <f t="shared" si="19"/>
        <v>0</v>
      </c>
    </row>
    <row r="285" spans="4:25" x14ac:dyDescent="0.25">
      <c r="D285" s="69"/>
      <c r="E285" s="34"/>
      <c r="F285" s="34"/>
      <c r="H285" s="35"/>
      <c r="I285" s="36"/>
      <c r="J285" s="37"/>
      <c r="K285" s="38"/>
      <c r="L285" s="29"/>
      <c r="M285" s="29"/>
      <c r="N285" s="29"/>
      <c r="O285" s="39"/>
      <c r="P285" s="40">
        <f t="shared" si="16"/>
        <v>0</v>
      </c>
      <c r="Q285" s="40">
        <f t="shared" si="17"/>
        <v>0</v>
      </c>
      <c r="R285" s="40">
        <f t="shared" si="18"/>
        <v>0</v>
      </c>
      <c r="S285" s="41"/>
      <c r="T285" s="41"/>
      <c r="U285" s="41"/>
      <c r="V285" s="41"/>
      <c r="W285" s="41"/>
      <c r="X285" s="41"/>
      <c r="Y285" s="33">
        <f t="shared" si="19"/>
        <v>0</v>
      </c>
    </row>
    <row r="286" spans="4:25" x14ac:dyDescent="0.25">
      <c r="D286" s="69"/>
      <c r="E286" s="34"/>
      <c r="F286" s="34"/>
      <c r="H286" s="35"/>
      <c r="I286" s="36"/>
      <c r="J286" s="37"/>
      <c r="K286" s="38"/>
      <c r="L286" s="29"/>
      <c r="M286" s="29"/>
      <c r="N286" s="29"/>
      <c r="O286" s="39"/>
      <c r="P286" s="40">
        <f t="shared" si="16"/>
        <v>0</v>
      </c>
      <c r="Q286" s="40">
        <f t="shared" si="17"/>
        <v>0</v>
      </c>
      <c r="R286" s="40">
        <f t="shared" si="18"/>
        <v>0</v>
      </c>
      <c r="S286" s="41"/>
      <c r="T286" s="41"/>
      <c r="U286" s="41"/>
      <c r="V286" s="41"/>
      <c r="W286" s="41"/>
      <c r="X286" s="41"/>
      <c r="Y286" s="33">
        <f t="shared" si="19"/>
        <v>0</v>
      </c>
    </row>
    <row r="287" spans="4:25" x14ac:dyDescent="0.25">
      <c r="D287" s="69"/>
      <c r="E287" s="34"/>
      <c r="F287" s="34"/>
      <c r="H287" s="35"/>
      <c r="I287" s="36"/>
      <c r="J287" s="37"/>
      <c r="K287" s="38"/>
      <c r="L287" s="29"/>
      <c r="M287" s="29"/>
      <c r="N287" s="29"/>
      <c r="O287" s="39"/>
      <c r="P287" s="40">
        <f t="shared" si="16"/>
        <v>0</v>
      </c>
      <c r="Q287" s="40">
        <f t="shared" si="17"/>
        <v>0</v>
      </c>
      <c r="R287" s="40">
        <f t="shared" si="18"/>
        <v>0</v>
      </c>
      <c r="S287" s="41"/>
      <c r="T287" s="41"/>
      <c r="U287" s="41"/>
      <c r="V287" s="41"/>
      <c r="W287" s="41"/>
      <c r="X287" s="41"/>
      <c r="Y287" s="33">
        <f t="shared" si="19"/>
        <v>0</v>
      </c>
    </row>
    <row r="288" spans="4:25" x14ac:dyDescent="0.25">
      <c r="D288" s="69"/>
      <c r="E288" s="34"/>
      <c r="F288" s="34"/>
      <c r="H288" s="35"/>
      <c r="I288" s="36"/>
      <c r="J288" s="37"/>
      <c r="K288" s="38"/>
      <c r="L288" s="29"/>
      <c r="M288" s="29"/>
      <c r="N288" s="29"/>
      <c r="O288" s="39"/>
      <c r="P288" s="40">
        <f t="shared" si="16"/>
        <v>0</v>
      </c>
      <c r="Q288" s="40">
        <f t="shared" si="17"/>
        <v>0</v>
      </c>
      <c r="R288" s="40">
        <f t="shared" si="18"/>
        <v>0</v>
      </c>
      <c r="S288" s="41"/>
      <c r="T288" s="41"/>
      <c r="U288" s="41"/>
      <c r="V288" s="41"/>
      <c r="W288" s="41"/>
      <c r="X288" s="41"/>
      <c r="Y288" s="33">
        <f t="shared" si="19"/>
        <v>0</v>
      </c>
    </row>
    <row r="289" spans="4:25" x14ac:dyDescent="0.25">
      <c r="D289" s="69"/>
      <c r="E289" s="34"/>
      <c r="F289" s="34"/>
      <c r="H289" s="35"/>
      <c r="I289" s="36"/>
      <c r="J289" s="37"/>
      <c r="K289" s="38"/>
      <c r="L289" s="29"/>
      <c r="M289" s="29"/>
      <c r="N289" s="29"/>
      <c r="O289" s="39"/>
      <c r="P289" s="40">
        <f t="shared" si="16"/>
        <v>0</v>
      </c>
      <c r="Q289" s="40">
        <f t="shared" si="17"/>
        <v>0</v>
      </c>
      <c r="R289" s="40">
        <f t="shared" si="18"/>
        <v>0</v>
      </c>
      <c r="S289" s="41"/>
      <c r="T289" s="41"/>
      <c r="U289" s="41"/>
      <c r="V289" s="41"/>
      <c r="W289" s="41"/>
      <c r="X289" s="41"/>
      <c r="Y289" s="33">
        <f t="shared" si="19"/>
        <v>0</v>
      </c>
    </row>
    <row r="290" spans="4:25" x14ac:dyDescent="0.25">
      <c r="D290" s="69"/>
      <c r="E290" s="34"/>
      <c r="F290" s="34"/>
      <c r="H290" s="35"/>
      <c r="I290" s="36"/>
      <c r="J290" s="37"/>
      <c r="K290" s="38"/>
      <c r="L290" s="29"/>
      <c r="M290" s="29"/>
      <c r="N290" s="29"/>
      <c r="O290" s="39"/>
      <c r="P290" s="40">
        <f t="shared" si="16"/>
        <v>0</v>
      </c>
      <c r="Q290" s="40">
        <f t="shared" si="17"/>
        <v>0</v>
      </c>
      <c r="R290" s="40">
        <f t="shared" si="18"/>
        <v>0</v>
      </c>
      <c r="S290" s="41"/>
      <c r="T290" s="41"/>
      <c r="U290" s="41"/>
      <c r="V290" s="41"/>
      <c r="W290" s="41"/>
      <c r="X290" s="41"/>
      <c r="Y290" s="33">
        <f t="shared" si="19"/>
        <v>0</v>
      </c>
    </row>
    <row r="291" spans="4:25" x14ac:dyDescent="0.25">
      <c r="D291" s="69"/>
      <c r="E291" s="34"/>
      <c r="F291" s="34"/>
      <c r="H291" s="35"/>
      <c r="I291" s="36"/>
      <c r="J291" s="37"/>
      <c r="K291" s="38"/>
      <c r="L291" s="29"/>
      <c r="M291" s="29"/>
      <c r="N291" s="29"/>
      <c r="O291" s="39"/>
      <c r="P291" s="40">
        <f t="shared" si="16"/>
        <v>0</v>
      </c>
      <c r="Q291" s="40">
        <f t="shared" si="17"/>
        <v>0</v>
      </c>
      <c r="R291" s="40">
        <f t="shared" si="18"/>
        <v>0</v>
      </c>
      <c r="S291" s="41"/>
      <c r="T291" s="41"/>
      <c r="U291" s="41"/>
      <c r="V291" s="41"/>
      <c r="W291" s="41"/>
      <c r="X291" s="41"/>
      <c r="Y291" s="33">
        <f t="shared" si="19"/>
        <v>0</v>
      </c>
    </row>
    <row r="292" spans="4:25" x14ac:dyDescent="0.25">
      <c r="D292" s="69"/>
      <c r="E292" s="34"/>
      <c r="F292" s="34"/>
      <c r="H292" s="35"/>
      <c r="I292" s="36"/>
      <c r="J292" s="37"/>
      <c r="K292" s="38"/>
      <c r="L292" s="29"/>
      <c r="M292" s="29"/>
      <c r="N292" s="29"/>
      <c r="O292" s="39"/>
      <c r="P292" s="40">
        <f t="shared" si="16"/>
        <v>0</v>
      </c>
      <c r="Q292" s="40">
        <f t="shared" si="17"/>
        <v>0</v>
      </c>
      <c r="R292" s="40">
        <f t="shared" si="18"/>
        <v>0</v>
      </c>
      <c r="S292" s="41"/>
      <c r="T292" s="41"/>
      <c r="U292" s="41"/>
      <c r="V292" s="41"/>
      <c r="W292" s="41"/>
      <c r="X292" s="41"/>
      <c r="Y292" s="33">
        <f t="shared" si="19"/>
        <v>0</v>
      </c>
    </row>
    <row r="293" spans="4:25" x14ac:dyDescent="0.25">
      <c r="D293" s="69"/>
      <c r="E293" s="34"/>
      <c r="F293" s="34"/>
      <c r="H293" s="35"/>
      <c r="I293" s="36"/>
      <c r="J293" s="37"/>
      <c r="K293" s="38"/>
      <c r="L293" s="29"/>
      <c r="M293" s="29"/>
      <c r="N293" s="29"/>
      <c r="O293" s="39"/>
      <c r="P293" s="40">
        <f t="shared" si="16"/>
        <v>0</v>
      </c>
      <c r="Q293" s="40">
        <f t="shared" si="17"/>
        <v>0</v>
      </c>
      <c r="R293" s="40">
        <f t="shared" si="18"/>
        <v>0</v>
      </c>
      <c r="S293" s="41"/>
      <c r="T293" s="41"/>
      <c r="U293" s="41"/>
      <c r="V293" s="41"/>
      <c r="W293" s="41"/>
      <c r="X293" s="41"/>
      <c r="Y293" s="33">
        <f t="shared" si="19"/>
        <v>0</v>
      </c>
    </row>
    <row r="294" spans="4:25" x14ac:dyDescent="0.25">
      <c r="D294" s="69"/>
      <c r="E294" s="34"/>
      <c r="F294" s="34"/>
      <c r="H294" s="35"/>
      <c r="I294" s="36"/>
      <c r="J294" s="37"/>
      <c r="K294" s="38"/>
      <c r="L294" s="29"/>
      <c r="M294" s="29"/>
      <c r="N294" s="29"/>
      <c r="O294" s="39"/>
      <c r="P294" s="40">
        <f t="shared" si="16"/>
        <v>0</v>
      </c>
      <c r="Q294" s="40">
        <f t="shared" si="17"/>
        <v>0</v>
      </c>
      <c r="R294" s="40">
        <f t="shared" si="18"/>
        <v>0</v>
      </c>
      <c r="S294" s="41"/>
      <c r="T294" s="41"/>
      <c r="U294" s="41"/>
      <c r="V294" s="41"/>
      <c r="W294" s="41"/>
      <c r="X294" s="41"/>
      <c r="Y294" s="33">
        <f t="shared" si="19"/>
        <v>0</v>
      </c>
    </row>
    <row r="295" spans="4:25" x14ac:dyDescent="0.25">
      <c r="D295" s="69"/>
      <c r="E295" s="34"/>
      <c r="F295" s="34"/>
      <c r="H295" s="35"/>
      <c r="I295" s="36"/>
      <c r="J295" s="37"/>
      <c r="K295" s="38"/>
      <c r="L295" s="29"/>
      <c r="M295" s="29"/>
      <c r="N295" s="29"/>
      <c r="O295" s="39"/>
      <c r="P295" s="40">
        <f t="shared" si="16"/>
        <v>0</v>
      </c>
      <c r="Q295" s="40">
        <f t="shared" si="17"/>
        <v>0</v>
      </c>
      <c r="R295" s="40">
        <f t="shared" si="18"/>
        <v>0</v>
      </c>
      <c r="S295" s="41"/>
      <c r="T295" s="41"/>
      <c r="U295" s="41"/>
      <c r="V295" s="41"/>
      <c r="W295" s="41"/>
      <c r="X295" s="41"/>
      <c r="Y295" s="33">
        <f t="shared" si="19"/>
        <v>0</v>
      </c>
    </row>
    <row r="296" spans="4:25" x14ac:dyDescent="0.25">
      <c r="D296" s="69"/>
      <c r="E296" s="34"/>
      <c r="F296" s="34"/>
      <c r="H296" s="35"/>
      <c r="I296" s="36"/>
      <c r="J296" s="37"/>
      <c r="K296" s="38"/>
      <c r="L296" s="29"/>
      <c r="M296" s="29"/>
      <c r="N296" s="29"/>
      <c r="O296" s="39"/>
      <c r="P296" s="40">
        <f t="shared" si="16"/>
        <v>0</v>
      </c>
      <c r="Q296" s="40">
        <f t="shared" si="17"/>
        <v>0</v>
      </c>
      <c r="R296" s="40">
        <f t="shared" si="18"/>
        <v>0</v>
      </c>
      <c r="S296" s="41"/>
      <c r="T296" s="41"/>
      <c r="U296" s="41"/>
      <c r="V296" s="41"/>
      <c r="W296" s="41"/>
      <c r="X296" s="41"/>
      <c r="Y296" s="33">
        <f t="shared" si="19"/>
        <v>0</v>
      </c>
    </row>
    <row r="297" spans="4:25" x14ac:dyDescent="0.25">
      <c r="D297" s="69"/>
      <c r="E297" s="34"/>
      <c r="F297" s="34"/>
      <c r="H297" s="35"/>
      <c r="I297" s="36"/>
      <c r="J297" s="37"/>
      <c r="K297" s="38"/>
      <c r="L297" s="29"/>
      <c r="M297" s="29"/>
      <c r="N297" s="29"/>
      <c r="O297" s="39"/>
      <c r="P297" s="40">
        <f t="shared" si="16"/>
        <v>0</v>
      </c>
      <c r="Q297" s="40">
        <f t="shared" si="17"/>
        <v>0</v>
      </c>
      <c r="R297" s="40">
        <f t="shared" si="18"/>
        <v>0</v>
      </c>
      <c r="S297" s="41"/>
      <c r="T297" s="41"/>
      <c r="U297" s="41"/>
      <c r="V297" s="41"/>
      <c r="W297" s="41"/>
      <c r="X297" s="41"/>
      <c r="Y297" s="33">
        <f t="shared" si="19"/>
        <v>0</v>
      </c>
    </row>
    <row r="298" spans="4:25" x14ac:dyDescent="0.25">
      <c r="D298" s="69"/>
      <c r="E298" s="34"/>
      <c r="F298" s="34"/>
      <c r="H298" s="35"/>
      <c r="I298" s="36"/>
      <c r="J298" s="37"/>
      <c r="K298" s="38"/>
      <c r="L298" s="29"/>
      <c r="M298" s="29"/>
      <c r="N298" s="29"/>
      <c r="O298" s="39"/>
      <c r="P298" s="40">
        <f t="shared" si="16"/>
        <v>0</v>
      </c>
      <c r="Q298" s="40">
        <f t="shared" si="17"/>
        <v>0</v>
      </c>
      <c r="R298" s="40">
        <f t="shared" si="18"/>
        <v>0</v>
      </c>
      <c r="S298" s="41"/>
      <c r="T298" s="41"/>
      <c r="U298" s="41"/>
      <c r="V298" s="41"/>
      <c r="W298" s="41"/>
      <c r="X298" s="41"/>
      <c r="Y298" s="33">
        <f t="shared" si="19"/>
        <v>0</v>
      </c>
    </row>
    <row r="299" spans="4:25" x14ac:dyDescent="0.25">
      <c r="D299" s="69"/>
      <c r="E299" s="34"/>
      <c r="F299" s="34"/>
      <c r="H299" s="35"/>
      <c r="I299" s="36"/>
      <c r="J299" s="37"/>
      <c r="K299" s="38"/>
      <c r="L299" s="29"/>
      <c r="M299" s="29"/>
      <c r="N299" s="29"/>
      <c r="O299" s="39"/>
      <c r="P299" s="40">
        <f t="shared" si="16"/>
        <v>0</v>
      </c>
      <c r="Q299" s="40">
        <f t="shared" si="17"/>
        <v>0</v>
      </c>
      <c r="R299" s="40">
        <f t="shared" si="18"/>
        <v>0</v>
      </c>
      <c r="S299" s="41"/>
      <c r="T299" s="41"/>
      <c r="U299" s="41"/>
      <c r="V299" s="41"/>
      <c r="W299" s="41"/>
      <c r="X299" s="41"/>
      <c r="Y299" s="33">
        <f t="shared" si="19"/>
        <v>0</v>
      </c>
    </row>
    <row r="300" spans="4:25" x14ac:dyDescent="0.25">
      <c r="D300" s="69"/>
      <c r="E300" s="34"/>
      <c r="F300" s="34"/>
      <c r="H300" s="35"/>
      <c r="I300" s="36"/>
      <c r="J300" s="37"/>
      <c r="K300" s="38"/>
      <c r="L300" s="29"/>
      <c r="M300" s="29"/>
      <c r="N300" s="29"/>
      <c r="O300" s="39"/>
      <c r="P300" s="40">
        <f t="shared" si="16"/>
        <v>0</v>
      </c>
      <c r="Q300" s="40">
        <f t="shared" si="17"/>
        <v>0</v>
      </c>
      <c r="R300" s="40">
        <f t="shared" si="18"/>
        <v>0</v>
      </c>
      <c r="S300" s="41"/>
      <c r="T300" s="41"/>
      <c r="U300" s="41"/>
      <c r="V300" s="41"/>
      <c r="W300" s="41"/>
      <c r="X300" s="41"/>
      <c r="Y300" s="33">
        <f t="shared" si="19"/>
        <v>0</v>
      </c>
    </row>
    <row r="301" spans="4:25" x14ac:dyDescent="0.25">
      <c r="D301" s="69"/>
      <c r="E301" s="34"/>
      <c r="F301" s="34"/>
      <c r="H301" s="35"/>
      <c r="I301" s="36"/>
      <c r="J301" s="37"/>
      <c r="K301" s="38"/>
      <c r="L301" s="29"/>
      <c r="M301" s="29"/>
      <c r="N301" s="29"/>
      <c r="O301" s="39"/>
      <c r="P301" s="40">
        <f t="shared" si="16"/>
        <v>0</v>
      </c>
      <c r="Q301" s="40">
        <f t="shared" si="17"/>
        <v>0</v>
      </c>
      <c r="R301" s="40">
        <f t="shared" si="18"/>
        <v>0</v>
      </c>
      <c r="S301" s="41"/>
      <c r="T301" s="41"/>
      <c r="U301" s="41"/>
      <c r="V301" s="41"/>
      <c r="W301" s="41"/>
      <c r="X301" s="41"/>
      <c r="Y301" s="33">
        <f t="shared" si="19"/>
        <v>0</v>
      </c>
    </row>
    <row r="302" spans="4:25" x14ac:dyDescent="0.25">
      <c r="D302" s="69"/>
      <c r="E302" s="34"/>
      <c r="F302" s="34"/>
      <c r="H302" s="35"/>
      <c r="I302" s="36"/>
      <c r="J302" s="37"/>
      <c r="K302" s="38"/>
      <c r="L302" s="29"/>
      <c r="M302" s="29"/>
      <c r="N302" s="29"/>
      <c r="O302" s="39"/>
      <c r="P302" s="40">
        <f t="shared" si="16"/>
        <v>0</v>
      </c>
      <c r="Q302" s="40">
        <f t="shared" si="17"/>
        <v>0</v>
      </c>
      <c r="R302" s="40">
        <f t="shared" si="18"/>
        <v>0</v>
      </c>
      <c r="S302" s="41"/>
      <c r="T302" s="41"/>
      <c r="U302" s="41"/>
      <c r="V302" s="41"/>
      <c r="W302" s="41"/>
      <c r="X302" s="41"/>
      <c r="Y302" s="33">
        <f t="shared" si="19"/>
        <v>0</v>
      </c>
    </row>
    <row r="303" spans="4:25" ht="15.6" x14ac:dyDescent="0.3">
      <c r="D303" s="65"/>
      <c r="E303" s="34"/>
      <c r="F303" s="34"/>
      <c r="H303" s="35"/>
      <c r="I303" s="36"/>
      <c r="J303" s="37"/>
      <c r="K303" s="38"/>
      <c r="L303" s="29"/>
      <c r="M303" s="29"/>
      <c r="N303" s="29"/>
      <c r="O303" s="39"/>
      <c r="P303" s="40"/>
      <c r="Q303" s="40"/>
      <c r="R303" s="40"/>
      <c r="S303" s="41"/>
      <c r="T303" s="41"/>
      <c r="U303" s="41"/>
      <c r="V303" s="41"/>
      <c r="W303" s="41"/>
      <c r="X303" s="41"/>
      <c r="Y303" s="33"/>
    </row>
    <row r="304" spans="4:25" x14ac:dyDescent="0.25">
      <c r="E304" s="34"/>
      <c r="F304" s="34"/>
      <c r="H304" s="35"/>
      <c r="I304" s="36"/>
      <c r="J304" s="37"/>
      <c r="K304" s="38"/>
      <c r="L304" s="29"/>
      <c r="M304" s="29"/>
      <c r="N304" s="29"/>
      <c r="O304" s="39"/>
      <c r="P304" s="40"/>
      <c r="Q304" s="40"/>
      <c r="R304" s="40"/>
      <c r="S304" s="41"/>
      <c r="T304" s="41"/>
      <c r="U304" s="41"/>
      <c r="V304" s="41"/>
      <c r="W304" s="41"/>
      <c r="X304" s="40"/>
      <c r="Y304" s="33"/>
    </row>
    <row r="305" spans="8:25" ht="15.6" x14ac:dyDescent="0.3">
      <c r="H305" s="35"/>
      <c r="I305" s="36"/>
      <c r="J305" s="37"/>
      <c r="K305" s="42" t="s">
        <v>98</v>
      </c>
      <c r="L305" s="59">
        <f>SUM(L3:L302)</f>
        <v>0</v>
      </c>
      <c r="M305" s="59">
        <f t="shared" ref="M305:Y305" si="20">SUM(M3:M302)</f>
        <v>0</v>
      </c>
      <c r="N305" s="59">
        <f t="shared" si="20"/>
        <v>0</v>
      </c>
      <c r="O305" s="43"/>
      <c r="P305" s="59">
        <f t="shared" si="20"/>
        <v>0</v>
      </c>
      <c r="Q305" s="59">
        <f t="shared" si="20"/>
        <v>0</v>
      </c>
      <c r="R305" s="59">
        <f t="shared" si="20"/>
        <v>0</v>
      </c>
      <c r="S305" s="59">
        <f t="shared" si="20"/>
        <v>0</v>
      </c>
      <c r="T305" s="59">
        <f t="shared" si="20"/>
        <v>0</v>
      </c>
      <c r="U305" s="59">
        <f t="shared" si="20"/>
        <v>0</v>
      </c>
      <c r="V305" s="59">
        <f t="shared" si="20"/>
        <v>0</v>
      </c>
      <c r="W305" s="59">
        <f t="shared" si="20"/>
        <v>0</v>
      </c>
      <c r="X305" s="59">
        <f t="shared" si="20"/>
        <v>0</v>
      </c>
      <c r="Y305" s="59">
        <f t="shared" si="20"/>
        <v>0</v>
      </c>
    </row>
    <row r="306" spans="8:25" x14ac:dyDescent="0.25">
      <c r="L306" s="29"/>
      <c r="M306" s="29"/>
      <c r="N306" s="29"/>
    </row>
  </sheetData>
  <mergeCells count="1">
    <mergeCell ref="S1:X1"/>
  </mergeCells>
  <phoneticPr fontId="10" type="noConversion"/>
  <pageMargins left="0.7" right="0.7" top="0.75" bottom="0.75" header="0.3" footer="0.3"/>
  <pageSetup scale="37" fitToHeight="0" orientation="landscape" r:id="rId1"/>
  <headerFooter>
    <oddHeader>&amp;L&amp;G&amp;C&amp;"Arial,Bold"&amp;12Base and Test Support Services (BTSS)
Solicitation No. W91151-19-R-0003&amp;R&amp;"Arial,Bold"&amp;12Volume IV - Factor 3 - Cost
&amp;A</oddHeader>
    <oddFooter>&amp;C&amp;"Arial,Italic"&amp;12Use or disclosure of data contained on this sheet is subject
 to the restriction on the cover page of this proposal.</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A1D4-5F86-4F33-B05E-F744A349EC89}">
  <sheetPr>
    <tabColor rgb="FF0070C0"/>
  </sheetPr>
  <dimension ref="A1:Y306"/>
  <sheetViews>
    <sheetView zoomScale="85" zoomScaleNormal="85" workbookViewId="0">
      <pane ySplit="2" topLeftCell="A3" activePane="bottomLeft" state="frozen"/>
      <selection pane="bottomLeft" activeCell="C7" sqref="C7"/>
    </sheetView>
  </sheetViews>
  <sheetFormatPr defaultColWidth="9.109375" defaultRowHeight="15" x14ac:dyDescent="0.25"/>
  <cols>
    <col min="1" max="2" width="18.109375" style="27" customWidth="1"/>
    <col min="3" max="3" width="14.33203125" style="34" bestFit="1" customWidth="1"/>
    <col min="4" max="4" width="56" style="27" bestFit="1" customWidth="1"/>
    <col min="5" max="5" width="15.44140625" style="27" customWidth="1"/>
    <col min="6" max="6" width="12.88671875" style="27" bestFit="1" customWidth="1"/>
    <col min="7" max="7" width="15.109375" style="28" bestFit="1" customWidth="1"/>
    <col min="8" max="8" width="23.109375" style="29" bestFit="1" customWidth="1"/>
    <col min="9" max="9" width="18.33203125" style="30" bestFit="1" customWidth="1"/>
    <col min="10" max="10" width="20.33203125" style="31" bestFit="1" customWidth="1"/>
    <col min="11" max="11" width="24.109375" style="28" customWidth="1"/>
    <col min="12" max="13" width="19.44140625" style="27" bestFit="1" customWidth="1"/>
    <col min="14" max="14" width="12.33203125" style="27" bestFit="1" customWidth="1"/>
    <col min="15" max="15" width="19.44140625" style="27" bestFit="1" customWidth="1"/>
    <col min="16" max="16" width="19.5546875" style="27" bestFit="1" customWidth="1"/>
    <col min="17" max="17" width="20.109375" style="27" bestFit="1" customWidth="1"/>
    <col min="18" max="18" width="22.6640625" style="27" bestFit="1" customWidth="1"/>
    <col min="19" max="19" width="19" style="27" customWidth="1"/>
    <col min="20" max="20" width="18.33203125" style="27" customWidth="1"/>
    <col min="21" max="21" width="22" style="27" customWidth="1"/>
    <col min="22" max="23" width="18.44140625" style="27" customWidth="1"/>
    <col min="24" max="24" width="15.44140625" style="33" bestFit="1" customWidth="1"/>
    <col min="25" max="25" width="19.44140625" style="27" bestFit="1" customWidth="1"/>
    <col min="26" max="16384" width="9.109375" style="27"/>
  </cols>
  <sheetData>
    <row r="1" spans="1:25" s="83" customFormat="1" ht="83.25" customHeight="1" thickBot="1" x14ac:dyDescent="0.35">
      <c r="C1" s="66" t="s">
        <v>106</v>
      </c>
      <c r="D1" s="63" t="s">
        <v>102</v>
      </c>
      <c r="G1" s="84"/>
      <c r="H1" s="85"/>
      <c r="I1" s="86"/>
      <c r="J1" s="64" t="s">
        <v>95</v>
      </c>
      <c r="K1" s="84"/>
      <c r="L1" s="87"/>
      <c r="M1" s="87"/>
      <c r="N1" s="87"/>
      <c r="O1" s="87"/>
      <c r="P1" s="87"/>
      <c r="Q1" s="87"/>
      <c r="R1" s="87"/>
      <c r="S1" s="93" t="s">
        <v>116</v>
      </c>
      <c r="T1" s="94"/>
      <c r="U1" s="94"/>
      <c r="V1" s="94"/>
      <c r="W1" s="94"/>
      <c r="X1" s="95"/>
    </row>
    <row r="2" spans="1:25" s="58" customFormat="1" ht="31.2" x14ac:dyDescent="0.3">
      <c r="A2" s="53" t="s">
        <v>89</v>
      </c>
      <c r="B2" s="62" t="s">
        <v>133</v>
      </c>
      <c r="C2" s="62" t="s">
        <v>61</v>
      </c>
      <c r="D2" s="53" t="s">
        <v>10</v>
      </c>
      <c r="E2" s="53" t="s">
        <v>94</v>
      </c>
      <c r="F2" s="53" t="s">
        <v>62</v>
      </c>
      <c r="G2" s="53" t="s">
        <v>63</v>
      </c>
      <c r="H2" s="57" t="s">
        <v>64</v>
      </c>
      <c r="I2" s="57" t="s">
        <v>65</v>
      </c>
      <c r="J2" s="60" t="s">
        <v>88</v>
      </c>
      <c r="K2" s="53" t="s">
        <v>93</v>
      </c>
      <c r="L2" s="53" t="s">
        <v>66</v>
      </c>
      <c r="M2" s="53" t="s">
        <v>67</v>
      </c>
      <c r="N2" s="53" t="s">
        <v>1</v>
      </c>
      <c r="O2" s="53" t="s">
        <v>7</v>
      </c>
      <c r="P2" s="53" t="s">
        <v>68</v>
      </c>
      <c r="Q2" s="53" t="s">
        <v>69</v>
      </c>
      <c r="R2" s="53" t="s">
        <v>70</v>
      </c>
      <c r="S2" s="55" t="s">
        <v>90</v>
      </c>
      <c r="T2" s="55" t="s">
        <v>91</v>
      </c>
      <c r="U2" s="55" t="s">
        <v>92</v>
      </c>
      <c r="V2" s="55" t="s">
        <v>119</v>
      </c>
      <c r="W2" s="55" t="s">
        <v>118</v>
      </c>
      <c r="X2" s="56" t="s">
        <v>101</v>
      </c>
      <c r="Y2" s="53" t="s">
        <v>71</v>
      </c>
    </row>
    <row r="3" spans="1:25" x14ac:dyDescent="0.25">
      <c r="C3" s="34" t="s">
        <v>75</v>
      </c>
      <c r="D3" s="54" t="s">
        <v>23</v>
      </c>
      <c r="E3" s="34"/>
      <c r="F3" s="34"/>
      <c r="H3" s="35"/>
      <c r="I3" s="36"/>
      <c r="J3" s="37"/>
      <c r="K3" s="38"/>
      <c r="L3" s="29"/>
      <c r="M3" s="29"/>
      <c r="N3" s="29"/>
      <c r="O3" s="39"/>
      <c r="P3" s="40">
        <f t="shared" ref="P3:P66" si="0">$L3*$O3</f>
        <v>0</v>
      </c>
      <c r="Q3" s="40">
        <f>IF(E3="NE",(M3*O3*1.5),(M3*O3))</f>
        <v>0</v>
      </c>
      <c r="R3" s="40">
        <f>P3+Q3</f>
        <v>0</v>
      </c>
      <c r="S3" s="41"/>
      <c r="T3" s="41"/>
      <c r="U3" s="41"/>
      <c r="V3" s="41"/>
      <c r="W3" s="41"/>
      <c r="X3" s="41"/>
      <c r="Y3" s="33">
        <f>SUM(R3:X3)</f>
        <v>0</v>
      </c>
    </row>
    <row r="4" spans="1:25" x14ac:dyDescent="0.25">
      <c r="C4" s="34" t="s">
        <v>75</v>
      </c>
      <c r="D4" s="54" t="s">
        <v>24</v>
      </c>
      <c r="E4" s="34"/>
      <c r="F4" s="34"/>
      <c r="H4" s="35"/>
      <c r="I4" s="36"/>
      <c r="J4" s="37"/>
      <c r="K4" s="38"/>
      <c r="L4" s="29"/>
      <c r="M4" s="29"/>
      <c r="N4" s="29"/>
      <c r="O4" s="39"/>
      <c r="P4" s="40">
        <f t="shared" si="0"/>
        <v>0</v>
      </c>
      <c r="Q4" s="40">
        <f t="shared" ref="Q4:Q67" si="1">IF(E4="NE",(M4*O4*1.5),(M4*O4))</f>
        <v>0</v>
      </c>
      <c r="R4" s="40">
        <f t="shared" ref="R4:R67" si="2">P4+Q4</f>
        <v>0</v>
      </c>
      <c r="S4" s="41"/>
      <c r="T4" s="41"/>
      <c r="U4" s="41"/>
      <c r="V4" s="41"/>
      <c r="W4" s="41"/>
      <c r="X4" s="41"/>
      <c r="Y4" s="33">
        <f t="shared" ref="Y4:Y67" si="3">SUM(R4:X4)</f>
        <v>0</v>
      </c>
    </row>
    <row r="5" spans="1:25" x14ac:dyDescent="0.25">
      <c r="C5" s="34" t="s">
        <v>75</v>
      </c>
      <c r="D5" s="54" t="s">
        <v>25</v>
      </c>
      <c r="E5" s="34"/>
      <c r="F5" s="34"/>
      <c r="H5" s="35"/>
      <c r="I5" s="36"/>
      <c r="J5" s="37"/>
      <c r="K5" s="38"/>
      <c r="L5" s="29"/>
      <c r="M5" s="29"/>
      <c r="N5" s="29"/>
      <c r="O5" s="39"/>
      <c r="P5" s="40">
        <f t="shared" si="0"/>
        <v>0</v>
      </c>
      <c r="Q5" s="40">
        <f t="shared" si="1"/>
        <v>0</v>
      </c>
      <c r="R5" s="40">
        <f t="shared" si="2"/>
        <v>0</v>
      </c>
      <c r="S5" s="41"/>
      <c r="T5" s="41"/>
      <c r="U5" s="41"/>
      <c r="V5" s="41"/>
      <c r="W5" s="41"/>
      <c r="X5" s="41"/>
      <c r="Y5" s="33">
        <f t="shared" si="3"/>
        <v>0</v>
      </c>
    </row>
    <row r="6" spans="1:25" x14ac:dyDescent="0.25">
      <c r="C6" s="34" t="s">
        <v>75</v>
      </c>
      <c r="D6" s="54" t="s">
        <v>26</v>
      </c>
      <c r="E6" s="34"/>
      <c r="F6" s="34"/>
      <c r="H6" s="35"/>
      <c r="I6" s="36"/>
      <c r="J6" s="37"/>
      <c r="K6" s="38"/>
      <c r="L6" s="29"/>
      <c r="M6" s="29"/>
      <c r="N6" s="29"/>
      <c r="O6" s="39"/>
      <c r="P6" s="40">
        <f t="shared" si="0"/>
        <v>0</v>
      </c>
      <c r="Q6" s="40">
        <f t="shared" si="1"/>
        <v>0</v>
      </c>
      <c r="R6" s="40">
        <f t="shared" si="2"/>
        <v>0</v>
      </c>
      <c r="S6" s="41"/>
      <c r="T6" s="41"/>
      <c r="U6" s="41"/>
      <c r="V6" s="41"/>
      <c r="W6" s="41"/>
      <c r="X6" s="41"/>
      <c r="Y6" s="33">
        <f t="shared" si="3"/>
        <v>0</v>
      </c>
    </row>
    <row r="7" spans="1:25" x14ac:dyDescent="0.25">
      <c r="C7" s="34" t="s">
        <v>75</v>
      </c>
      <c r="D7" s="54" t="s">
        <v>27</v>
      </c>
      <c r="E7" s="34"/>
      <c r="F7" s="34"/>
      <c r="H7" s="35"/>
      <c r="I7" s="36"/>
      <c r="J7" s="37"/>
      <c r="K7" s="38"/>
      <c r="L7" s="29"/>
      <c r="M7" s="29"/>
      <c r="N7" s="29"/>
      <c r="O7" s="39"/>
      <c r="P7" s="40">
        <f t="shared" si="0"/>
        <v>0</v>
      </c>
      <c r="Q7" s="40">
        <f t="shared" si="1"/>
        <v>0</v>
      </c>
      <c r="R7" s="40">
        <f t="shared" si="2"/>
        <v>0</v>
      </c>
      <c r="S7" s="41"/>
      <c r="T7" s="41"/>
      <c r="U7" s="41"/>
      <c r="V7" s="41"/>
      <c r="W7" s="41"/>
      <c r="X7" s="41"/>
      <c r="Y7" s="33">
        <f t="shared" si="3"/>
        <v>0</v>
      </c>
    </row>
    <row r="8" spans="1:25" x14ac:dyDescent="0.25">
      <c r="C8" s="34" t="s">
        <v>75</v>
      </c>
      <c r="D8" s="54" t="s">
        <v>28</v>
      </c>
      <c r="E8" s="34"/>
      <c r="F8" s="34"/>
      <c r="H8" s="35"/>
      <c r="I8" s="36"/>
      <c r="J8" s="37"/>
      <c r="K8" s="38"/>
      <c r="L8" s="29"/>
      <c r="M8" s="29"/>
      <c r="N8" s="29"/>
      <c r="O8" s="39"/>
      <c r="P8" s="40">
        <f t="shared" si="0"/>
        <v>0</v>
      </c>
      <c r="Q8" s="40">
        <f t="shared" si="1"/>
        <v>0</v>
      </c>
      <c r="R8" s="40">
        <f t="shared" si="2"/>
        <v>0</v>
      </c>
      <c r="S8" s="41"/>
      <c r="T8" s="41"/>
      <c r="U8" s="41"/>
      <c r="V8" s="41"/>
      <c r="W8" s="41"/>
      <c r="X8" s="41"/>
      <c r="Y8" s="33">
        <f t="shared" si="3"/>
        <v>0</v>
      </c>
    </row>
    <row r="9" spans="1:25" x14ac:dyDescent="0.25">
      <c r="C9" s="34" t="s">
        <v>75</v>
      </c>
      <c r="D9" s="54" t="s">
        <v>29</v>
      </c>
      <c r="E9" s="34"/>
      <c r="F9" s="34"/>
      <c r="H9" s="35"/>
      <c r="I9" s="36"/>
      <c r="J9" s="37"/>
      <c r="K9" s="38"/>
      <c r="L9" s="29"/>
      <c r="M9" s="29"/>
      <c r="N9" s="29"/>
      <c r="O9" s="39"/>
      <c r="P9" s="40">
        <f t="shared" si="0"/>
        <v>0</v>
      </c>
      <c r="Q9" s="40">
        <f t="shared" si="1"/>
        <v>0</v>
      </c>
      <c r="R9" s="40">
        <f t="shared" si="2"/>
        <v>0</v>
      </c>
      <c r="S9" s="41"/>
      <c r="T9" s="41"/>
      <c r="U9" s="41"/>
      <c r="V9" s="41"/>
      <c r="W9" s="41"/>
      <c r="X9" s="41"/>
      <c r="Y9" s="33">
        <f t="shared" si="3"/>
        <v>0</v>
      </c>
    </row>
    <row r="10" spans="1:25" x14ac:dyDescent="0.25">
      <c r="C10" s="34" t="s">
        <v>75</v>
      </c>
      <c r="D10" s="54" t="s">
        <v>17</v>
      </c>
      <c r="E10" s="34"/>
      <c r="F10" s="34"/>
      <c r="H10" s="35"/>
      <c r="I10" s="36"/>
      <c r="J10" s="37"/>
      <c r="K10" s="38"/>
      <c r="L10" s="29"/>
      <c r="M10" s="29"/>
      <c r="N10" s="29"/>
      <c r="O10" s="39"/>
      <c r="P10" s="40">
        <f t="shared" si="0"/>
        <v>0</v>
      </c>
      <c r="Q10" s="40">
        <f t="shared" si="1"/>
        <v>0</v>
      </c>
      <c r="R10" s="40">
        <f t="shared" si="2"/>
        <v>0</v>
      </c>
      <c r="S10" s="41"/>
      <c r="T10" s="41"/>
      <c r="U10" s="41"/>
      <c r="V10" s="41"/>
      <c r="W10" s="41"/>
      <c r="X10" s="41"/>
      <c r="Y10" s="33">
        <f t="shared" si="3"/>
        <v>0</v>
      </c>
    </row>
    <row r="11" spans="1:25" x14ac:dyDescent="0.25">
      <c r="C11" s="34" t="s">
        <v>75</v>
      </c>
      <c r="D11" s="54" t="s">
        <v>30</v>
      </c>
      <c r="E11" s="34"/>
      <c r="F11" s="34"/>
      <c r="H11" s="35"/>
      <c r="I11" s="36"/>
      <c r="J11" s="37"/>
      <c r="K11" s="38"/>
      <c r="L11" s="29"/>
      <c r="M11" s="29"/>
      <c r="N11" s="29"/>
      <c r="O11" s="39"/>
      <c r="P11" s="40">
        <f t="shared" si="0"/>
        <v>0</v>
      </c>
      <c r="Q11" s="40">
        <f t="shared" si="1"/>
        <v>0</v>
      </c>
      <c r="R11" s="40">
        <f t="shared" si="2"/>
        <v>0</v>
      </c>
      <c r="S11" s="41"/>
      <c r="T11" s="41"/>
      <c r="U11" s="41"/>
      <c r="V11" s="41"/>
      <c r="W11" s="41"/>
      <c r="X11" s="41"/>
      <c r="Y11" s="33">
        <f t="shared" si="3"/>
        <v>0</v>
      </c>
    </row>
    <row r="12" spans="1:25" x14ac:dyDescent="0.25">
      <c r="C12" s="34" t="s">
        <v>75</v>
      </c>
      <c r="D12" s="54" t="s">
        <v>31</v>
      </c>
      <c r="E12" s="34"/>
      <c r="F12" s="34"/>
      <c r="H12" s="35"/>
      <c r="I12" s="36"/>
      <c r="J12" s="37"/>
      <c r="K12" s="38"/>
      <c r="L12" s="29"/>
      <c r="M12" s="29"/>
      <c r="N12" s="29"/>
      <c r="O12" s="39"/>
      <c r="P12" s="40">
        <f t="shared" si="0"/>
        <v>0</v>
      </c>
      <c r="Q12" s="40">
        <f t="shared" si="1"/>
        <v>0</v>
      </c>
      <c r="R12" s="40">
        <f t="shared" si="2"/>
        <v>0</v>
      </c>
      <c r="S12" s="41"/>
      <c r="T12" s="41"/>
      <c r="U12" s="41"/>
      <c r="V12" s="41"/>
      <c r="W12" s="41"/>
      <c r="X12" s="41"/>
      <c r="Y12" s="33">
        <f t="shared" si="3"/>
        <v>0</v>
      </c>
    </row>
    <row r="13" spans="1:25" x14ac:dyDescent="0.25">
      <c r="C13" s="34" t="s">
        <v>75</v>
      </c>
      <c r="D13" s="54" t="s">
        <v>32</v>
      </c>
      <c r="E13" s="34"/>
      <c r="F13" s="34"/>
      <c r="H13" s="35"/>
      <c r="I13" s="36"/>
      <c r="J13" s="37"/>
      <c r="K13" s="38"/>
      <c r="L13" s="29"/>
      <c r="M13" s="29"/>
      <c r="N13" s="29"/>
      <c r="O13" s="39"/>
      <c r="P13" s="40">
        <f t="shared" si="0"/>
        <v>0</v>
      </c>
      <c r="Q13" s="40">
        <f t="shared" si="1"/>
        <v>0</v>
      </c>
      <c r="R13" s="40">
        <f t="shared" si="2"/>
        <v>0</v>
      </c>
      <c r="S13" s="41"/>
      <c r="T13" s="41"/>
      <c r="U13" s="41"/>
      <c r="V13" s="41"/>
      <c r="W13" s="41"/>
      <c r="X13" s="41"/>
      <c r="Y13" s="33">
        <f t="shared" si="3"/>
        <v>0</v>
      </c>
    </row>
    <row r="14" spans="1:25" x14ac:dyDescent="0.25">
      <c r="C14" s="34" t="s">
        <v>75</v>
      </c>
      <c r="D14" s="54" t="s">
        <v>33</v>
      </c>
      <c r="E14" s="34"/>
      <c r="F14" s="34"/>
      <c r="H14" s="35"/>
      <c r="I14" s="36"/>
      <c r="J14" s="37"/>
      <c r="K14" s="38"/>
      <c r="L14" s="29"/>
      <c r="M14" s="29"/>
      <c r="N14" s="29"/>
      <c r="O14" s="39"/>
      <c r="P14" s="40">
        <f t="shared" si="0"/>
        <v>0</v>
      </c>
      <c r="Q14" s="40">
        <f t="shared" si="1"/>
        <v>0</v>
      </c>
      <c r="R14" s="40">
        <f t="shared" si="2"/>
        <v>0</v>
      </c>
      <c r="S14" s="41"/>
      <c r="T14" s="41"/>
      <c r="U14" s="41"/>
      <c r="V14" s="41"/>
      <c r="W14" s="41"/>
      <c r="X14" s="41"/>
      <c r="Y14" s="33">
        <f t="shared" si="3"/>
        <v>0</v>
      </c>
    </row>
    <row r="15" spans="1:25" x14ac:dyDescent="0.25">
      <c r="C15" s="34" t="s">
        <v>75</v>
      </c>
      <c r="D15" s="54" t="s">
        <v>34</v>
      </c>
      <c r="E15" s="34"/>
      <c r="F15" s="34"/>
      <c r="H15" s="35"/>
      <c r="I15" s="36"/>
      <c r="J15" s="37"/>
      <c r="K15" s="38"/>
      <c r="L15" s="29"/>
      <c r="M15" s="29"/>
      <c r="N15" s="29"/>
      <c r="O15" s="39"/>
      <c r="P15" s="40">
        <f t="shared" si="0"/>
        <v>0</v>
      </c>
      <c r="Q15" s="40">
        <f t="shared" si="1"/>
        <v>0</v>
      </c>
      <c r="R15" s="40">
        <f t="shared" si="2"/>
        <v>0</v>
      </c>
      <c r="S15" s="41"/>
      <c r="T15" s="41"/>
      <c r="U15" s="41"/>
      <c r="V15" s="41"/>
      <c r="W15" s="41"/>
      <c r="X15" s="41"/>
      <c r="Y15" s="33">
        <f t="shared" si="3"/>
        <v>0</v>
      </c>
    </row>
    <row r="16" spans="1:25" x14ac:dyDescent="0.25">
      <c r="C16" s="34" t="s">
        <v>75</v>
      </c>
      <c r="D16" s="54" t="s">
        <v>35</v>
      </c>
      <c r="E16" s="34"/>
      <c r="F16" s="34"/>
      <c r="H16" s="35"/>
      <c r="I16" s="36"/>
      <c r="J16" s="37"/>
      <c r="K16" s="38"/>
      <c r="L16" s="29"/>
      <c r="M16" s="29"/>
      <c r="N16" s="29"/>
      <c r="O16" s="39"/>
      <c r="P16" s="40">
        <f t="shared" si="0"/>
        <v>0</v>
      </c>
      <c r="Q16" s="40">
        <f t="shared" si="1"/>
        <v>0</v>
      </c>
      <c r="R16" s="40">
        <f t="shared" si="2"/>
        <v>0</v>
      </c>
      <c r="S16" s="41"/>
      <c r="T16" s="41"/>
      <c r="U16" s="41"/>
      <c r="V16" s="41"/>
      <c r="W16" s="41"/>
      <c r="X16" s="41"/>
      <c r="Y16" s="33">
        <f t="shared" si="3"/>
        <v>0</v>
      </c>
    </row>
    <row r="17" spans="3:25" x14ac:dyDescent="0.25">
      <c r="C17" s="34" t="s">
        <v>75</v>
      </c>
      <c r="D17" s="54" t="s">
        <v>36</v>
      </c>
      <c r="E17" s="34"/>
      <c r="F17" s="34"/>
      <c r="H17" s="35"/>
      <c r="I17" s="36"/>
      <c r="J17" s="37"/>
      <c r="K17" s="38"/>
      <c r="L17" s="29"/>
      <c r="M17" s="29"/>
      <c r="N17" s="29"/>
      <c r="O17" s="39"/>
      <c r="P17" s="40">
        <f t="shared" si="0"/>
        <v>0</v>
      </c>
      <c r="Q17" s="40">
        <f t="shared" si="1"/>
        <v>0</v>
      </c>
      <c r="R17" s="40">
        <f t="shared" si="2"/>
        <v>0</v>
      </c>
      <c r="S17" s="41"/>
      <c r="T17" s="41"/>
      <c r="U17" s="41"/>
      <c r="V17" s="41"/>
      <c r="W17" s="41"/>
      <c r="X17" s="41"/>
      <c r="Y17" s="33">
        <f t="shared" si="3"/>
        <v>0</v>
      </c>
    </row>
    <row r="18" spans="3:25" x14ac:dyDescent="0.25">
      <c r="C18" s="34" t="s">
        <v>75</v>
      </c>
      <c r="D18" s="54" t="s">
        <v>37</v>
      </c>
      <c r="E18" s="34"/>
      <c r="F18" s="34"/>
      <c r="H18" s="35"/>
      <c r="I18" s="36"/>
      <c r="J18" s="37"/>
      <c r="K18" s="38"/>
      <c r="L18" s="29"/>
      <c r="M18" s="29"/>
      <c r="N18" s="29"/>
      <c r="O18" s="39"/>
      <c r="P18" s="40">
        <f t="shared" si="0"/>
        <v>0</v>
      </c>
      <c r="Q18" s="40">
        <f t="shared" si="1"/>
        <v>0</v>
      </c>
      <c r="R18" s="40">
        <f t="shared" si="2"/>
        <v>0</v>
      </c>
      <c r="S18" s="41"/>
      <c r="T18" s="41"/>
      <c r="U18" s="41"/>
      <c r="V18" s="41"/>
      <c r="W18" s="41"/>
      <c r="X18" s="41"/>
      <c r="Y18" s="33">
        <f t="shared" si="3"/>
        <v>0</v>
      </c>
    </row>
    <row r="19" spans="3:25" x14ac:dyDescent="0.25">
      <c r="C19" s="34" t="s">
        <v>75</v>
      </c>
      <c r="D19" s="54" t="s">
        <v>38</v>
      </c>
      <c r="E19" s="34"/>
      <c r="F19" s="34"/>
      <c r="H19" s="35"/>
      <c r="I19" s="36"/>
      <c r="J19" s="37"/>
      <c r="K19" s="38"/>
      <c r="L19" s="29"/>
      <c r="M19" s="29"/>
      <c r="N19" s="29"/>
      <c r="O19" s="39"/>
      <c r="P19" s="40">
        <f t="shared" si="0"/>
        <v>0</v>
      </c>
      <c r="Q19" s="40">
        <f t="shared" si="1"/>
        <v>0</v>
      </c>
      <c r="R19" s="40">
        <f t="shared" si="2"/>
        <v>0</v>
      </c>
      <c r="S19" s="41"/>
      <c r="T19" s="41"/>
      <c r="U19" s="41"/>
      <c r="V19" s="41"/>
      <c r="W19" s="41"/>
      <c r="X19" s="41"/>
      <c r="Y19" s="33">
        <f t="shared" si="3"/>
        <v>0</v>
      </c>
    </row>
    <row r="20" spans="3:25" x14ac:dyDescent="0.25">
      <c r="C20" s="34" t="s">
        <v>75</v>
      </c>
      <c r="D20" s="54" t="s">
        <v>39</v>
      </c>
      <c r="E20" s="34"/>
      <c r="F20" s="34"/>
      <c r="H20" s="35"/>
      <c r="I20" s="36"/>
      <c r="J20" s="37"/>
      <c r="K20" s="38"/>
      <c r="L20" s="29"/>
      <c r="M20" s="29"/>
      <c r="N20" s="29"/>
      <c r="O20" s="39"/>
      <c r="P20" s="40">
        <f t="shared" si="0"/>
        <v>0</v>
      </c>
      <c r="Q20" s="40">
        <f t="shared" si="1"/>
        <v>0</v>
      </c>
      <c r="R20" s="40">
        <f t="shared" si="2"/>
        <v>0</v>
      </c>
      <c r="S20" s="41"/>
      <c r="T20" s="41"/>
      <c r="U20" s="41"/>
      <c r="V20" s="41"/>
      <c r="W20" s="41"/>
      <c r="X20" s="41"/>
      <c r="Y20" s="33">
        <f t="shared" si="3"/>
        <v>0</v>
      </c>
    </row>
    <row r="21" spans="3:25" x14ac:dyDescent="0.25">
      <c r="C21" s="34" t="s">
        <v>75</v>
      </c>
      <c r="D21" s="54" t="s">
        <v>40</v>
      </c>
      <c r="E21" s="34"/>
      <c r="F21" s="34"/>
      <c r="H21" s="35"/>
      <c r="I21" s="36"/>
      <c r="J21" s="37"/>
      <c r="K21" s="38"/>
      <c r="L21" s="29"/>
      <c r="M21" s="29"/>
      <c r="N21" s="29"/>
      <c r="O21" s="39"/>
      <c r="P21" s="40">
        <f t="shared" si="0"/>
        <v>0</v>
      </c>
      <c r="Q21" s="40">
        <f t="shared" si="1"/>
        <v>0</v>
      </c>
      <c r="R21" s="40">
        <f t="shared" si="2"/>
        <v>0</v>
      </c>
      <c r="S21" s="41"/>
      <c r="T21" s="41"/>
      <c r="U21" s="41"/>
      <c r="V21" s="41"/>
      <c r="W21" s="41"/>
      <c r="X21" s="41"/>
      <c r="Y21" s="33">
        <f t="shared" si="3"/>
        <v>0</v>
      </c>
    </row>
    <row r="22" spans="3:25" x14ac:dyDescent="0.25">
      <c r="C22" s="34" t="s">
        <v>75</v>
      </c>
      <c r="D22" s="54" t="s">
        <v>41</v>
      </c>
      <c r="E22" s="34"/>
      <c r="F22" s="34"/>
      <c r="G22" s="38"/>
      <c r="H22" s="35"/>
      <c r="I22" s="36"/>
      <c r="J22" s="37"/>
      <c r="K22" s="38"/>
      <c r="L22" s="29"/>
      <c r="M22" s="29"/>
      <c r="N22" s="29"/>
      <c r="O22" s="39"/>
      <c r="P22" s="40">
        <f t="shared" si="0"/>
        <v>0</v>
      </c>
      <c r="Q22" s="40">
        <f t="shared" si="1"/>
        <v>0</v>
      </c>
      <c r="R22" s="40">
        <f t="shared" si="2"/>
        <v>0</v>
      </c>
      <c r="S22" s="41"/>
      <c r="T22" s="41"/>
      <c r="U22" s="41"/>
      <c r="V22" s="41"/>
      <c r="W22" s="41"/>
      <c r="X22" s="41"/>
      <c r="Y22" s="33">
        <f t="shared" si="3"/>
        <v>0</v>
      </c>
    </row>
    <row r="23" spans="3:25" x14ac:dyDescent="0.25">
      <c r="C23" s="34" t="s">
        <v>75</v>
      </c>
      <c r="D23" s="54" t="s">
        <v>42</v>
      </c>
      <c r="E23" s="34"/>
      <c r="F23" s="34"/>
      <c r="G23" s="38"/>
      <c r="H23" s="35"/>
      <c r="I23" s="36"/>
      <c r="J23" s="37"/>
      <c r="K23" s="38"/>
      <c r="L23" s="29"/>
      <c r="M23" s="29"/>
      <c r="N23" s="29"/>
      <c r="O23" s="39"/>
      <c r="P23" s="40">
        <f t="shared" si="0"/>
        <v>0</v>
      </c>
      <c r="Q23" s="40">
        <f t="shared" si="1"/>
        <v>0</v>
      </c>
      <c r="R23" s="40">
        <f t="shared" si="2"/>
        <v>0</v>
      </c>
      <c r="S23" s="41"/>
      <c r="T23" s="41"/>
      <c r="U23" s="41"/>
      <c r="V23" s="41"/>
      <c r="W23" s="41"/>
      <c r="X23" s="41"/>
      <c r="Y23" s="33">
        <f t="shared" si="3"/>
        <v>0</v>
      </c>
    </row>
    <row r="24" spans="3:25" x14ac:dyDescent="0.25">
      <c r="C24" s="34" t="s">
        <v>75</v>
      </c>
      <c r="D24" s="54" t="s">
        <v>43</v>
      </c>
      <c r="E24" s="34"/>
      <c r="F24" s="34"/>
      <c r="H24" s="35"/>
      <c r="I24" s="36"/>
      <c r="J24" s="37"/>
      <c r="K24" s="38"/>
      <c r="L24" s="29"/>
      <c r="M24" s="29"/>
      <c r="N24" s="29"/>
      <c r="O24" s="39"/>
      <c r="P24" s="40">
        <f t="shared" si="0"/>
        <v>0</v>
      </c>
      <c r="Q24" s="40">
        <f t="shared" si="1"/>
        <v>0</v>
      </c>
      <c r="R24" s="40">
        <f t="shared" si="2"/>
        <v>0</v>
      </c>
      <c r="S24" s="41"/>
      <c r="T24" s="41"/>
      <c r="U24" s="41"/>
      <c r="V24" s="41"/>
      <c r="W24" s="41"/>
      <c r="X24" s="41"/>
      <c r="Y24" s="33">
        <f t="shared" si="3"/>
        <v>0</v>
      </c>
    </row>
    <row r="25" spans="3:25" x14ac:dyDescent="0.25">
      <c r="C25" s="34" t="s">
        <v>75</v>
      </c>
      <c r="D25" s="54" t="s">
        <v>44</v>
      </c>
      <c r="E25" s="34"/>
      <c r="F25" s="34"/>
      <c r="H25" s="35"/>
      <c r="I25" s="36"/>
      <c r="J25" s="37"/>
      <c r="K25" s="38"/>
      <c r="L25" s="29"/>
      <c r="M25" s="29"/>
      <c r="N25" s="29"/>
      <c r="O25" s="39"/>
      <c r="P25" s="40">
        <f t="shared" si="0"/>
        <v>0</v>
      </c>
      <c r="Q25" s="40">
        <f t="shared" si="1"/>
        <v>0</v>
      </c>
      <c r="R25" s="40">
        <f t="shared" si="2"/>
        <v>0</v>
      </c>
      <c r="S25" s="41"/>
      <c r="T25" s="41"/>
      <c r="U25" s="41"/>
      <c r="V25" s="41"/>
      <c r="W25" s="41"/>
      <c r="X25" s="41"/>
      <c r="Y25" s="33">
        <f t="shared" si="3"/>
        <v>0</v>
      </c>
    </row>
    <row r="26" spans="3:25" x14ac:dyDescent="0.25">
      <c r="C26" s="34" t="s">
        <v>75</v>
      </c>
      <c r="D26" s="54" t="s">
        <v>45</v>
      </c>
      <c r="E26" s="34"/>
      <c r="F26" s="34"/>
      <c r="H26" s="35"/>
      <c r="I26" s="36"/>
      <c r="J26" s="37"/>
      <c r="K26" s="38"/>
      <c r="L26" s="29"/>
      <c r="M26" s="29"/>
      <c r="N26" s="29"/>
      <c r="O26" s="39"/>
      <c r="P26" s="40">
        <f t="shared" si="0"/>
        <v>0</v>
      </c>
      <c r="Q26" s="40">
        <f t="shared" si="1"/>
        <v>0</v>
      </c>
      <c r="R26" s="40">
        <f t="shared" si="2"/>
        <v>0</v>
      </c>
      <c r="S26" s="41"/>
      <c r="T26" s="41"/>
      <c r="U26" s="41"/>
      <c r="V26" s="41"/>
      <c r="W26" s="41"/>
      <c r="X26" s="41"/>
      <c r="Y26" s="33">
        <f t="shared" si="3"/>
        <v>0</v>
      </c>
    </row>
    <row r="27" spans="3:25" x14ac:dyDescent="0.25">
      <c r="C27" s="34" t="s">
        <v>75</v>
      </c>
      <c r="D27" s="54" t="s">
        <v>46</v>
      </c>
      <c r="E27" s="34"/>
      <c r="F27" s="34"/>
      <c r="H27" s="35"/>
      <c r="I27" s="36"/>
      <c r="J27" s="37"/>
      <c r="K27" s="38"/>
      <c r="L27" s="29"/>
      <c r="M27" s="29"/>
      <c r="N27" s="29"/>
      <c r="O27" s="39"/>
      <c r="P27" s="40">
        <f t="shared" si="0"/>
        <v>0</v>
      </c>
      <c r="Q27" s="40">
        <f t="shared" si="1"/>
        <v>0</v>
      </c>
      <c r="R27" s="40">
        <f t="shared" si="2"/>
        <v>0</v>
      </c>
      <c r="S27" s="41"/>
      <c r="T27" s="41"/>
      <c r="U27" s="41"/>
      <c r="V27" s="41"/>
      <c r="W27" s="41"/>
      <c r="X27" s="41"/>
      <c r="Y27" s="33">
        <f t="shared" si="3"/>
        <v>0</v>
      </c>
    </row>
    <row r="28" spans="3:25" x14ac:dyDescent="0.25">
      <c r="C28" s="34" t="s">
        <v>75</v>
      </c>
      <c r="D28" s="54" t="s">
        <v>47</v>
      </c>
      <c r="E28" s="34"/>
      <c r="F28" s="34"/>
      <c r="H28" s="35"/>
      <c r="I28" s="36"/>
      <c r="J28" s="37"/>
      <c r="K28" s="38"/>
      <c r="L28" s="29"/>
      <c r="M28" s="29"/>
      <c r="N28" s="29"/>
      <c r="O28" s="39"/>
      <c r="P28" s="40">
        <f t="shared" si="0"/>
        <v>0</v>
      </c>
      <c r="Q28" s="40">
        <f t="shared" si="1"/>
        <v>0</v>
      </c>
      <c r="R28" s="40">
        <f t="shared" si="2"/>
        <v>0</v>
      </c>
      <c r="S28" s="41"/>
      <c r="T28" s="41"/>
      <c r="U28" s="41"/>
      <c r="V28" s="41"/>
      <c r="W28" s="41"/>
      <c r="X28" s="41"/>
      <c r="Y28" s="33">
        <f t="shared" si="3"/>
        <v>0</v>
      </c>
    </row>
    <row r="29" spans="3:25" x14ac:dyDescent="0.25">
      <c r="C29" s="34" t="s">
        <v>75</v>
      </c>
      <c r="D29" s="54" t="s">
        <v>48</v>
      </c>
      <c r="E29" s="34"/>
      <c r="F29" s="34"/>
      <c r="H29" s="35"/>
      <c r="I29" s="36"/>
      <c r="J29" s="37"/>
      <c r="K29" s="38"/>
      <c r="L29" s="29"/>
      <c r="M29" s="29"/>
      <c r="N29" s="29"/>
      <c r="O29" s="39"/>
      <c r="P29" s="40">
        <f t="shared" si="0"/>
        <v>0</v>
      </c>
      <c r="Q29" s="40">
        <f t="shared" si="1"/>
        <v>0</v>
      </c>
      <c r="R29" s="40">
        <f t="shared" si="2"/>
        <v>0</v>
      </c>
      <c r="S29" s="41"/>
      <c r="T29" s="41"/>
      <c r="U29" s="41"/>
      <c r="V29" s="41"/>
      <c r="W29" s="41"/>
      <c r="X29" s="41"/>
      <c r="Y29" s="33">
        <f t="shared" si="3"/>
        <v>0</v>
      </c>
    </row>
    <row r="30" spans="3:25" x14ac:dyDescent="0.25">
      <c r="C30" s="34" t="s">
        <v>75</v>
      </c>
      <c r="D30" s="54" t="s">
        <v>49</v>
      </c>
      <c r="E30" s="34"/>
      <c r="F30" s="34"/>
      <c r="H30" s="35"/>
      <c r="I30" s="36"/>
      <c r="J30" s="37"/>
      <c r="K30" s="38"/>
      <c r="L30" s="29"/>
      <c r="M30" s="29"/>
      <c r="N30" s="29"/>
      <c r="O30" s="39"/>
      <c r="P30" s="40">
        <f t="shared" si="0"/>
        <v>0</v>
      </c>
      <c r="Q30" s="40">
        <f t="shared" si="1"/>
        <v>0</v>
      </c>
      <c r="R30" s="40">
        <f t="shared" si="2"/>
        <v>0</v>
      </c>
      <c r="S30" s="41"/>
      <c r="T30" s="41"/>
      <c r="U30" s="41"/>
      <c r="V30" s="41"/>
      <c r="W30" s="41"/>
      <c r="X30" s="41"/>
      <c r="Y30" s="33">
        <f t="shared" si="3"/>
        <v>0</v>
      </c>
    </row>
    <row r="31" spans="3:25" x14ac:dyDescent="0.25">
      <c r="C31" s="34" t="s">
        <v>75</v>
      </c>
      <c r="D31" s="54" t="s">
        <v>50</v>
      </c>
      <c r="E31" s="34"/>
      <c r="F31" s="34"/>
      <c r="H31" s="35"/>
      <c r="I31" s="36"/>
      <c r="J31" s="37"/>
      <c r="K31" s="38"/>
      <c r="L31" s="29"/>
      <c r="M31" s="29"/>
      <c r="N31" s="29"/>
      <c r="O31" s="39"/>
      <c r="P31" s="40">
        <f t="shared" si="0"/>
        <v>0</v>
      </c>
      <c r="Q31" s="40">
        <f t="shared" si="1"/>
        <v>0</v>
      </c>
      <c r="R31" s="40">
        <f t="shared" si="2"/>
        <v>0</v>
      </c>
      <c r="S31" s="41"/>
      <c r="T31" s="41"/>
      <c r="U31" s="41"/>
      <c r="V31" s="41"/>
      <c r="W31" s="41"/>
      <c r="X31" s="41"/>
      <c r="Y31" s="33">
        <f t="shared" si="3"/>
        <v>0</v>
      </c>
    </row>
    <row r="32" spans="3:25" x14ac:dyDescent="0.25">
      <c r="C32" s="34" t="s">
        <v>75</v>
      </c>
      <c r="D32" s="54" t="s">
        <v>51</v>
      </c>
      <c r="E32" s="34"/>
      <c r="F32" s="34"/>
      <c r="H32" s="35"/>
      <c r="I32" s="36"/>
      <c r="J32" s="37"/>
      <c r="K32" s="38"/>
      <c r="L32" s="29"/>
      <c r="M32" s="29"/>
      <c r="N32" s="29"/>
      <c r="O32" s="39"/>
      <c r="P32" s="40">
        <f t="shared" si="0"/>
        <v>0</v>
      </c>
      <c r="Q32" s="40">
        <f t="shared" si="1"/>
        <v>0</v>
      </c>
      <c r="R32" s="40">
        <f t="shared" si="2"/>
        <v>0</v>
      </c>
      <c r="S32" s="41"/>
      <c r="T32" s="41"/>
      <c r="U32" s="41"/>
      <c r="V32" s="41"/>
      <c r="W32" s="41"/>
      <c r="X32" s="41"/>
      <c r="Y32" s="33">
        <f t="shared" si="3"/>
        <v>0</v>
      </c>
    </row>
    <row r="33" spans="3:25" x14ac:dyDescent="0.25">
      <c r="C33" s="34" t="s">
        <v>75</v>
      </c>
      <c r="D33" s="54" t="s">
        <v>52</v>
      </c>
      <c r="E33" s="34"/>
      <c r="F33" s="34"/>
      <c r="H33" s="35"/>
      <c r="I33" s="36"/>
      <c r="J33" s="37"/>
      <c r="K33" s="38"/>
      <c r="L33" s="29"/>
      <c r="M33" s="29"/>
      <c r="N33" s="29"/>
      <c r="O33" s="39"/>
      <c r="P33" s="40">
        <f t="shared" si="0"/>
        <v>0</v>
      </c>
      <c r="Q33" s="40">
        <f t="shared" si="1"/>
        <v>0</v>
      </c>
      <c r="R33" s="40">
        <f t="shared" si="2"/>
        <v>0</v>
      </c>
      <c r="S33" s="41"/>
      <c r="T33" s="41"/>
      <c r="U33" s="41"/>
      <c r="V33" s="41"/>
      <c r="W33" s="41"/>
      <c r="X33" s="41"/>
      <c r="Y33" s="33">
        <f t="shared" si="3"/>
        <v>0</v>
      </c>
    </row>
    <row r="34" spans="3:25" x14ac:dyDescent="0.25">
      <c r="C34" s="34" t="s">
        <v>75</v>
      </c>
      <c r="D34" s="54" t="s">
        <v>14</v>
      </c>
      <c r="E34" s="34"/>
      <c r="F34" s="34"/>
      <c r="H34" s="35"/>
      <c r="I34" s="36"/>
      <c r="J34" s="37"/>
      <c r="K34" s="38"/>
      <c r="L34" s="29"/>
      <c r="M34" s="29"/>
      <c r="N34" s="29"/>
      <c r="O34" s="39"/>
      <c r="P34" s="40">
        <f t="shared" si="0"/>
        <v>0</v>
      </c>
      <c r="Q34" s="40">
        <f t="shared" si="1"/>
        <v>0</v>
      </c>
      <c r="R34" s="40">
        <f t="shared" si="2"/>
        <v>0</v>
      </c>
      <c r="S34" s="41"/>
      <c r="T34" s="41"/>
      <c r="U34" s="41"/>
      <c r="V34" s="41"/>
      <c r="W34" s="41"/>
      <c r="X34" s="41"/>
      <c r="Y34" s="33">
        <f t="shared" si="3"/>
        <v>0</v>
      </c>
    </row>
    <row r="35" spans="3:25" x14ac:dyDescent="0.25">
      <c r="C35" s="34" t="s">
        <v>75</v>
      </c>
      <c r="D35" s="54" t="s">
        <v>53</v>
      </c>
      <c r="E35" s="34"/>
      <c r="F35" s="34"/>
      <c r="H35" s="35"/>
      <c r="I35" s="36"/>
      <c r="J35" s="37"/>
      <c r="K35" s="38"/>
      <c r="L35" s="29"/>
      <c r="M35" s="29"/>
      <c r="N35" s="29"/>
      <c r="O35" s="39"/>
      <c r="P35" s="40">
        <f t="shared" si="0"/>
        <v>0</v>
      </c>
      <c r="Q35" s="40">
        <f t="shared" si="1"/>
        <v>0</v>
      </c>
      <c r="R35" s="40">
        <f t="shared" si="2"/>
        <v>0</v>
      </c>
      <c r="S35" s="41"/>
      <c r="T35" s="41"/>
      <c r="U35" s="41"/>
      <c r="V35" s="41"/>
      <c r="W35" s="41"/>
      <c r="X35" s="41"/>
      <c r="Y35" s="33">
        <f t="shared" si="3"/>
        <v>0</v>
      </c>
    </row>
    <row r="36" spans="3:25" x14ac:dyDescent="0.25">
      <c r="C36" s="34" t="s">
        <v>75</v>
      </c>
      <c r="D36" s="54" t="s">
        <v>54</v>
      </c>
      <c r="E36" s="34"/>
      <c r="F36" s="34"/>
      <c r="H36" s="35"/>
      <c r="I36" s="36"/>
      <c r="J36" s="37"/>
      <c r="K36" s="38"/>
      <c r="L36" s="29"/>
      <c r="M36" s="29"/>
      <c r="N36" s="29"/>
      <c r="O36" s="39"/>
      <c r="P36" s="40">
        <f t="shared" si="0"/>
        <v>0</v>
      </c>
      <c r="Q36" s="40">
        <f t="shared" si="1"/>
        <v>0</v>
      </c>
      <c r="R36" s="40">
        <f t="shared" si="2"/>
        <v>0</v>
      </c>
      <c r="S36" s="41"/>
      <c r="T36" s="41"/>
      <c r="U36" s="41"/>
      <c r="V36" s="41"/>
      <c r="W36" s="41"/>
      <c r="X36" s="41"/>
      <c r="Y36" s="33">
        <f t="shared" si="3"/>
        <v>0</v>
      </c>
    </row>
    <row r="37" spans="3:25" x14ac:dyDescent="0.25">
      <c r="C37" s="34" t="s">
        <v>75</v>
      </c>
      <c r="D37" s="54" t="s">
        <v>55</v>
      </c>
      <c r="E37" s="34"/>
      <c r="F37" s="34"/>
      <c r="H37" s="35"/>
      <c r="I37" s="36"/>
      <c r="J37" s="37"/>
      <c r="K37" s="38"/>
      <c r="L37" s="29"/>
      <c r="M37" s="29"/>
      <c r="N37" s="29"/>
      <c r="O37" s="39"/>
      <c r="P37" s="40">
        <f t="shared" si="0"/>
        <v>0</v>
      </c>
      <c r="Q37" s="40">
        <f t="shared" si="1"/>
        <v>0</v>
      </c>
      <c r="R37" s="40">
        <f t="shared" si="2"/>
        <v>0</v>
      </c>
      <c r="S37" s="41"/>
      <c r="T37" s="41"/>
      <c r="U37" s="41"/>
      <c r="V37" s="41"/>
      <c r="W37" s="41"/>
      <c r="X37" s="41"/>
      <c r="Y37" s="33">
        <f t="shared" si="3"/>
        <v>0</v>
      </c>
    </row>
    <row r="38" spans="3:25" x14ac:dyDescent="0.25">
      <c r="C38" s="34" t="s">
        <v>75</v>
      </c>
      <c r="D38" s="54" t="s">
        <v>56</v>
      </c>
      <c r="E38" s="34"/>
      <c r="F38" s="34"/>
      <c r="H38" s="35"/>
      <c r="I38" s="36"/>
      <c r="J38" s="37"/>
      <c r="K38" s="38"/>
      <c r="L38" s="29"/>
      <c r="M38" s="29"/>
      <c r="N38" s="29"/>
      <c r="O38" s="39"/>
      <c r="P38" s="40">
        <f t="shared" si="0"/>
        <v>0</v>
      </c>
      <c r="Q38" s="40">
        <f t="shared" si="1"/>
        <v>0</v>
      </c>
      <c r="R38" s="40">
        <f t="shared" si="2"/>
        <v>0</v>
      </c>
      <c r="S38" s="41"/>
      <c r="T38" s="41"/>
      <c r="U38" s="41"/>
      <c r="V38" s="41"/>
      <c r="W38" s="41"/>
      <c r="X38" s="41"/>
      <c r="Y38" s="33">
        <f t="shared" si="3"/>
        <v>0</v>
      </c>
    </row>
    <row r="39" spans="3:25" x14ac:dyDescent="0.25">
      <c r="D39" s="69"/>
      <c r="E39" s="34"/>
      <c r="F39" s="34"/>
      <c r="H39" s="35"/>
      <c r="I39" s="36"/>
      <c r="J39" s="37"/>
      <c r="K39" s="38"/>
      <c r="L39" s="29"/>
      <c r="M39" s="29"/>
      <c r="N39" s="29"/>
      <c r="O39" s="39"/>
      <c r="P39" s="40">
        <f t="shared" si="0"/>
        <v>0</v>
      </c>
      <c r="Q39" s="40">
        <f t="shared" si="1"/>
        <v>0</v>
      </c>
      <c r="R39" s="40">
        <f t="shared" si="2"/>
        <v>0</v>
      </c>
      <c r="S39" s="41"/>
      <c r="T39" s="41"/>
      <c r="U39" s="41"/>
      <c r="V39" s="41"/>
      <c r="W39" s="41"/>
      <c r="X39" s="41"/>
      <c r="Y39" s="33">
        <f t="shared" si="3"/>
        <v>0</v>
      </c>
    </row>
    <row r="40" spans="3:25" x14ac:dyDescent="0.25">
      <c r="D40" s="69"/>
      <c r="E40" s="34"/>
      <c r="F40" s="34"/>
      <c r="H40" s="35"/>
      <c r="I40" s="36"/>
      <c r="J40" s="37"/>
      <c r="K40" s="38"/>
      <c r="L40" s="29"/>
      <c r="M40" s="29"/>
      <c r="N40" s="29"/>
      <c r="O40" s="39"/>
      <c r="P40" s="40">
        <f t="shared" si="0"/>
        <v>0</v>
      </c>
      <c r="Q40" s="40">
        <f t="shared" si="1"/>
        <v>0</v>
      </c>
      <c r="R40" s="40">
        <f t="shared" si="2"/>
        <v>0</v>
      </c>
      <c r="S40" s="41"/>
      <c r="T40" s="41"/>
      <c r="U40" s="41"/>
      <c r="V40" s="41"/>
      <c r="W40" s="41"/>
      <c r="X40" s="41"/>
      <c r="Y40" s="33">
        <f t="shared" si="3"/>
        <v>0</v>
      </c>
    </row>
    <row r="41" spans="3:25" x14ac:dyDescent="0.25">
      <c r="D41" s="69"/>
      <c r="E41" s="34"/>
      <c r="F41" s="34"/>
      <c r="H41" s="35"/>
      <c r="I41" s="36"/>
      <c r="J41" s="37"/>
      <c r="K41" s="38"/>
      <c r="L41" s="29"/>
      <c r="M41" s="29"/>
      <c r="N41" s="29"/>
      <c r="O41" s="39"/>
      <c r="P41" s="40">
        <f t="shared" si="0"/>
        <v>0</v>
      </c>
      <c r="Q41" s="40">
        <f t="shared" si="1"/>
        <v>0</v>
      </c>
      <c r="R41" s="40">
        <f t="shared" si="2"/>
        <v>0</v>
      </c>
      <c r="S41" s="41"/>
      <c r="T41" s="41"/>
      <c r="U41" s="41"/>
      <c r="V41" s="41"/>
      <c r="W41" s="41"/>
      <c r="X41" s="41"/>
      <c r="Y41" s="33">
        <f t="shared" si="3"/>
        <v>0</v>
      </c>
    </row>
    <row r="42" spans="3:25" x14ac:dyDescent="0.25">
      <c r="D42" s="69"/>
      <c r="E42" s="34"/>
      <c r="F42" s="34"/>
      <c r="H42" s="35"/>
      <c r="I42" s="36"/>
      <c r="J42" s="37"/>
      <c r="K42" s="38"/>
      <c r="L42" s="29"/>
      <c r="M42" s="29"/>
      <c r="N42" s="29"/>
      <c r="O42" s="39"/>
      <c r="P42" s="40">
        <f t="shared" si="0"/>
        <v>0</v>
      </c>
      <c r="Q42" s="40">
        <f t="shared" si="1"/>
        <v>0</v>
      </c>
      <c r="R42" s="40">
        <f t="shared" si="2"/>
        <v>0</v>
      </c>
      <c r="S42" s="41"/>
      <c r="T42" s="41"/>
      <c r="U42" s="41"/>
      <c r="V42" s="41"/>
      <c r="W42" s="41"/>
      <c r="X42" s="41"/>
      <c r="Y42" s="33">
        <f t="shared" si="3"/>
        <v>0</v>
      </c>
    </row>
    <row r="43" spans="3:25" x14ac:dyDescent="0.25">
      <c r="D43" s="69"/>
      <c r="E43" s="34"/>
      <c r="F43" s="34"/>
      <c r="H43" s="35"/>
      <c r="I43" s="36"/>
      <c r="J43" s="37"/>
      <c r="K43" s="38"/>
      <c r="L43" s="29"/>
      <c r="M43" s="29"/>
      <c r="N43" s="29"/>
      <c r="O43" s="39"/>
      <c r="P43" s="40">
        <f t="shared" si="0"/>
        <v>0</v>
      </c>
      <c r="Q43" s="40">
        <f t="shared" si="1"/>
        <v>0</v>
      </c>
      <c r="R43" s="40">
        <f t="shared" si="2"/>
        <v>0</v>
      </c>
      <c r="S43" s="41"/>
      <c r="T43" s="41"/>
      <c r="U43" s="41"/>
      <c r="V43" s="41"/>
      <c r="W43" s="41"/>
      <c r="X43" s="41"/>
      <c r="Y43" s="33">
        <f t="shared" si="3"/>
        <v>0</v>
      </c>
    </row>
    <row r="44" spans="3:25" x14ac:dyDescent="0.25">
      <c r="D44" s="69"/>
      <c r="E44" s="34"/>
      <c r="F44" s="34"/>
      <c r="H44" s="35"/>
      <c r="I44" s="36"/>
      <c r="J44" s="37"/>
      <c r="K44" s="38"/>
      <c r="L44" s="29"/>
      <c r="M44" s="29"/>
      <c r="N44" s="29"/>
      <c r="O44" s="39"/>
      <c r="P44" s="40">
        <f t="shared" si="0"/>
        <v>0</v>
      </c>
      <c r="Q44" s="40">
        <f t="shared" si="1"/>
        <v>0</v>
      </c>
      <c r="R44" s="40">
        <f t="shared" si="2"/>
        <v>0</v>
      </c>
      <c r="S44" s="41"/>
      <c r="T44" s="41"/>
      <c r="U44" s="41"/>
      <c r="V44" s="41"/>
      <c r="W44" s="41"/>
      <c r="X44" s="41"/>
      <c r="Y44" s="33">
        <f t="shared" si="3"/>
        <v>0</v>
      </c>
    </row>
    <row r="45" spans="3:25" x14ac:dyDescent="0.25">
      <c r="D45" s="69"/>
      <c r="E45" s="34"/>
      <c r="F45" s="34"/>
      <c r="H45" s="35"/>
      <c r="I45" s="36"/>
      <c r="J45" s="37"/>
      <c r="K45" s="38"/>
      <c r="L45" s="29"/>
      <c r="M45" s="29"/>
      <c r="N45" s="29"/>
      <c r="O45" s="39"/>
      <c r="P45" s="40">
        <f t="shared" si="0"/>
        <v>0</v>
      </c>
      <c r="Q45" s="40">
        <f t="shared" si="1"/>
        <v>0</v>
      </c>
      <c r="R45" s="40">
        <f t="shared" si="2"/>
        <v>0</v>
      </c>
      <c r="S45" s="41"/>
      <c r="T45" s="41"/>
      <c r="U45" s="41"/>
      <c r="V45" s="41"/>
      <c r="W45" s="41"/>
      <c r="X45" s="41"/>
      <c r="Y45" s="33">
        <f t="shared" si="3"/>
        <v>0</v>
      </c>
    </row>
    <row r="46" spans="3:25" x14ac:dyDescent="0.25">
      <c r="D46" s="69"/>
      <c r="E46" s="34"/>
      <c r="F46" s="34"/>
      <c r="H46" s="35"/>
      <c r="I46" s="36"/>
      <c r="J46" s="37"/>
      <c r="K46" s="38"/>
      <c r="L46" s="29"/>
      <c r="M46" s="29"/>
      <c r="N46" s="29"/>
      <c r="O46" s="39"/>
      <c r="P46" s="40">
        <f t="shared" si="0"/>
        <v>0</v>
      </c>
      <c r="Q46" s="40">
        <f t="shared" si="1"/>
        <v>0</v>
      </c>
      <c r="R46" s="40">
        <f t="shared" si="2"/>
        <v>0</v>
      </c>
      <c r="S46" s="41"/>
      <c r="T46" s="41"/>
      <c r="U46" s="41"/>
      <c r="V46" s="41"/>
      <c r="W46" s="41"/>
      <c r="X46" s="41"/>
      <c r="Y46" s="33">
        <f t="shared" si="3"/>
        <v>0</v>
      </c>
    </row>
    <row r="47" spans="3:25" x14ac:dyDescent="0.25">
      <c r="D47" s="69"/>
      <c r="E47" s="34"/>
      <c r="F47" s="34"/>
      <c r="H47" s="35"/>
      <c r="I47" s="36"/>
      <c r="J47" s="37"/>
      <c r="K47" s="38"/>
      <c r="L47" s="29"/>
      <c r="M47" s="29"/>
      <c r="N47" s="29"/>
      <c r="O47" s="39"/>
      <c r="P47" s="40">
        <f t="shared" si="0"/>
        <v>0</v>
      </c>
      <c r="Q47" s="40">
        <f t="shared" si="1"/>
        <v>0</v>
      </c>
      <c r="R47" s="40">
        <f t="shared" si="2"/>
        <v>0</v>
      </c>
      <c r="S47" s="41"/>
      <c r="T47" s="41"/>
      <c r="U47" s="41"/>
      <c r="V47" s="41"/>
      <c r="W47" s="41"/>
      <c r="X47" s="41"/>
      <c r="Y47" s="33">
        <f t="shared" si="3"/>
        <v>0</v>
      </c>
    </row>
    <row r="48" spans="3:25" x14ac:dyDescent="0.25">
      <c r="D48" s="69"/>
      <c r="E48" s="34"/>
      <c r="F48" s="34"/>
      <c r="H48" s="35"/>
      <c r="I48" s="36"/>
      <c r="J48" s="37"/>
      <c r="K48" s="38"/>
      <c r="L48" s="29"/>
      <c r="M48" s="29"/>
      <c r="N48" s="29"/>
      <c r="O48" s="39"/>
      <c r="P48" s="40">
        <f t="shared" si="0"/>
        <v>0</v>
      </c>
      <c r="Q48" s="40">
        <f t="shared" si="1"/>
        <v>0</v>
      </c>
      <c r="R48" s="40">
        <f t="shared" si="2"/>
        <v>0</v>
      </c>
      <c r="S48" s="41"/>
      <c r="T48" s="41"/>
      <c r="U48" s="41"/>
      <c r="V48" s="41"/>
      <c r="W48" s="41"/>
      <c r="X48" s="41"/>
      <c r="Y48" s="33">
        <f t="shared" si="3"/>
        <v>0</v>
      </c>
    </row>
    <row r="49" spans="4:25" x14ac:dyDescent="0.25">
      <c r="D49" s="69"/>
      <c r="E49" s="34"/>
      <c r="F49" s="34"/>
      <c r="H49" s="35"/>
      <c r="I49" s="36"/>
      <c r="J49" s="37"/>
      <c r="K49" s="38"/>
      <c r="L49" s="29"/>
      <c r="M49" s="29"/>
      <c r="N49" s="29"/>
      <c r="O49" s="39"/>
      <c r="P49" s="40">
        <f t="shared" si="0"/>
        <v>0</v>
      </c>
      <c r="Q49" s="40">
        <f t="shared" si="1"/>
        <v>0</v>
      </c>
      <c r="R49" s="40">
        <f t="shared" si="2"/>
        <v>0</v>
      </c>
      <c r="S49" s="41"/>
      <c r="T49" s="41"/>
      <c r="U49" s="41"/>
      <c r="V49" s="41"/>
      <c r="W49" s="41"/>
      <c r="X49" s="41"/>
      <c r="Y49" s="33">
        <f t="shared" si="3"/>
        <v>0</v>
      </c>
    </row>
    <row r="50" spans="4:25" x14ac:dyDescent="0.25">
      <c r="D50" s="69"/>
      <c r="E50" s="34"/>
      <c r="F50" s="34"/>
      <c r="H50" s="35"/>
      <c r="I50" s="36"/>
      <c r="J50" s="37"/>
      <c r="K50" s="38"/>
      <c r="L50" s="29"/>
      <c r="M50" s="29"/>
      <c r="N50" s="29"/>
      <c r="O50" s="39"/>
      <c r="P50" s="40">
        <f t="shared" si="0"/>
        <v>0</v>
      </c>
      <c r="Q50" s="40">
        <f t="shared" si="1"/>
        <v>0</v>
      </c>
      <c r="R50" s="40">
        <f t="shared" si="2"/>
        <v>0</v>
      </c>
      <c r="S50" s="41"/>
      <c r="T50" s="41"/>
      <c r="U50" s="41"/>
      <c r="V50" s="41"/>
      <c r="W50" s="41"/>
      <c r="X50" s="41"/>
      <c r="Y50" s="33">
        <f t="shared" si="3"/>
        <v>0</v>
      </c>
    </row>
    <row r="51" spans="4:25" x14ac:dyDescent="0.25">
      <c r="D51" s="69"/>
      <c r="E51" s="34"/>
      <c r="F51" s="34"/>
      <c r="H51" s="35"/>
      <c r="I51" s="36"/>
      <c r="J51" s="37"/>
      <c r="K51" s="38"/>
      <c r="L51" s="29"/>
      <c r="M51" s="29"/>
      <c r="N51" s="29"/>
      <c r="O51" s="39"/>
      <c r="P51" s="40">
        <f t="shared" si="0"/>
        <v>0</v>
      </c>
      <c r="Q51" s="40">
        <f t="shared" si="1"/>
        <v>0</v>
      </c>
      <c r="R51" s="40">
        <f t="shared" si="2"/>
        <v>0</v>
      </c>
      <c r="S51" s="41"/>
      <c r="T51" s="41"/>
      <c r="U51" s="41"/>
      <c r="V51" s="41"/>
      <c r="W51" s="41"/>
      <c r="X51" s="41"/>
      <c r="Y51" s="33">
        <f t="shared" si="3"/>
        <v>0</v>
      </c>
    </row>
    <row r="52" spans="4:25" x14ac:dyDescent="0.25">
      <c r="D52" s="69"/>
      <c r="E52" s="34"/>
      <c r="F52" s="34"/>
      <c r="H52" s="35"/>
      <c r="I52" s="36"/>
      <c r="J52" s="37"/>
      <c r="K52" s="38"/>
      <c r="L52" s="29"/>
      <c r="M52" s="29"/>
      <c r="N52" s="29"/>
      <c r="O52" s="39"/>
      <c r="P52" s="40">
        <f t="shared" si="0"/>
        <v>0</v>
      </c>
      <c r="Q52" s="40">
        <f t="shared" si="1"/>
        <v>0</v>
      </c>
      <c r="R52" s="40">
        <f t="shared" si="2"/>
        <v>0</v>
      </c>
      <c r="S52" s="41"/>
      <c r="T52" s="41"/>
      <c r="U52" s="41"/>
      <c r="V52" s="41"/>
      <c r="W52" s="41"/>
      <c r="X52" s="41"/>
      <c r="Y52" s="33">
        <f t="shared" si="3"/>
        <v>0</v>
      </c>
    </row>
    <row r="53" spans="4:25" x14ac:dyDescent="0.25">
      <c r="D53" s="69"/>
      <c r="E53" s="34"/>
      <c r="F53" s="34"/>
      <c r="H53" s="35"/>
      <c r="I53" s="36"/>
      <c r="J53" s="37"/>
      <c r="K53" s="38"/>
      <c r="L53" s="29"/>
      <c r="M53" s="29"/>
      <c r="N53" s="29"/>
      <c r="O53" s="39"/>
      <c r="P53" s="40">
        <f t="shared" si="0"/>
        <v>0</v>
      </c>
      <c r="Q53" s="40">
        <f t="shared" si="1"/>
        <v>0</v>
      </c>
      <c r="R53" s="40">
        <f t="shared" si="2"/>
        <v>0</v>
      </c>
      <c r="S53" s="41"/>
      <c r="T53" s="41"/>
      <c r="U53" s="41"/>
      <c r="V53" s="41"/>
      <c r="W53" s="41"/>
      <c r="X53" s="41"/>
      <c r="Y53" s="33">
        <f t="shared" si="3"/>
        <v>0</v>
      </c>
    </row>
    <row r="54" spans="4:25" x14ac:dyDescent="0.25">
      <c r="D54" s="69"/>
      <c r="E54" s="34"/>
      <c r="F54" s="34"/>
      <c r="H54" s="35"/>
      <c r="I54" s="36"/>
      <c r="J54" s="37"/>
      <c r="K54" s="38"/>
      <c r="L54" s="29"/>
      <c r="M54" s="29"/>
      <c r="N54" s="29"/>
      <c r="O54" s="39"/>
      <c r="P54" s="40">
        <f t="shared" si="0"/>
        <v>0</v>
      </c>
      <c r="Q54" s="40">
        <f t="shared" si="1"/>
        <v>0</v>
      </c>
      <c r="R54" s="40">
        <f t="shared" si="2"/>
        <v>0</v>
      </c>
      <c r="S54" s="41"/>
      <c r="T54" s="41"/>
      <c r="U54" s="41"/>
      <c r="V54" s="41"/>
      <c r="W54" s="41"/>
      <c r="X54" s="41"/>
      <c r="Y54" s="33">
        <f t="shared" si="3"/>
        <v>0</v>
      </c>
    </row>
    <row r="55" spans="4:25" x14ac:dyDescent="0.25">
      <c r="D55" s="69"/>
      <c r="E55" s="34"/>
      <c r="F55" s="34"/>
      <c r="H55" s="35"/>
      <c r="I55" s="36"/>
      <c r="J55" s="37"/>
      <c r="K55" s="38"/>
      <c r="L55" s="29"/>
      <c r="M55" s="29"/>
      <c r="N55" s="29"/>
      <c r="O55" s="39"/>
      <c r="P55" s="40">
        <f t="shared" si="0"/>
        <v>0</v>
      </c>
      <c r="Q55" s="40">
        <f t="shared" si="1"/>
        <v>0</v>
      </c>
      <c r="R55" s="40">
        <f t="shared" si="2"/>
        <v>0</v>
      </c>
      <c r="S55" s="41"/>
      <c r="T55" s="41"/>
      <c r="U55" s="41"/>
      <c r="V55" s="41"/>
      <c r="W55" s="41"/>
      <c r="X55" s="41"/>
      <c r="Y55" s="33">
        <f t="shared" si="3"/>
        <v>0</v>
      </c>
    </row>
    <row r="56" spans="4:25" x14ac:dyDescent="0.25">
      <c r="D56" s="69"/>
      <c r="E56" s="34"/>
      <c r="F56" s="34"/>
      <c r="H56" s="35"/>
      <c r="I56" s="36"/>
      <c r="J56" s="37"/>
      <c r="K56" s="38"/>
      <c r="L56" s="29"/>
      <c r="M56" s="29"/>
      <c r="N56" s="29"/>
      <c r="O56" s="39"/>
      <c r="P56" s="40">
        <f t="shared" si="0"/>
        <v>0</v>
      </c>
      <c r="Q56" s="40">
        <f t="shared" si="1"/>
        <v>0</v>
      </c>
      <c r="R56" s="40">
        <f t="shared" si="2"/>
        <v>0</v>
      </c>
      <c r="S56" s="41"/>
      <c r="T56" s="41"/>
      <c r="U56" s="41"/>
      <c r="V56" s="41"/>
      <c r="W56" s="41"/>
      <c r="X56" s="41"/>
      <c r="Y56" s="33">
        <f t="shared" si="3"/>
        <v>0</v>
      </c>
    </row>
    <row r="57" spans="4:25" x14ac:dyDescent="0.25">
      <c r="D57" s="69"/>
      <c r="E57" s="34"/>
      <c r="F57" s="34"/>
      <c r="H57" s="35"/>
      <c r="I57" s="36"/>
      <c r="J57" s="37"/>
      <c r="K57" s="38"/>
      <c r="L57" s="29"/>
      <c r="M57" s="29"/>
      <c r="N57" s="29"/>
      <c r="O57" s="39"/>
      <c r="P57" s="40">
        <f t="shared" si="0"/>
        <v>0</v>
      </c>
      <c r="Q57" s="40">
        <f t="shared" si="1"/>
        <v>0</v>
      </c>
      <c r="R57" s="40">
        <f t="shared" si="2"/>
        <v>0</v>
      </c>
      <c r="S57" s="41"/>
      <c r="T57" s="41"/>
      <c r="U57" s="41"/>
      <c r="V57" s="41"/>
      <c r="W57" s="41"/>
      <c r="X57" s="41"/>
      <c r="Y57" s="33">
        <f t="shared" si="3"/>
        <v>0</v>
      </c>
    </row>
    <row r="58" spans="4:25" x14ac:dyDescent="0.25">
      <c r="D58" s="69"/>
      <c r="E58" s="34"/>
      <c r="F58" s="34"/>
      <c r="H58" s="35"/>
      <c r="I58" s="36"/>
      <c r="J58" s="37"/>
      <c r="K58" s="38"/>
      <c r="L58" s="29"/>
      <c r="M58" s="29"/>
      <c r="N58" s="29"/>
      <c r="O58" s="39"/>
      <c r="P58" s="40">
        <f t="shared" si="0"/>
        <v>0</v>
      </c>
      <c r="Q58" s="40">
        <f t="shared" si="1"/>
        <v>0</v>
      </c>
      <c r="R58" s="40">
        <f t="shared" si="2"/>
        <v>0</v>
      </c>
      <c r="S58" s="41"/>
      <c r="T58" s="41"/>
      <c r="U58" s="41"/>
      <c r="V58" s="41"/>
      <c r="W58" s="41"/>
      <c r="X58" s="41"/>
      <c r="Y58" s="33">
        <f t="shared" si="3"/>
        <v>0</v>
      </c>
    </row>
    <row r="59" spans="4:25" x14ac:dyDescent="0.25">
      <c r="D59" s="69"/>
      <c r="E59" s="34"/>
      <c r="F59" s="34"/>
      <c r="H59" s="35"/>
      <c r="I59" s="36"/>
      <c r="J59" s="37"/>
      <c r="K59" s="38"/>
      <c r="L59" s="29"/>
      <c r="M59" s="29"/>
      <c r="N59" s="29"/>
      <c r="O59" s="39"/>
      <c r="P59" s="40">
        <f t="shared" si="0"/>
        <v>0</v>
      </c>
      <c r="Q59" s="40">
        <f t="shared" si="1"/>
        <v>0</v>
      </c>
      <c r="R59" s="40">
        <f t="shared" si="2"/>
        <v>0</v>
      </c>
      <c r="S59" s="41"/>
      <c r="T59" s="41"/>
      <c r="U59" s="41"/>
      <c r="V59" s="41"/>
      <c r="W59" s="41"/>
      <c r="X59" s="41"/>
      <c r="Y59" s="33">
        <f t="shared" si="3"/>
        <v>0</v>
      </c>
    </row>
    <row r="60" spans="4:25" x14ac:dyDescent="0.25">
      <c r="D60" s="69"/>
      <c r="E60" s="34"/>
      <c r="F60" s="34"/>
      <c r="H60" s="35"/>
      <c r="I60" s="36"/>
      <c r="J60" s="37"/>
      <c r="K60" s="38"/>
      <c r="L60" s="29"/>
      <c r="M60" s="29"/>
      <c r="N60" s="29"/>
      <c r="O60" s="39"/>
      <c r="P60" s="40">
        <f t="shared" si="0"/>
        <v>0</v>
      </c>
      <c r="Q60" s="40">
        <f t="shared" si="1"/>
        <v>0</v>
      </c>
      <c r="R60" s="40">
        <f t="shared" si="2"/>
        <v>0</v>
      </c>
      <c r="S60" s="41"/>
      <c r="T60" s="41"/>
      <c r="U60" s="41"/>
      <c r="V60" s="41"/>
      <c r="W60" s="41"/>
      <c r="X60" s="41"/>
      <c r="Y60" s="33">
        <f t="shared" si="3"/>
        <v>0</v>
      </c>
    </row>
    <row r="61" spans="4:25" x14ac:dyDescent="0.25">
      <c r="D61" s="69"/>
      <c r="E61" s="34"/>
      <c r="F61" s="34"/>
      <c r="H61" s="35"/>
      <c r="I61" s="36"/>
      <c r="J61" s="37"/>
      <c r="K61" s="38"/>
      <c r="L61" s="29"/>
      <c r="M61" s="29"/>
      <c r="N61" s="29"/>
      <c r="O61" s="39"/>
      <c r="P61" s="40">
        <f t="shared" si="0"/>
        <v>0</v>
      </c>
      <c r="Q61" s="40">
        <f t="shared" si="1"/>
        <v>0</v>
      </c>
      <c r="R61" s="40">
        <f t="shared" si="2"/>
        <v>0</v>
      </c>
      <c r="S61" s="41"/>
      <c r="T61" s="41"/>
      <c r="U61" s="41"/>
      <c r="V61" s="41"/>
      <c r="W61" s="41"/>
      <c r="X61" s="41"/>
      <c r="Y61" s="33">
        <f t="shared" si="3"/>
        <v>0</v>
      </c>
    </row>
    <row r="62" spans="4:25" x14ac:dyDescent="0.25">
      <c r="D62" s="69"/>
      <c r="E62" s="34"/>
      <c r="F62" s="34"/>
      <c r="H62" s="35"/>
      <c r="I62" s="36"/>
      <c r="J62" s="37"/>
      <c r="K62" s="38"/>
      <c r="L62" s="29"/>
      <c r="M62" s="29"/>
      <c r="N62" s="29"/>
      <c r="O62" s="39"/>
      <c r="P62" s="40">
        <f t="shared" si="0"/>
        <v>0</v>
      </c>
      <c r="Q62" s="40">
        <f t="shared" si="1"/>
        <v>0</v>
      </c>
      <c r="R62" s="40">
        <f t="shared" si="2"/>
        <v>0</v>
      </c>
      <c r="S62" s="41"/>
      <c r="T62" s="41"/>
      <c r="U62" s="41"/>
      <c r="V62" s="41"/>
      <c r="W62" s="41"/>
      <c r="X62" s="41"/>
      <c r="Y62" s="33">
        <f t="shared" si="3"/>
        <v>0</v>
      </c>
    </row>
    <row r="63" spans="4:25" x14ac:dyDescent="0.25">
      <c r="D63" s="69"/>
      <c r="E63" s="34"/>
      <c r="F63" s="34"/>
      <c r="H63" s="35"/>
      <c r="I63" s="36"/>
      <c r="J63" s="37"/>
      <c r="K63" s="38"/>
      <c r="L63" s="29"/>
      <c r="M63" s="29"/>
      <c r="N63" s="29"/>
      <c r="O63" s="39"/>
      <c r="P63" s="40">
        <f t="shared" si="0"/>
        <v>0</v>
      </c>
      <c r="Q63" s="40">
        <f t="shared" si="1"/>
        <v>0</v>
      </c>
      <c r="R63" s="40">
        <f t="shared" si="2"/>
        <v>0</v>
      </c>
      <c r="S63" s="41"/>
      <c r="T63" s="41"/>
      <c r="U63" s="41"/>
      <c r="V63" s="41"/>
      <c r="W63" s="41"/>
      <c r="X63" s="41"/>
      <c r="Y63" s="33">
        <f t="shared" si="3"/>
        <v>0</v>
      </c>
    </row>
    <row r="64" spans="4:25" x14ac:dyDescent="0.25">
      <c r="D64" s="69"/>
      <c r="E64" s="34"/>
      <c r="F64" s="34"/>
      <c r="H64" s="35"/>
      <c r="I64" s="36"/>
      <c r="J64" s="37"/>
      <c r="K64" s="38"/>
      <c r="L64" s="29"/>
      <c r="M64" s="29"/>
      <c r="N64" s="29"/>
      <c r="O64" s="39"/>
      <c r="P64" s="40">
        <f t="shared" si="0"/>
        <v>0</v>
      </c>
      <c r="Q64" s="40">
        <f t="shared" si="1"/>
        <v>0</v>
      </c>
      <c r="R64" s="40">
        <f t="shared" si="2"/>
        <v>0</v>
      </c>
      <c r="S64" s="41"/>
      <c r="T64" s="41"/>
      <c r="U64" s="41"/>
      <c r="V64" s="41"/>
      <c r="W64" s="41"/>
      <c r="X64" s="41"/>
      <c r="Y64" s="33">
        <f t="shared" si="3"/>
        <v>0</v>
      </c>
    </row>
    <row r="65" spans="4:25" x14ac:dyDescent="0.25">
      <c r="D65" s="69"/>
      <c r="E65" s="34"/>
      <c r="F65" s="34"/>
      <c r="H65" s="35"/>
      <c r="I65" s="36"/>
      <c r="J65" s="37"/>
      <c r="K65" s="38"/>
      <c r="L65" s="29"/>
      <c r="M65" s="29"/>
      <c r="N65" s="29"/>
      <c r="O65" s="39"/>
      <c r="P65" s="40">
        <f t="shared" si="0"/>
        <v>0</v>
      </c>
      <c r="Q65" s="40">
        <f t="shared" si="1"/>
        <v>0</v>
      </c>
      <c r="R65" s="40">
        <f t="shared" si="2"/>
        <v>0</v>
      </c>
      <c r="S65" s="41"/>
      <c r="T65" s="41"/>
      <c r="U65" s="41"/>
      <c r="V65" s="41"/>
      <c r="W65" s="41"/>
      <c r="X65" s="41"/>
      <c r="Y65" s="33">
        <f t="shared" si="3"/>
        <v>0</v>
      </c>
    </row>
    <row r="66" spans="4:25" x14ac:dyDescent="0.25">
      <c r="D66" s="69"/>
      <c r="E66" s="34"/>
      <c r="F66" s="34"/>
      <c r="H66" s="35"/>
      <c r="I66" s="36"/>
      <c r="J66" s="37"/>
      <c r="K66" s="38"/>
      <c r="L66" s="29"/>
      <c r="M66" s="29"/>
      <c r="N66" s="29"/>
      <c r="O66" s="39"/>
      <c r="P66" s="40">
        <f t="shared" si="0"/>
        <v>0</v>
      </c>
      <c r="Q66" s="40">
        <f t="shared" si="1"/>
        <v>0</v>
      </c>
      <c r="R66" s="40">
        <f t="shared" si="2"/>
        <v>0</v>
      </c>
      <c r="S66" s="41"/>
      <c r="T66" s="41"/>
      <c r="U66" s="41"/>
      <c r="V66" s="41"/>
      <c r="W66" s="41"/>
      <c r="X66" s="41"/>
      <c r="Y66" s="33">
        <f t="shared" si="3"/>
        <v>0</v>
      </c>
    </row>
    <row r="67" spans="4:25" x14ac:dyDescent="0.25">
      <c r="D67" s="69"/>
      <c r="E67" s="34"/>
      <c r="F67" s="34"/>
      <c r="H67" s="35"/>
      <c r="I67" s="36"/>
      <c r="J67" s="37"/>
      <c r="K67" s="38"/>
      <c r="L67" s="29"/>
      <c r="M67" s="29"/>
      <c r="N67" s="29"/>
      <c r="O67" s="39"/>
      <c r="P67" s="40">
        <f t="shared" ref="P67:P130" si="4">$L67*$O67</f>
        <v>0</v>
      </c>
      <c r="Q67" s="40">
        <f t="shared" si="1"/>
        <v>0</v>
      </c>
      <c r="R67" s="40">
        <f t="shared" si="2"/>
        <v>0</v>
      </c>
      <c r="S67" s="41"/>
      <c r="T67" s="41"/>
      <c r="U67" s="41"/>
      <c r="V67" s="41"/>
      <c r="W67" s="41"/>
      <c r="X67" s="41"/>
      <c r="Y67" s="33">
        <f t="shared" si="3"/>
        <v>0</v>
      </c>
    </row>
    <row r="68" spans="4:25" x14ac:dyDescent="0.25">
      <c r="D68" s="69"/>
      <c r="E68" s="34"/>
      <c r="F68" s="34"/>
      <c r="H68" s="35"/>
      <c r="I68" s="36"/>
      <c r="J68" s="37"/>
      <c r="K68" s="38"/>
      <c r="L68" s="29"/>
      <c r="M68" s="29"/>
      <c r="N68" s="29"/>
      <c r="O68" s="39"/>
      <c r="P68" s="40">
        <f t="shared" si="4"/>
        <v>0</v>
      </c>
      <c r="Q68" s="40">
        <f t="shared" ref="Q68:Q131" si="5">IF(E68="NE",(M68*O68*1.5),(M68*O68))</f>
        <v>0</v>
      </c>
      <c r="R68" s="40">
        <f t="shared" ref="R68:R131" si="6">P68+Q68</f>
        <v>0</v>
      </c>
      <c r="S68" s="41"/>
      <c r="T68" s="41"/>
      <c r="U68" s="41"/>
      <c r="V68" s="41"/>
      <c r="W68" s="41"/>
      <c r="X68" s="41"/>
      <c r="Y68" s="33">
        <f t="shared" ref="Y68:Y131" si="7">SUM(R68:X68)</f>
        <v>0</v>
      </c>
    </row>
    <row r="69" spans="4:25" x14ac:dyDescent="0.25">
      <c r="D69" s="69"/>
      <c r="E69" s="34"/>
      <c r="F69" s="34"/>
      <c r="H69" s="35"/>
      <c r="I69" s="36"/>
      <c r="J69" s="37"/>
      <c r="K69" s="38"/>
      <c r="L69" s="29"/>
      <c r="M69" s="29"/>
      <c r="N69" s="29"/>
      <c r="O69" s="39"/>
      <c r="P69" s="40">
        <f t="shared" si="4"/>
        <v>0</v>
      </c>
      <c r="Q69" s="40">
        <f t="shared" si="5"/>
        <v>0</v>
      </c>
      <c r="R69" s="40">
        <f t="shared" si="6"/>
        <v>0</v>
      </c>
      <c r="S69" s="41"/>
      <c r="T69" s="41"/>
      <c r="U69" s="41"/>
      <c r="V69" s="41"/>
      <c r="W69" s="41"/>
      <c r="X69" s="41"/>
      <c r="Y69" s="33">
        <f t="shared" si="7"/>
        <v>0</v>
      </c>
    </row>
    <row r="70" spans="4:25" x14ac:dyDescent="0.25">
      <c r="D70" s="69"/>
      <c r="E70" s="34"/>
      <c r="F70" s="34"/>
      <c r="H70" s="35"/>
      <c r="I70" s="36"/>
      <c r="J70" s="37"/>
      <c r="K70" s="38"/>
      <c r="L70" s="29"/>
      <c r="M70" s="29"/>
      <c r="N70" s="29"/>
      <c r="O70" s="39"/>
      <c r="P70" s="40">
        <f t="shared" si="4"/>
        <v>0</v>
      </c>
      <c r="Q70" s="40">
        <f t="shared" si="5"/>
        <v>0</v>
      </c>
      <c r="R70" s="40">
        <f t="shared" si="6"/>
        <v>0</v>
      </c>
      <c r="S70" s="41"/>
      <c r="T70" s="41"/>
      <c r="U70" s="41"/>
      <c r="V70" s="41"/>
      <c r="W70" s="41"/>
      <c r="X70" s="41"/>
      <c r="Y70" s="33">
        <f t="shared" si="7"/>
        <v>0</v>
      </c>
    </row>
    <row r="71" spans="4:25" x14ac:dyDescent="0.25">
      <c r="D71" s="69"/>
      <c r="E71" s="34"/>
      <c r="F71" s="34"/>
      <c r="H71" s="35"/>
      <c r="I71" s="36"/>
      <c r="J71" s="37"/>
      <c r="K71" s="38"/>
      <c r="L71" s="29"/>
      <c r="M71" s="29"/>
      <c r="N71" s="29"/>
      <c r="O71" s="39"/>
      <c r="P71" s="40">
        <f t="shared" si="4"/>
        <v>0</v>
      </c>
      <c r="Q71" s="40">
        <f t="shared" si="5"/>
        <v>0</v>
      </c>
      <c r="R71" s="40">
        <f t="shared" si="6"/>
        <v>0</v>
      </c>
      <c r="S71" s="41"/>
      <c r="T71" s="41"/>
      <c r="U71" s="41"/>
      <c r="V71" s="41"/>
      <c r="W71" s="41"/>
      <c r="X71" s="41"/>
      <c r="Y71" s="33">
        <f t="shared" si="7"/>
        <v>0</v>
      </c>
    </row>
    <row r="72" spans="4:25" x14ac:dyDescent="0.25">
      <c r="D72" s="69"/>
      <c r="E72" s="34"/>
      <c r="F72" s="34"/>
      <c r="H72" s="35"/>
      <c r="I72" s="36"/>
      <c r="J72" s="37"/>
      <c r="K72" s="38"/>
      <c r="L72" s="29"/>
      <c r="M72" s="29"/>
      <c r="N72" s="29"/>
      <c r="O72" s="39"/>
      <c r="P72" s="40">
        <f t="shared" si="4"/>
        <v>0</v>
      </c>
      <c r="Q72" s="40">
        <f t="shared" si="5"/>
        <v>0</v>
      </c>
      <c r="R72" s="40">
        <f t="shared" si="6"/>
        <v>0</v>
      </c>
      <c r="S72" s="41"/>
      <c r="T72" s="41"/>
      <c r="U72" s="41"/>
      <c r="V72" s="41"/>
      <c r="W72" s="41"/>
      <c r="X72" s="41"/>
      <c r="Y72" s="33">
        <f t="shared" si="7"/>
        <v>0</v>
      </c>
    </row>
    <row r="73" spans="4:25" x14ac:dyDescent="0.25">
      <c r="D73" s="69"/>
      <c r="E73" s="34"/>
      <c r="F73" s="34"/>
      <c r="H73" s="35"/>
      <c r="I73" s="36"/>
      <c r="J73" s="37"/>
      <c r="K73" s="38"/>
      <c r="L73" s="29"/>
      <c r="M73" s="29"/>
      <c r="N73" s="29"/>
      <c r="O73" s="39"/>
      <c r="P73" s="40">
        <f t="shared" si="4"/>
        <v>0</v>
      </c>
      <c r="Q73" s="40">
        <f t="shared" si="5"/>
        <v>0</v>
      </c>
      <c r="R73" s="40">
        <f t="shared" si="6"/>
        <v>0</v>
      </c>
      <c r="S73" s="41"/>
      <c r="T73" s="41"/>
      <c r="U73" s="41"/>
      <c r="V73" s="41"/>
      <c r="W73" s="41"/>
      <c r="X73" s="41"/>
      <c r="Y73" s="33">
        <f t="shared" si="7"/>
        <v>0</v>
      </c>
    </row>
    <row r="74" spans="4:25" x14ac:dyDescent="0.25">
      <c r="D74" s="69"/>
      <c r="E74" s="34"/>
      <c r="F74" s="34"/>
      <c r="H74" s="35"/>
      <c r="I74" s="36"/>
      <c r="J74" s="37"/>
      <c r="K74" s="38"/>
      <c r="L74" s="29"/>
      <c r="M74" s="29"/>
      <c r="N74" s="29"/>
      <c r="O74" s="39"/>
      <c r="P74" s="40">
        <f t="shared" si="4"/>
        <v>0</v>
      </c>
      <c r="Q74" s="40">
        <f t="shared" si="5"/>
        <v>0</v>
      </c>
      <c r="R74" s="40">
        <f t="shared" si="6"/>
        <v>0</v>
      </c>
      <c r="S74" s="41"/>
      <c r="T74" s="41"/>
      <c r="U74" s="41"/>
      <c r="V74" s="41"/>
      <c r="W74" s="41"/>
      <c r="X74" s="41"/>
      <c r="Y74" s="33">
        <f t="shared" si="7"/>
        <v>0</v>
      </c>
    </row>
    <row r="75" spans="4:25" x14ac:dyDescent="0.25">
      <c r="D75" s="69"/>
      <c r="E75" s="34"/>
      <c r="F75" s="34"/>
      <c r="H75" s="35"/>
      <c r="I75" s="36"/>
      <c r="J75" s="37"/>
      <c r="K75" s="38"/>
      <c r="L75" s="29"/>
      <c r="M75" s="29"/>
      <c r="N75" s="29"/>
      <c r="O75" s="39"/>
      <c r="P75" s="40">
        <f t="shared" si="4"/>
        <v>0</v>
      </c>
      <c r="Q75" s="40">
        <f t="shared" si="5"/>
        <v>0</v>
      </c>
      <c r="R75" s="40">
        <f t="shared" si="6"/>
        <v>0</v>
      </c>
      <c r="S75" s="41"/>
      <c r="T75" s="41"/>
      <c r="U75" s="41"/>
      <c r="V75" s="41"/>
      <c r="W75" s="41"/>
      <c r="X75" s="41"/>
      <c r="Y75" s="33">
        <f t="shared" si="7"/>
        <v>0</v>
      </c>
    </row>
    <row r="76" spans="4:25" x14ac:dyDescent="0.25">
      <c r="D76" s="69"/>
      <c r="E76" s="34"/>
      <c r="F76" s="34"/>
      <c r="H76" s="35"/>
      <c r="I76" s="36"/>
      <c r="J76" s="37"/>
      <c r="K76" s="38"/>
      <c r="L76" s="29"/>
      <c r="M76" s="29"/>
      <c r="N76" s="29"/>
      <c r="O76" s="39"/>
      <c r="P76" s="40">
        <f t="shared" si="4"/>
        <v>0</v>
      </c>
      <c r="Q76" s="40">
        <f t="shared" si="5"/>
        <v>0</v>
      </c>
      <c r="R76" s="40">
        <f t="shared" si="6"/>
        <v>0</v>
      </c>
      <c r="S76" s="41"/>
      <c r="T76" s="41"/>
      <c r="U76" s="41"/>
      <c r="V76" s="41"/>
      <c r="W76" s="41"/>
      <c r="X76" s="41"/>
      <c r="Y76" s="33">
        <f t="shared" si="7"/>
        <v>0</v>
      </c>
    </row>
    <row r="77" spans="4:25" x14ac:dyDescent="0.25">
      <c r="D77" s="69"/>
      <c r="E77" s="34"/>
      <c r="F77" s="34"/>
      <c r="H77" s="35"/>
      <c r="I77" s="36"/>
      <c r="J77" s="37"/>
      <c r="K77" s="38"/>
      <c r="L77" s="29"/>
      <c r="M77" s="29"/>
      <c r="N77" s="29"/>
      <c r="O77" s="39"/>
      <c r="P77" s="40">
        <f t="shared" si="4"/>
        <v>0</v>
      </c>
      <c r="Q77" s="40">
        <f t="shared" si="5"/>
        <v>0</v>
      </c>
      <c r="R77" s="40">
        <f t="shared" si="6"/>
        <v>0</v>
      </c>
      <c r="S77" s="41"/>
      <c r="T77" s="41"/>
      <c r="U77" s="41"/>
      <c r="V77" s="41"/>
      <c r="W77" s="41"/>
      <c r="X77" s="41"/>
      <c r="Y77" s="33">
        <f t="shared" si="7"/>
        <v>0</v>
      </c>
    </row>
    <row r="78" spans="4:25" x14ac:dyDescent="0.25">
      <c r="D78" s="69"/>
      <c r="E78" s="34"/>
      <c r="F78" s="34"/>
      <c r="H78" s="35"/>
      <c r="I78" s="36"/>
      <c r="J78" s="37"/>
      <c r="K78" s="38"/>
      <c r="L78" s="29"/>
      <c r="M78" s="29"/>
      <c r="N78" s="29"/>
      <c r="O78" s="39"/>
      <c r="P78" s="40">
        <f t="shared" si="4"/>
        <v>0</v>
      </c>
      <c r="Q78" s="40">
        <f t="shared" si="5"/>
        <v>0</v>
      </c>
      <c r="R78" s="40">
        <f t="shared" si="6"/>
        <v>0</v>
      </c>
      <c r="S78" s="41"/>
      <c r="T78" s="41"/>
      <c r="U78" s="41"/>
      <c r="V78" s="41"/>
      <c r="W78" s="41"/>
      <c r="X78" s="41"/>
      <c r="Y78" s="33">
        <f t="shared" si="7"/>
        <v>0</v>
      </c>
    </row>
    <row r="79" spans="4:25" x14ac:dyDescent="0.25">
      <c r="D79" s="69"/>
      <c r="E79" s="34"/>
      <c r="F79" s="34"/>
      <c r="H79" s="35"/>
      <c r="I79" s="36"/>
      <c r="J79" s="37"/>
      <c r="K79" s="38"/>
      <c r="L79" s="29"/>
      <c r="M79" s="29"/>
      <c r="N79" s="29"/>
      <c r="O79" s="39"/>
      <c r="P79" s="40">
        <f t="shared" si="4"/>
        <v>0</v>
      </c>
      <c r="Q79" s="40">
        <f t="shared" si="5"/>
        <v>0</v>
      </c>
      <c r="R79" s="40">
        <f t="shared" si="6"/>
        <v>0</v>
      </c>
      <c r="S79" s="41"/>
      <c r="T79" s="41"/>
      <c r="U79" s="41"/>
      <c r="V79" s="41"/>
      <c r="W79" s="41"/>
      <c r="X79" s="41"/>
      <c r="Y79" s="33">
        <f t="shared" si="7"/>
        <v>0</v>
      </c>
    </row>
    <row r="80" spans="4:25" x14ac:dyDescent="0.25">
      <c r="D80" s="69"/>
      <c r="E80" s="34"/>
      <c r="F80" s="34"/>
      <c r="H80" s="35"/>
      <c r="I80" s="36"/>
      <c r="J80" s="37"/>
      <c r="K80" s="38"/>
      <c r="L80" s="29"/>
      <c r="M80" s="29"/>
      <c r="N80" s="29"/>
      <c r="O80" s="39"/>
      <c r="P80" s="40">
        <f t="shared" si="4"/>
        <v>0</v>
      </c>
      <c r="Q80" s="40">
        <f t="shared" si="5"/>
        <v>0</v>
      </c>
      <c r="R80" s="40">
        <f t="shared" si="6"/>
        <v>0</v>
      </c>
      <c r="S80" s="41"/>
      <c r="T80" s="41"/>
      <c r="U80" s="41"/>
      <c r="V80" s="41"/>
      <c r="W80" s="41"/>
      <c r="X80" s="41"/>
      <c r="Y80" s="33">
        <f t="shared" si="7"/>
        <v>0</v>
      </c>
    </row>
    <row r="81" spans="4:25" x14ac:dyDescent="0.25">
      <c r="D81" s="69"/>
      <c r="E81" s="34"/>
      <c r="F81" s="34"/>
      <c r="H81" s="35"/>
      <c r="I81" s="36"/>
      <c r="J81" s="37"/>
      <c r="K81" s="38"/>
      <c r="L81" s="29"/>
      <c r="M81" s="29"/>
      <c r="N81" s="29"/>
      <c r="O81" s="39"/>
      <c r="P81" s="40">
        <f t="shared" si="4"/>
        <v>0</v>
      </c>
      <c r="Q81" s="40">
        <f t="shared" si="5"/>
        <v>0</v>
      </c>
      <c r="R81" s="40">
        <f t="shared" si="6"/>
        <v>0</v>
      </c>
      <c r="S81" s="41"/>
      <c r="T81" s="41"/>
      <c r="U81" s="41"/>
      <c r="V81" s="41"/>
      <c r="W81" s="41"/>
      <c r="X81" s="41"/>
      <c r="Y81" s="33">
        <f t="shared" si="7"/>
        <v>0</v>
      </c>
    </row>
    <row r="82" spans="4:25" x14ac:dyDescent="0.25">
      <c r="D82" s="69"/>
      <c r="E82" s="34"/>
      <c r="F82" s="34"/>
      <c r="G82" s="38"/>
      <c r="H82" s="35"/>
      <c r="I82" s="36"/>
      <c r="J82" s="37"/>
      <c r="K82" s="38"/>
      <c r="L82" s="29"/>
      <c r="M82" s="29"/>
      <c r="N82" s="29"/>
      <c r="O82" s="39"/>
      <c r="P82" s="40">
        <f t="shared" si="4"/>
        <v>0</v>
      </c>
      <c r="Q82" s="40">
        <f t="shared" si="5"/>
        <v>0</v>
      </c>
      <c r="R82" s="40">
        <f t="shared" si="6"/>
        <v>0</v>
      </c>
      <c r="S82" s="41"/>
      <c r="T82" s="41"/>
      <c r="U82" s="41"/>
      <c r="V82" s="41"/>
      <c r="W82" s="41"/>
      <c r="X82" s="41"/>
      <c r="Y82" s="33">
        <f t="shared" si="7"/>
        <v>0</v>
      </c>
    </row>
    <row r="83" spans="4:25" x14ac:dyDescent="0.25">
      <c r="D83" s="69"/>
      <c r="E83" s="34"/>
      <c r="F83" s="34"/>
      <c r="G83" s="38"/>
      <c r="H83" s="35"/>
      <c r="I83" s="36"/>
      <c r="J83" s="37"/>
      <c r="K83" s="38"/>
      <c r="L83" s="29"/>
      <c r="M83" s="29"/>
      <c r="N83" s="29"/>
      <c r="O83" s="39"/>
      <c r="P83" s="40">
        <f t="shared" si="4"/>
        <v>0</v>
      </c>
      <c r="Q83" s="40">
        <f t="shared" si="5"/>
        <v>0</v>
      </c>
      <c r="R83" s="40">
        <f t="shared" si="6"/>
        <v>0</v>
      </c>
      <c r="S83" s="41"/>
      <c r="T83" s="41"/>
      <c r="U83" s="41"/>
      <c r="V83" s="41"/>
      <c r="W83" s="41"/>
      <c r="X83" s="41"/>
      <c r="Y83" s="33">
        <f t="shared" si="7"/>
        <v>0</v>
      </c>
    </row>
    <row r="84" spans="4:25" x14ac:dyDescent="0.25">
      <c r="D84" s="69"/>
      <c r="E84" s="34"/>
      <c r="F84" s="34"/>
      <c r="H84" s="35"/>
      <c r="I84" s="36"/>
      <c r="J84" s="37"/>
      <c r="K84" s="38"/>
      <c r="L84" s="29"/>
      <c r="M84" s="29"/>
      <c r="N84" s="29"/>
      <c r="O84" s="39"/>
      <c r="P84" s="40">
        <f t="shared" si="4"/>
        <v>0</v>
      </c>
      <c r="Q84" s="40">
        <f t="shared" si="5"/>
        <v>0</v>
      </c>
      <c r="R84" s="40">
        <f t="shared" si="6"/>
        <v>0</v>
      </c>
      <c r="S84" s="41"/>
      <c r="T84" s="41"/>
      <c r="U84" s="41"/>
      <c r="V84" s="41"/>
      <c r="W84" s="41"/>
      <c r="X84" s="41"/>
      <c r="Y84" s="33">
        <f t="shared" si="7"/>
        <v>0</v>
      </c>
    </row>
    <row r="85" spans="4:25" x14ac:dyDescent="0.25">
      <c r="D85" s="69"/>
      <c r="E85" s="34"/>
      <c r="F85" s="34"/>
      <c r="H85" s="35"/>
      <c r="I85" s="36"/>
      <c r="J85" s="37"/>
      <c r="K85" s="38"/>
      <c r="L85" s="29"/>
      <c r="M85" s="29"/>
      <c r="N85" s="29"/>
      <c r="O85" s="39"/>
      <c r="P85" s="40">
        <f t="shared" si="4"/>
        <v>0</v>
      </c>
      <c r="Q85" s="40">
        <f t="shared" si="5"/>
        <v>0</v>
      </c>
      <c r="R85" s="40">
        <f t="shared" si="6"/>
        <v>0</v>
      </c>
      <c r="S85" s="41"/>
      <c r="T85" s="41"/>
      <c r="U85" s="41"/>
      <c r="V85" s="41"/>
      <c r="W85" s="41"/>
      <c r="X85" s="41"/>
      <c r="Y85" s="33">
        <f t="shared" si="7"/>
        <v>0</v>
      </c>
    </row>
    <row r="86" spans="4:25" x14ac:dyDescent="0.25">
      <c r="D86" s="69"/>
      <c r="E86" s="34"/>
      <c r="F86" s="34"/>
      <c r="H86" s="35"/>
      <c r="I86" s="36"/>
      <c r="J86" s="37"/>
      <c r="K86" s="38"/>
      <c r="L86" s="29"/>
      <c r="M86" s="29"/>
      <c r="N86" s="29"/>
      <c r="O86" s="39"/>
      <c r="P86" s="40">
        <f t="shared" si="4"/>
        <v>0</v>
      </c>
      <c r="Q86" s="40">
        <f t="shared" si="5"/>
        <v>0</v>
      </c>
      <c r="R86" s="40">
        <f t="shared" si="6"/>
        <v>0</v>
      </c>
      <c r="S86" s="41"/>
      <c r="T86" s="41"/>
      <c r="U86" s="41"/>
      <c r="V86" s="41"/>
      <c r="W86" s="41"/>
      <c r="X86" s="41"/>
      <c r="Y86" s="33">
        <f t="shared" si="7"/>
        <v>0</v>
      </c>
    </row>
    <row r="87" spans="4:25" x14ac:dyDescent="0.25">
      <c r="D87" s="69"/>
      <c r="E87" s="34"/>
      <c r="F87" s="34"/>
      <c r="H87" s="35"/>
      <c r="I87" s="36"/>
      <c r="J87" s="37"/>
      <c r="K87" s="38"/>
      <c r="L87" s="29"/>
      <c r="M87" s="29"/>
      <c r="N87" s="29"/>
      <c r="O87" s="39"/>
      <c r="P87" s="40">
        <f t="shared" si="4"/>
        <v>0</v>
      </c>
      <c r="Q87" s="40">
        <f t="shared" si="5"/>
        <v>0</v>
      </c>
      <c r="R87" s="40">
        <f t="shared" si="6"/>
        <v>0</v>
      </c>
      <c r="S87" s="41"/>
      <c r="T87" s="41"/>
      <c r="U87" s="41"/>
      <c r="V87" s="41"/>
      <c r="W87" s="41"/>
      <c r="X87" s="41"/>
      <c r="Y87" s="33">
        <f t="shared" si="7"/>
        <v>0</v>
      </c>
    </row>
    <row r="88" spans="4:25" x14ac:dyDescent="0.25">
      <c r="D88" s="69"/>
      <c r="E88" s="34"/>
      <c r="F88" s="34"/>
      <c r="H88" s="35"/>
      <c r="I88" s="36"/>
      <c r="J88" s="37"/>
      <c r="K88" s="38"/>
      <c r="L88" s="29"/>
      <c r="M88" s="29"/>
      <c r="N88" s="29"/>
      <c r="O88" s="39"/>
      <c r="P88" s="40">
        <f t="shared" si="4"/>
        <v>0</v>
      </c>
      <c r="Q88" s="40">
        <f t="shared" si="5"/>
        <v>0</v>
      </c>
      <c r="R88" s="40">
        <f t="shared" si="6"/>
        <v>0</v>
      </c>
      <c r="S88" s="41"/>
      <c r="T88" s="41"/>
      <c r="U88" s="41"/>
      <c r="V88" s="41"/>
      <c r="W88" s="41"/>
      <c r="X88" s="41"/>
      <c r="Y88" s="33">
        <f t="shared" si="7"/>
        <v>0</v>
      </c>
    </row>
    <row r="89" spans="4:25" x14ac:dyDescent="0.25">
      <c r="D89" s="69"/>
      <c r="E89" s="34"/>
      <c r="F89" s="34"/>
      <c r="H89" s="35"/>
      <c r="I89" s="36"/>
      <c r="J89" s="37"/>
      <c r="K89" s="38"/>
      <c r="L89" s="29"/>
      <c r="M89" s="29"/>
      <c r="N89" s="29"/>
      <c r="O89" s="39"/>
      <c r="P89" s="40">
        <f t="shared" si="4"/>
        <v>0</v>
      </c>
      <c r="Q89" s="40">
        <f t="shared" si="5"/>
        <v>0</v>
      </c>
      <c r="R89" s="40">
        <f t="shared" si="6"/>
        <v>0</v>
      </c>
      <c r="S89" s="41"/>
      <c r="T89" s="41"/>
      <c r="U89" s="41"/>
      <c r="V89" s="41"/>
      <c r="W89" s="41"/>
      <c r="X89" s="41"/>
      <c r="Y89" s="33">
        <f t="shared" si="7"/>
        <v>0</v>
      </c>
    </row>
    <row r="90" spans="4:25" x14ac:dyDescent="0.25">
      <c r="D90" s="69"/>
      <c r="E90" s="34"/>
      <c r="F90" s="34"/>
      <c r="H90" s="35"/>
      <c r="I90" s="36"/>
      <c r="J90" s="37"/>
      <c r="K90" s="38"/>
      <c r="L90" s="29"/>
      <c r="M90" s="29"/>
      <c r="N90" s="29"/>
      <c r="O90" s="39"/>
      <c r="P90" s="40">
        <f t="shared" si="4"/>
        <v>0</v>
      </c>
      <c r="Q90" s="40">
        <f t="shared" si="5"/>
        <v>0</v>
      </c>
      <c r="R90" s="40">
        <f t="shared" si="6"/>
        <v>0</v>
      </c>
      <c r="S90" s="41"/>
      <c r="T90" s="41"/>
      <c r="U90" s="41"/>
      <c r="V90" s="41"/>
      <c r="W90" s="41"/>
      <c r="X90" s="41"/>
      <c r="Y90" s="33">
        <f t="shared" si="7"/>
        <v>0</v>
      </c>
    </row>
    <row r="91" spans="4:25" x14ac:dyDescent="0.25">
      <c r="D91" s="69"/>
      <c r="E91" s="34"/>
      <c r="F91" s="34"/>
      <c r="H91" s="35"/>
      <c r="I91" s="36"/>
      <c r="J91" s="37"/>
      <c r="K91" s="38"/>
      <c r="L91" s="29"/>
      <c r="M91" s="29"/>
      <c r="N91" s="29"/>
      <c r="O91" s="39"/>
      <c r="P91" s="40">
        <f t="shared" si="4"/>
        <v>0</v>
      </c>
      <c r="Q91" s="40">
        <f t="shared" si="5"/>
        <v>0</v>
      </c>
      <c r="R91" s="40">
        <f t="shared" si="6"/>
        <v>0</v>
      </c>
      <c r="S91" s="41"/>
      <c r="T91" s="41"/>
      <c r="U91" s="41"/>
      <c r="V91" s="41"/>
      <c r="W91" s="41"/>
      <c r="X91" s="41"/>
      <c r="Y91" s="33">
        <f t="shared" si="7"/>
        <v>0</v>
      </c>
    </row>
    <row r="92" spans="4:25" x14ac:dyDescent="0.25">
      <c r="D92" s="69"/>
      <c r="E92" s="34"/>
      <c r="F92" s="34"/>
      <c r="H92" s="35"/>
      <c r="I92" s="36"/>
      <c r="J92" s="37"/>
      <c r="K92" s="38"/>
      <c r="L92" s="29"/>
      <c r="M92" s="29"/>
      <c r="N92" s="29"/>
      <c r="O92" s="39"/>
      <c r="P92" s="40">
        <f t="shared" si="4"/>
        <v>0</v>
      </c>
      <c r="Q92" s="40">
        <f t="shared" si="5"/>
        <v>0</v>
      </c>
      <c r="R92" s="40">
        <f t="shared" si="6"/>
        <v>0</v>
      </c>
      <c r="S92" s="41"/>
      <c r="T92" s="41"/>
      <c r="U92" s="41"/>
      <c r="V92" s="41"/>
      <c r="W92" s="41"/>
      <c r="X92" s="41"/>
      <c r="Y92" s="33">
        <f t="shared" si="7"/>
        <v>0</v>
      </c>
    </row>
    <row r="93" spans="4:25" x14ac:dyDescent="0.25">
      <c r="D93" s="69"/>
      <c r="E93" s="34"/>
      <c r="F93" s="34"/>
      <c r="H93" s="35"/>
      <c r="I93" s="36"/>
      <c r="J93" s="37"/>
      <c r="K93" s="38"/>
      <c r="L93" s="29"/>
      <c r="M93" s="29"/>
      <c r="N93" s="29"/>
      <c r="O93" s="39"/>
      <c r="P93" s="40">
        <f t="shared" si="4"/>
        <v>0</v>
      </c>
      <c r="Q93" s="40">
        <f t="shared" si="5"/>
        <v>0</v>
      </c>
      <c r="R93" s="40">
        <f t="shared" si="6"/>
        <v>0</v>
      </c>
      <c r="S93" s="41"/>
      <c r="T93" s="41"/>
      <c r="U93" s="41"/>
      <c r="V93" s="41"/>
      <c r="W93" s="41"/>
      <c r="X93" s="41"/>
      <c r="Y93" s="33">
        <f t="shared" si="7"/>
        <v>0</v>
      </c>
    </row>
    <row r="94" spans="4:25" x14ac:dyDescent="0.25">
      <c r="D94" s="69"/>
      <c r="E94" s="34"/>
      <c r="F94" s="34"/>
      <c r="H94" s="35"/>
      <c r="I94" s="36"/>
      <c r="J94" s="37"/>
      <c r="K94" s="38"/>
      <c r="L94" s="29"/>
      <c r="M94" s="29"/>
      <c r="N94" s="29"/>
      <c r="O94" s="39"/>
      <c r="P94" s="40">
        <f t="shared" si="4"/>
        <v>0</v>
      </c>
      <c r="Q94" s="40">
        <f t="shared" si="5"/>
        <v>0</v>
      </c>
      <c r="R94" s="40">
        <f t="shared" si="6"/>
        <v>0</v>
      </c>
      <c r="S94" s="41"/>
      <c r="T94" s="41"/>
      <c r="U94" s="41"/>
      <c r="V94" s="41"/>
      <c r="W94" s="41"/>
      <c r="X94" s="41"/>
      <c r="Y94" s="33">
        <f t="shared" si="7"/>
        <v>0</v>
      </c>
    </row>
    <row r="95" spans="4:25" x14ac:dyDescent="0.25">
      <c r="D95" s="69"/>
      <c r="E95" s="34"/>
      <c r="F95" s="34"/>
      <c r="H95" s="35"/>
      <c r="I95" s="36"/>
      <c r="J95" s="37"/>
      <c r="K95" s="38"/>
      <c r="L95" s="29"/>
      <c r="M95" s="29"/>
      <c r="N95" s="29"/>
      <c r="O95" s="39"/>
      <c r="P95" s="40">
        <f t="shared" si="4"/>
        <v>0</v>
      </c>
      <c r="Q95" s="40">
        <f t="shared" si="5"/>
        <v>0</v>
      </c>
      <c r="R95" s="40">
        <f t="shared" si="6"/>
        <v>0</v>
      </c>
      <c r="S95" s="41"/>
      <c r="T95" s="41"/>
      <c r="U95" s="41"/>
      <c r="V95" s="41"/>
      <c r="W95" s="41"/>
      <c r="X95" s="41"/>
      <c r="Y95" s="33">
        <f t="shared" si="7"/>
        <v>0</v>
      </c>
    </row>
    <row r="96" spans="4:25" x14ac:dyDescent="0.25">
      <c r="D96" s="69"/>
      <c r="E96" s="34"/>
      <c r="F96" s="34"/>
      <c r="H96" s="35"/>
      <c r="I96" s="36"/>
      <c r="J96" s="37"/>
      <c r="K96" s="38"/>
      <c r="L96" s="29"/>
      <c r="M96" s="29"/>
      <c r="N96" s="29"/>
      <c r="O96" s="39"/>
      <c r="P96" s="40">
        <f t="shared" si="4"/>
        <v>0</v>
      </c>
      <c r="Q96" s="40">
        <f t="shared" si="5"/>
        <v>0</v>
      </c>
      <c r="R96" s="40">
        <f t="shared" si="6"/>
        <v>0</v>
      </c>
      <c r="S96" s="41"/>
      <c r="T96" s="41"/>
      <c r="U96" s="41"/>
      <c r="V96" s="41"/>
      <c r="W96" s="41"/>
      <c r="X96" s="41"/>
      <c r="Y96" s="33">
        <f t="shared" si="7"/>
        <v>0</v>
      </c>
    </row>
    <row r="97" spans="4:25" x14ac:dyDescent="0.25">
      <c r="D97" s="69"/>
      <c r="E97" s="34"/>
      <c r="F97" s="34"/>
      <c r="H97" s="35"/>
      <c r="I97" s="36"/>
      <c r="J97" s="37"/>
      <c r="K97" s="38"/>
      <c r="L97" s="29"/>
      <c r="M97" s="29"/>
      <c r="N97" s="29"/>
      <c r="O97" s="39"/>
      <c r="P97" s="40">
        <f t="shared" si="4"/>
        <v>0</v>
      </c>
      <c r="Q97" s="40">
        <f t="shared" si="5"/>
        <v>0</v>
      </c>
      <c r="R97" s="40">
        <f t="shared" si="6"/>
        <v>0</v>
      </c>
      <c r="S97" s="41"/>
      <c r="T97" s="41"/>
      <c r="U97" s="41"/>
      <c r="V97" s="41"/>
      <c r="W97" s="41"/>
      <c r="X97" s="41"/>
      <c r="Y97" s="33">
        <f t="shared" si="7"/>
        <v>0</v>
      </c>
    </row>
    <row r="98" spans="4:25" x14ac:dyDescent="0.25">
      <c r="D98" s="69"/>
      <c r="E98" s="34"/>
      <c r="F98" s="34"/>
      <c r="H98" s="35"/>
      <c r="I98" s="36"/>
      <c r="J98" s="37"/>
      <c r="K98" s="38"/>
      <c r="L98" s="29"/>
      <c r="M98" s="29"/>
      <c r="N98" s="29"/>
      <c r="O98" s="39"/>
      <c r="P98" s="40">
        <f t="shared" si="4"/>
        <v>0</v>
      </c>
      <c r="Q98" s="40">
        <f t="shared" si="5"/>
        <v>0</v>
      </c>
      <c r="R98" s="40">
        <f t="shared" si="6"/>
        <v>0</v>
      </c>
      <c r="S98" s="41"/>
      <c r="T98" s="41"/>
      <c r="U98" s="41"/>
      <c r="V98" s="41"/>
      <c r="W98" s="41"/>
      <c r="X98" s="41"/>
      <c r="Y98" s="33">
        <f t="shared" si="7"/>
        <v>0</v>
      </c>
    </row>
    <row r="99" spans="4:25" x14ac:dyDescent="0.25">
      <c r="D99" s="69"/>
      <c r="E99" s="34"/>
      <c r="F99" s="34"/>
      <c r="H99" s="35"/>
      <c r="I99" s="36"/>
      <c r="J99" s="37"/>
      <c r="K99" s="38"/>
      <c r="L99" s="29"/>
      <c r="M99" s="29"/>
      <c r="N99" s="29"/>
      <c r="O99" s="39"/>
      <c r="P99" s="40">
        <f t="shared" si="4"/>
        <v>0</v>
      </c>
      <c r="Q99" s="40">
        <f t="shared" si="5"/>
        <v>0</v>
      </c>
      <c r="R99" s="40">
        <f t="shared" si="6"/>
        <v>0</v>
      </c>
      <c r="S99" s="41"/>
      <c r="T99" s="41"/>
      <c r="U99" s="41"/>
      <c r="V99" s="41"/>
      <c r="W99" s="41"/>
      <c r="X99" s="41"/>
      <c r="Y99" s="33">
        <f t="shared" si="7"/>
        <v>0</v>
      </c>
    </row>
    <row r="100" spans="4:25" x14ac:dyDescent="0.25">
      <c r="D100" s="69"/>
      <c r="E100" s="34"/>
      <c r="F100" s="34"/>
      <c r="H100" s="35"/>
      <c r="I100" s="36"/>
      <c r="J100" s="37"/>
      <c r="K100" s="38"/>
      <c r="L100" s="29"/>
      <c r="M100" s="29"/>
      <c r="N100" s="29"/>
      <c r="O100" s="39"/>
      <c r="P100" s="40">
        <f t="shared" si="4"/>
        <v>0</v>
      </c>
      <c r="Q100" s="40">
        <f t="shared" si="5"/>
        <v>0</v>
      </c>
      <c r="R100" s="40">
        <f t="shared" si="6"/>
        <v>0</v>
      </c>
      <c r="S100" s="41"/>
      <c r="T100" s="41"/>
      <c r="U100" s="41"/>
      <c r="V100" s="41"/>
      <c r="W100" s="41"/>
      <c r="X100" s="41"/>
      <c r="Y100" s="33">
        <f t="shared" si="7"/>
        <v>0</v>
      </c>
    </row>
    <row r="101" spans="4:25" x14ac:dyDescent="0.25">
      <c r="D101" s="69"/>
      <c r="E101" s="34"/>
      <c r="F101" s="34"/>
      <c r="H101" s="35"/>
      <c r="I101" s="36"/>
      <c r="J101" s="37"/>
      <c r="K101" s="38"/>
      <c r="L101" s="29"/>
      <c r="M101" s="29"/>
      <c r="N101" s="29"/>
      <c r="O101" s="39"/>
      <c r="P101" s="40">
        <f t="shared" si="4"/>
        <v>0</v>
      </c>
      <c r="Q101" s="40">
        <f t="shared" si="5"/>
        <v>0</v>
      </c>
      <c r="R101" s="40">
        <f t="shared" si="6"/>
        <v>0</v>
      </c>
      <c r="S101" s="41"/>
      <c r="T101" s="41"/>
      <c r="U101" s="41"/>
      <c r="V101" s="41"/>
      <c r="W101" s="41"/>
      <c r="X101" s="41"/>
      <c r="Y101" s="33">
        <f t="shared" si="7"/>
        <v>0</v>
      </c>
    </row>
    <row r="102" spans="4:25" x14ac:dyDescent="0.25">
      <c r="D102" s="69"/>
      <c r="E102" s="34"/>
      <c r="F102" s="34"/>
      <c r="H102" s="35"/>
      <c r="I102" s="36"/>
      <c r="J102" s="37"/>
      <c r="K102" s="38"/>
      <c r="L102" s="29"/>
      <c r="M102" s="29"/>
      <c r="N102" s="29"/>
      <c r="O102" s="39"/>
      <c r="P102" s="40">
        <f t="shared" si="4"/>
        <v>0</v>
      </c>
      <c r="Q102" s="40">
        <f t="shared" si="5"/>
        <v>0</v>
      </c>
      <c r="R102" s="40">
        <f t="shared" si="6"/>
        <v>0</v>
      </c>
      <c r="S102" s="41"/>
      <c r="T102" s="41"/>
      <c r="U102" s="41"/>
      <c r="V102" s="41"/>
      <c r="W102" s="41"/>
      <c r="X102" s="41"/>
      <c r="Y102" s="33">
        <f t="shared" si="7"/>
        <v>0</v>
      </c>
    </row>
    <row r="103" spans="4:25" x14ac:dyDescent="0.25">
      <c r="D103" s="69"/>
      <c r="E103" s="34"/>
      <c r="F103" s="34"/>
      <c r="H103" s="35"/>
      <c r="I103" s="36"/>
      <c r="J103" s="37"/>
      <c r="K103" s="38"/>
      <c r="L103" s="29"/>
      <c r="M103" s="29"/>
      <c r="N103" s="29"/>
      <c r="O103" s="39"/>
      <c r="P103" s="40">
        <f t="shared" si="4"/>
        <v>0</v>
      </c>
      <c r="Q103" s="40">
        <f t="shared" si="5"/>
        <v>0</v>
      </c>
      <c r="R103" s="40">
        <f t="shared" si="6"/>
        <v>0</v>
      </c>
      <c r="S103" s="41"/>
      <c r="T103" s="41"/>
      <c r="U103" s="41"/>
      <c r="V103" s="41"/>
      <c r="W103" s="41"/>
      <c r="X103" s="41"/>
      <c r="Y103" s="33">
        <f t="shared" si="7"/>
        <v>0</v>
      </c>
    </row>
    <row r="104" spans="4:25" x14ac:dyDescent="0.25">
      <c r="D104" s="69"/>
      <c r="E104" s="34"/>
      <c r="F104" s="34"/>
      <c r="H104" s="35"/>
      <c r="I104" s="36"/>
      <c r="J104" s="37"/>
      <c r="K104" s="38"/>
      <c r="L104" s="29"/>
      <c r="M104" s="29"/>
      <c r="N104" s="29"/>
      <c r="O104" s="39"/>
      <c r="P104" s="40">
        <f t="shared" si="4"/>
        <v>0</v>
      </c>
      <c r="Q104" s="40">
        <f t="shared" si="5"/>
        <v>0</v>
      </c>
      <c r="R104" s="40">
        <f t="shared" si="6"/>
        <v>0</v>
      </c>
      <c r="S104" s="41"/>
      <c r="T104" s="41"/>
      <c r="U104" s="41"/>
      <c r="V104" s="41"/>
      <c r="W104" s="41"/>
      <c r="X104" s="41"/>
      <c r="Y104" s="33">
        <f t="shared" si="7"/>
        <v>0</v>
      </c>
    </row>
    <row r="105" spans="4:25" x14ac:dyDescent="0.25">
      <c r="D105" s="69"/>
      <c r="E105" s="34"/>
      <c r="F105" s="34"/>
      <c r="H105" s="35"/>
      <c r="I105" s="36"/>
      <c r="J105" s="37"/>
      <c r="K105" s="38"/>
      <c r="L105" s="29"/>
      <c r="M105" s="29"/>
      <c r="N105" s="29"/>
      <c r="O105" s="39"/>
      <c r="P105" s="40">
        <f t="shared" si="4"/>
        <v>0</v>
      </c>
      <c r="Q105" s="40">
        <f t="shared" si="5"/>
        <v>0</v>
      </c>
      <c r="R105" s="40">
        <f t="shared" si="6"/>
        <v>0</v>
      </c>
      <c r="S105" s="41"/>
      <c r="T105" s="41"/>
      <c r="U105" s="41"/>
      <c r="V105" s="41"/>
      <c r="W105" s="41"/>
      <c r="X105" s="41"/>
      <c r="Y105" s="33">
        <f t="shared" si="7"/>
        <v>0</v>
      </c>
    </row>
    <row r="106" spans="4:25" x14ac:dyDescent="0.25">
      <c r="D106" s="69"/>
      <c r="E106" s="34"/>
      <c r="F106" s="34"/>
      <c r="H106" s="35"/>
      <c r="I106" s="36"/>
      <c r="J106" s="37"/>
      <c r="K106" s="38"/>
      <c r="L106" s="29"/>
      <c r="M106" s="29"/>
      <c r="N106" s="29"/>
      <c r="O106" s="39"/>
      <c r="P106" s="40">
        <f t="shared" si="4"/>
        <v>0</v>
      </c>
      <c r="Q106" s="40">
        <f t="shared" si="5"/>
        <v>0</v>
      </c>
      <c r="R106" s="40">
        <f t="shared" si="6"/>
        <v>0</v>
      </c>
      <c r="S106" s="41"/>
      <c r="T106" s="41"/>
      <c r="U106" s="41"/>
      <c r="V106" s="41"/>
      <c r="W106" s="41"/>
      <c r="X106" s="41"/>
      <c r="Y106" s="33">
        <f t="shared" si="7"/>
        <v>0</v>
      </c>
    </row>
    <row r="107" spans="4:25" x14ac:dyDescent="0.25">
      <c r="D107" s="69"/>
      <c r="E107" s="34"/>
      <c r="F107" s="34"/>
      <c r="H107" s="35"/>
      <c r="I107" s="36"/>
      <c r="J107" s="37"/>
      <c r="K107" s="38"/>
      <c r="L107" s="29"/>
      <c r="M107" s="29"/>
      <c r="N107" s="29"/>
      <c r="O107" s="39"/>
      <c r="P107" s="40">
        <f t="shared" si="4"/>
        <v>0</v>
      </c>
      <c r="Q107" s="40">
        <f t="shared" si="5"/>
        <v>0</v>
      </c>
      <c r="R107" s="40">
        <f t="shared" si="6"/>
        <v>0</v>
      </c>
      <c r="S107" s="41"/>
      <c r="T107" s="41"/>
      <c r="U107" s="41"/>
      <c r="V107" s="41"/>
      <c r="W107" s="41"/>
      <c r="X107" s="41"/>
      <c r="Y107" s="33">
        <f t="shared" si="7"/>
        <v>0</v>
      </c>
    </row>
    <row r="108" spans="4:25" x14ac:dyDescent="0.25">
      <c r="D108" s="69"/>
      <c r="E108" s="34"/>
      <c r="F108" s="34"/>
      <c r="H108" s="35"/>
      <c r="I108" s="36"/>
      <c r="J108" s="37"/>
      <c r="K108" s="38"/>
      <c r="L108" s="29"/>
      <c r="M108" s="29"/>
      <c r="N108" s="29"/>
      <c r="O108" s="39"/>
      <c r="P108" s="40">
        <f t="shared" si="4"/>
        <v>0</v>
      </c>
      <c r="Q108" s="40">
        <f t="shared" si="5"/>
        <v>0</v>
      </c>
      <c r="R108" s="40">
        <f t="shared" si="6"/>
        <v>0</v>
      </c>
      <c r="S108" s="41"/>
      <c r="T108" s="41"/>
      <c r="U108" s="41"/>
      <c r="V108" s="41"/>
      <c r="W108" s="41"/>
      <c r="X108" s="41"/>
      <c r="Y108" s="33">
        <f t="shared" si="7"/>
        <v>0</v>
      </c>
    </row>
    <row r="109" spans="4:25" x14ac:dyDescent="0.25">
      <c r="D109" s="69"/>
      <c r="E109" s="34"/>
      <c r="F109" s="34"/>
      <c r="H109" s="35"/>
      <c r="I109" s="36"/>
      <c r="J109" s="37"/>
      <c r="K109" s="38"/>
      <c r="L109" s="29"/>
      <c r="M109" s="29"/>
      <c r="N109" s="29"/>
      <c r="O109" s="39"/>
      <c r="P109" s="40">
        <f t="shared" si="4"/>
        <v>0</v>
      </c>
      <c r="Q109" s="40">
        <f t="shared" si="5"/>
        <v>0</v>
      </c>
      <c r="R109" s="40">
        <f t="shared" si="6"/>
        <v>0</v>
      </c>
      <c r="S109" s="41"/>
      <c r="T109" s="41"/>
      <c r="U109" s="41"/>
      <c r="V109" s="41"/>
      <c r="W109" s="41"/>
      <c r="X109" s="41"/>
      <c r="Y109" s="33">
        <f t="shared" si="7"/>
        <v>0</v>
      </c>
    </row>
    <row r="110" spans="4:25" x14ac:dyDescent="0.25">
      <c r="D110" s="69"/>
      <c r="E110" s="34"/>
      <c r="F110" s="34"/>
      <c r="H110" s="35"/>
      <c r="I110" s="36"/>
      <c r="J110" s="37"/>
      <c r="K110" s="38"/>
      <c r="L110" s="29"/>
      <c r="M110" s="29"/>
      <c r="N110" s="29"/>
      <c r="O110" s="39"/>
      <c r="P110" s="40">
        <f t="shared" si="4"/>
        <v>0</v>
      </c>
      <c r="Q110" s="40">
        <f t="shared" si="5"/>
        <v>0</v>
      </c>
      <c r="R110" s="40">
        <f t="shared" si="6"/>
        <v>0</v>
      </c>
      <c r="S110" s="41"/>
      <c r="T110" s="41"/>
      <c r="U110" s="41"/>
      <c r="V110" s="41"/>
      <c r="W110" s="41"/>
      <c r="X110" s="41"/>
      <c r="Y110" s="33">
        <f t="shared" si="7"/>
        <v>0</v>
      </c>
    </row>
    <row r="111" spans="4:25" x14ac:dyDescent="0.25">
      <c r="D111" s="69"/>
      <c r="E111" s="34"/>
      <c r="F111" s="34"/>
      <c r="H111" s="35"/>
      <c r="I111" s="36"/>
      <c r="J111" s="37"/>
      <c r="K111" s="38"/>
      <c r="L111" s="29"/>
      <c r="M111" s="29"/>
      <c r="N111" s="29"/>
      <c r="O111" s="39"/>
      <c r="P111" s="40">
        <f t="shared" si="4"/>
        <v>0</v>
      </c>
      <c r="Q111" s="40">
        <f t="shared" si="5"/>
        <v>0</v>
      </c>
      <c r="R111" s="40">
        <f t="shared" si="6"/>
        <v>0</v>
      </c>
      <c r="S111" s="41"/>
      <c r="T111" s="41"/>
      <c r="U111" s="41"/>
      <c r="V111" s="41"/>
      <c r="W111" s="41"/>
      <c r="X111" s="41"/>
      <c r="Y111" s="33">
        <f t="shared" si="7"/>
        <v>0</v>
      </c>
    </row>
    <row r="112" spans="4:25" x14ac:dyDescent="0.25">
      <c r="D112" s="69"/>
      <c r="E112" s="34"/>
      <c r="F112" s="34"/>
      <c r="H112" s="35"/>
      <c r="I112" s="36"/>
      <c r="J112" s="37"/>
      <c r="K112" s="38"/>
      <c r="L112" s="29"/>
      <c r="M112" s="29"/>
      <c r="N112" s="29"/>
      <c r="O112" s="39"/>
      <c r="P112" s="40">
        <f t="shared" si="4"/>
        <v>0</v>
      </c>
      <c r="Q112" s="40">
        <f t="shared" si="5"/>
        <v>0</v>
      </c>
      <c r="R112" s="40">
        <f t="shared" si="6"/>
        <v>0</v>
      </c>
      <c r="S112" s="41"/>
      <c r="T112" s="41"/>
      <c r="U112" s="41"/>
      <c r="V112" s="41"/>
      <c r="W112" s="41"/>
      <c r="X112" s="41"/>
      <c r="Y112" s="33">
        <f t="shared" si="7"/>
        <v>0</v>
      </c>
    </row>
    <row r="113" spans="4:25" x14ac:dyDescent="0.25">
      <c r="D113" s="69"/>
      <c r="E113" s="34"/>
      <c r="F113" s="34"/>
      <c r="H113" s="35"/>
      <c r="I113" s="36"/>
      <c r="J113" s="37"/>
      <c r="K113" s="38"/>
      <c r="L113" s="29"/>
      <c r="M113" s="29"/>
      <c r="N113" s="29"/>
      <c r="O113" s="39"/>
      <c r="P113" s="40">
        <f t="shared" si="4"/>
        <v>0</v>
      </c>
      <c r="Q113" s="40">
        <f t="shared" si="5"/>
        <v>0</v>
      </c>
      <c r="R113" s="40">
        <f t="shared" si="6"/>
        <v>0</v>
      </c>
      <c r="S113" s="41"/>
      <c r="T113" s="41"/>
      <c r="U113" s="41"/>
      <c r="V113" s="41"/>
      <c r="W113" s="41"/>
      <c r="X113" s="41"/>
      <c r="Y113" s="33">
        <f t="shared" si="7"/>
        <v>0</v>
      </c>
    </row>
    <row r="114" spans="4:25" x14ac:dyDescent="0.25">
      <c r="D114" s="69"/>
      <c r="E114" s="34"/>
      <c r="F114" s="34"/>
      <c r="H114" s="35"/>
      <c r="I114" s="36"/>
      <c r="J114" s="37"/>
      <c r="K114" s="38"/>
      <c r="L114" s="29"/>
      <c r="M114" s="29"/>
      <c r="N114" s="29"/>
      <c r="O114" s="39"/>
      <c r="P114" s="40">
        <f t="shared" si="4"/>
        <v>0</v>
      </c>
      <c r="Q114" s="40">
        <f t="shared" si="5"/>
        <v>0</v>
      </c>
      <c r="R114" s="40">
        <f t="shared" si="6"/>
        <v>0</v>
      </c>
      <c r="S114" s="41"/>
      <c r="T114" s="41"/>
      <c r="U114" s="41"/>
      <c r="V114" s="41"/>
      <c r="W114" s="41"/>
      <c r="X114" s="41"/>
      <c r="Y114" s="33">
        <f t="shared" si="7"/>
        <v>0</v>
      </c>
    </row>
    <row r="115" spans="4:25" x14ac:dyDescent="0.25">
      <c r="D115" s="69"/>
      <c r="E115" s="34"/>
      <c r="F115" s="34"/>
      <c r="H115" s="35"/>
      <c r="I115" s="36"/>
      <c r="J115" s="37"/>
      <c r="K115" s="38"/>
      <c r="L115" s="29"/>
      <c r="M115" s="29"/>
      <c r="N115" s="29"/>
      <c r="O115" s="39"/>
      <c r="P115" s="40">
        <f t="shared" si="4"/>
        <v>0</v>
      </c>
      <c r="Q115" s="40">
        <f t="shared" si="5"/>
        <v>0</v>
      </c>
      <c r="R115" s="40">
        <f t="shared" si="6"/>
        <v>0</v>
      </c>
      <c r="S115" s="41"/>
      <c r="T115" s="41"/>
      <c r="U115" s="41"/>
      <c r="V115" s="41"/>
      <c r="W115" s="41"/>
      <c r="X115" s="41"/>
      <c r="Y115" s="33">
        <f t="shared" si="7"/>
        <v>0</v>
      </c>
    </row>
    <row r="116" spans="4:25" x14ac:dyDescent="0.25">
      <c r="D116" s="69"/>
      <c r="E116" s="34"/>
      <c r="F116" s="34"/>
      <c r="H116" s="35"/>
      <c r="I116" s="36"/>
      <c r="J116" s="37"/>
      <c r="K116" s="38"/>
      <c r="L116" s="29"/>
      <c r="M116" s="29"/>
      <c r="N116" s="29"/>
      <c r="O116" s="39"/>
      <c r="P116" s="40">
        <f t="shared" si="4"/>
        <v>0</v>
      </c>
      <c r="Q116" s="40">
        <f t="shared" si="5"/>
        <v>0</v>
      </c>
      <c r="R116" s="40">
        <f t="shared" si="6"/>
        <v>0</v>
      </c>
      <c r="S116" s="41"/>
      <c r="T116" s="41"/>
      <c r="U116" s="41"/>
      <c r="V116" s="41"/>
      <c r="W116" s="41"/>
      <c r="X116" s="41"/>
      <c r="Y116" s="33">
        <f t="shared" si="7"/>
        <v>0</v>
      </c>
    </row>
    <row r="117" spans="4:25" x14ac:dyDescent="0.25">
      <c r="D117" s="69"/>
      <c r="E117" s="34"/>
      <c r="F117" s="34"/>
      <c r="H117" s="35"/>
      <c r="I117" s="36"/>
      <c r="J117" s="37"/>
      <c r="K117" s="38"/>
      <c r="L117" s="29"/>
      <c r="M117" s="29"/>
      <c r="N117" s="29"/>
      <c r="O117" s="39"/>
      <c r="P117" s="40">
        <f t="shared" si="4"/>
        <v>0</v>
      </c>
      <c r="Q117" s="40">
        <f t="shared" si="5"/>
        <v>0</v>
      </c>
      <c r="R117" s="40">
        <f t="shared" si="6"/>
        <v>0</v>
      </c>
      <c r="S117" s="41"/>
      <c r="T117" s="41"/>
      <c r="U117" s="41"/>
      <c r="V117" s="41"/>
      <c r="W117" s="41"/>
      <c r="X117" s="41"/>
      <c r="Y117" s="33">
        <f t="shared" si="7"/>
        <v>0</v>
      </c>
    </row>
    <row r="118" spans="4:25" x14ac:dyDescent="0.25">
      <c r="D118" s="69"/>
      <c r="E118" s="34"/>
      <c r="F118" s="34"/>
      <c r="H118" s="35"/>
      <c r="I118" s="36"/>
      <c r="J118" s="37"/>
      <c r="K118" s="38"/>
      <c r="L118" s="29"/>
      <c r="M118" s="29"/>
      <c r="N118" s="29"/>
      <c r="O118" s="39"/>
      <c r="P118" s="40">
        <f t="shared" si="4"/>
        <v>0</v>
      </c>
      <c r="Q118" s="40">
        <f t="shared" si="5"/>
        <v>0</v>
      </c>
      <c r="R118" s="40">
        <f t="shared" si="6"/>
        <v>0</v>
      </c>
      <c r="S118" s="41"/>
      <c r="T118" s="41"/>
      <c r="U118" s="41"/>
      <c r="V118" s="41"/>
      <c r="W118" s="41"/>
      <c r="X118" s="41"/>
      <c r="Y118" s="33">
        <f t="shared" si="7"/>
        <v>0</v>
      </c>
    </row>
    <row r="119" spans="4:25" x14ac:dyDescent="0.25">
      <c r="D119" s="69"/>
      <c r="E119" s="34"/>
      <c r="F119" s="34"/>
      <c r="H119" s="35"/>
      <c r="I119" s="36"/>
      <c r="J119" s="37"/>
      <c r="K119" s="38"/>
      <c r="L119" s="29"/>
      <c r="M119" s="29"/>
      <c r="N119" s="29"/>
      <c r="O119" s="39"/>
      <c r="P119" s="40">
        <f t="shared" si="4"/>
        <v>0</v>
      </c>
      <c r="Q119" s="40">
        <f t="shared" si="5"/>
        <v>0</v>
      </c>
      <c r="R119" s="40">
        <f t="shared" si="6"/>
        <v>0</v>
      </c>
      <c r="S119" s="41"/>
      <c r="T119" s="41"/>
      <c r="U119" s="41"/>
      <c r="V119" s="41"/>
      <c r="W119" s="41"/>
      <c r="X119" s="41"/>
      <c r="Y119" s="33">
        <f t="shared" si="7"/>
        <v>0</v>
      </c>
    </row>
    <row r="120" spans="4:25" x14ac:dyDescent="0.25">
      <c r="D120" s="69"/>
      <c r="E120" s="34"/>
      <c r="F120" s="34"/>
      <c r="H120" s="35"/>
      <c r="I120" s="36"/>
      <c r="J120" s="37"/>
      <c r="K120" s="38"/>
      <c r="L120" s="29"/>
      <c r="M120" s="29"/>
      <c r="N120" s="29"/>
      <c r="O120" s="39"/>
      <c r="P120" s="40">
        <f t="shared" si="4"/>
        <v>0</v>
      </c>
      <c r="Q120" s="40">
        <f t="shared" si="5"/>
        <v>0</v>
      </c>
      <c r="R120" s="40">
        <f t="shared" si="6"/>
        <v>0</v>
      </c>
      <c r="S120" s="41"/>
      <c r="T120" s="41"/>
      <c r="U120" s="41"/>
      <c r="V120" s="41"/>
      <c r="W120" s="41"/>
      <c r="X120" s="41"/>
      <c r="Y120" s="33">
        <f t="shared" si="7"/>
        <v>0</v>
      </c>
    </row>
    <row r="121" spans="4:25" x14ac:dyDescent="0.25">
      <c r="D121" s="69"/>
      <c r="E121" s="34"/>
      <c r="F121" s="34"/>
      <c r="H121" s="35"/>
      <c r="I121" s="36"/>
      <c r="J121" s="37"/>
      <c r="K121" s="38"/>
      <c r="L121" s="29"/>
      <c r="M121" s="29"/>
      <c r="N121" s="29"/>
      <c r="O121" s="39"/>
      <c r="P121" s="40">
        <f t="shared" si="4"/>
        <v>0</v>
      </c>
      <c r="Q121" s="40">
        <f t="shared" si="5"/>
        <v>0</v>
      </c>
      <c r="R121" s="40">
        <f t="shared" si="6"/>
        <v>0</v>
      </c>
      <c r="S121" s="41"/>
      <c r="T121" s="41"/>
      <c r="U121" s="41"/>
      <c r="V121" s="41"/>
      <c r="W121" s="41"/>
      <c r="X121" s="41"/>
      <c r="Y121" s="33">
        <f t="shared" si="7"/>
        <v>0</v>
      </c>
    </row>
    <row r="122" spans="4:25" x14ac:dyDescent="0.25">
      <c r="D122" s="69"/>
      <c r="E122" s="34"/>
      <c r="F122" s="34"/>
      <c r="H122" s="35"/>
      <c r="I122" s="36"/>
      <c r="J122" s="37"/>
      <c r="K122" s="38"/>
      <c r="L122" s="29"/>
      <c r="M122" s="29"/>
      <c r="N122" s="29"/>
      <c r="O122" s="39"/>
      <c r="P122" s="40">
        <f t="shared" si="4"/>
        <v>0</v>
      </c>
      <c r="Q122" s="40">
        <f t="shared" si="5"/>
        <v>0</v>
      </c>
      <c r="R122" s="40">
        <f t="shared" si="6"/>
        <v>0</v>
      </c>
      <c r="S122" s="41"/>
      <c r="T122" s="41"/>
      <c r="U122" s="41"/>
      <c r="V122" s="41"/>
      <c r="W122" s="41"/>
      <c r="X122" s="41"/>
      <c r="Y122" s="33">
        <f t="shared" si="7"/>
        <v>0</v>
      </c>
    </row>
    <row r="123" spans="4:25" x14ac:dyDescent="0.25">
      <c r="D123" s="69"/>
      <c r="E123" s="34"/>
      <c r="F123" s="34"/>
      <c r="H123" s="35"/>
      <c r="I123" s="36"/>
      <c r="J123" s="37"/>
      <c r="K123" s="38"/>
      <c r="L123" s="29"/>
      <c r="M123" s="29"/>
      <c r="N123" s="29"/>
      <c r="O123" s="39"/>
      <c r="P123" s="40">
        <f t="shared" si="4"/>
        <v>0</v>
      </c>
      <c r="Q123" s="40">
        <f t="shared" si="5"/>
        <v>0</v>
      </c>
      <c r="R123" s="40">
        <f t="shared" si="6"/>
        <v>0</v>
      </c>
      <c r="S123" s="41"/>
      <c r="T123" s="41"/>
      <c r="U123" s="41"/>
      <c r="V123" s="41"/>
      <c r="W123" s="41"/>
      <c r="X123" s="41"/>
      <c r="Y123" s="33">
        <f t="shared" si="7"/>
        <v>0</v>
      </c>
    </row>
    <row r="124" spans="4:25" x14ac:dyDescent="0.25">
      <c r="D124" s="69"/>
      <c r="E124" s="34"/>
      <c r="F124" s="34"/>
      <c r="H124" s="35"/>
      <c r="I124" s="36"/>
      <c r="J124" s="37"/>
      <c r="K124" s="38"/>
      <c r="L124" s="29"/>
      <c r="M124" s="29"/>
      <c r="N124" s="29"/>
      <c r="O124" s="39"/>
      <c r="P124" s="40">
        <f t="shared" si="4"/>
        <v>0</v>
      </c>
      <c r="Q124" s="40">
        <f t="shared" si="5"/>
        <v>0</v>
      </c>
      <c r="R124" s="40">
        <f t="shared" si="6"/>
        <v>0</v>
      </c>
      <c r="S124" s="41"/>
      <c r="T124" s="41"/>
      <c r="U124" s="41"/>
      <c r="V124" s="41"/>
      <c r="W124" s="41"/>
      <c r="X124" s="41"/>
      <c r="Y124" s="33">
        <f t="shared" si="7"/>
        <v>0</v>
      </c>
    </row>
    <row r="125" spans="4:25" x14ac:dyDescent="0.25">
      <c r="D125" s="69"/>
      <c r="E125" s="34"/>
      <c r="F125" s="34"/>
      <c r="H125" s="35"/>
      <c r="I125" s="36"/>
      <c r="J125" s="37"/>
      <c r="K125" s="38"/>
      <c r="L125" s="29"/>
      <c r="M125" s="29"/>
      <c r="N125" s="29"/>
      <c r="O125" s="39"/>
      <c r="P125" s="40">
        <f t="shared" si="4"/>
        <v>0</v>
      </c>
      <c r="Q125" s="40">
        <f t="shared" si="5"/>
        <v>0</v>
      </c>
      <c r="R125" s="40">
        <f t="shared" si="6"/>
        <v>0</v>
      </c>
      <c r="S125" s="41"/>
      <c r="T125" s="41"/>
      <c r="U125" s="41"/>
      <c r="V125" s="41"/>
      <c r="W125" s="41"/>
      <c r="X125" s="41"/>
      <c r="Y125" s="33">
        <f t="shared" si="7"/>
        <v>0</v>
      </c>
    </row>
    <row r="126" spans="4:25" x14ac:dyDescent="0.25">
      <c r="D126" s="69"/>
      <c r="E126" s="34"/>
      <c r="F126" s="34"/>
      <c r="H126" s="35"/>
      <c r="I126" s="36"/>
      <c r="J126" s="37"/>
      <c r="K126" s="38"/>
      <c r="L126" s="29"/>
      <c r="M126" s="29"/>
      <c r="N126" s="29"/>
      <c r="O126" s="39"/>
      <c r="P126" s="40">
        <f t="shared" si="4"/>
        <v>0</v>
      </c>
      <c r="Q126" s="40">
        <f t="shared" si="5"/>
        <v>0</v>
      </c>
      <c r="R126" s="40">
        <f t="shared" si="6"/>
        <v>0</v>
      </c>
      <c r="S126" s="41"/>
      <c r="T126" s="41"/>
      <c r="U126" s="41"/>
      <c r="V126" s="41"/>
      <c r="W126" s="41"/>
      <c r="X126" s="41"/>
      <c r="Y126" s="33">
        <f t="shared" si="7"/>
        <v>0</v>
      </c>
    </row>
    <row r="127" spans="4:25" x14ac:dyDescent="0.25">
      <c r="D127" s="69"/>
      <c r="E127" s="34"/>
      <c r="F127" s="34"/>
      <c r="H127" s="35"/>
      <c r="I127" s="36"/>
      <c r="J127" s="37"/>
      <c r="K127" s="38"/>
      <c r="L127" s="29"/>
      <c r="M127" s="29"/>
      <c r="N127" s="29"/>
      <c r="O127" s="39"/>
      <c r="P127" s="40">
        <f t="shared" si="4"/>
        <v>0</v>
      </c>
      <c r="Q127" s="40">
        <f t="shared" si="5"/>
        <v>0</v>
      </c>
      <c r="R127" s="40">
        <f t="shared" si="6"/>
        <v>0</v>
      </c>
      <c r="S127" s="41"/>
      <c r="T127" s="41"/>
      <c r="U127" s="41"/>
      <c r="V127" s="41"/>
      <c r="W127" s="41"/>
      <c r="X127" s="41"/>
      <c r="Y127" s="33">
        <f t="shared" si="7"/>
        <v>0</v>
      </c>
    </row>
    <row r="128" spans="4:25" x14ac:dyDescent="0.25">
      <c r="D128" s="69"/>
      <c r="E128" s="34"/>
      <c r="F128" s="34"/>
      <c r="H128" s="35"/>
      <c r="I128" s="36"/>
      <c r="J128" s="37"/>
      <c r="K128" s="38"/>
      <c r="L128" s="29"/>
      <c r="M128" s="29"/>
      <c r="N128" s="29"/>
      <c r="O128" s="39"/>
      <c r="P128" s="40">
        <f t="shared" si="4"/>
        <v>0</v>
      </c>
      <c r="Q128" s="40">
        <f t="shared" si="5"/>
        <v>0</v>
      </c>
      <c r="R128" s="40">
        <f t="shared" si="6"/>
        <v>0</v>
      </c>
      <c r="S128" s="41"/>
      <c r="T128" s="41"/>
      <c r="U128" s="41"/>
      <c r="V128" s="41"/>
      <c r="W128" s="41"/>
      <c r="X128" s="41"/>
      <c r="Y128" s="33">
        <f t="shared" si="7"/>
        <v>0</v>
      </c>
    </row>
    <row r="129" spans="4:25" x14ac:dyDescent="0.25">
      <c r="D129" s="69"/>
      <c r="E129" s="34"/>
      <c r="F129" s="34"/>
      <c r="H129" s="35"/>
      <c r="I129" s="36"/>
      <c r="J129" s="37"/>
      <c r="K129" s="38"/>
      <c r="L129" s="29"/>
      <c r="M129" s="29"/>
      <c r="N129" s="29"/>
      <c r="O129" s="39"/>
      <c r="P129" s="40">
        <f t="shared" si="4"/>
        <v>0</v>
      </c>
      <c r="Q129" s="40">
        <f t="shared" si="5"/>
        <v>0</v>
      </c>
      <c r="R129" s="40">
        <f t="shared" si="6"/>
        <v>0</v>
      </c>
      <c r="S129" s="41"/>
      <c r="T129" s="41"/>
      <c r="U129" s="41"/>
      <c r="V129" s="41"/>
      <c r="W129" s="41"/>
      <c r="X129" s="41"/>
      <c r="Y129" s="33">
        <f t="shared" si="7"/>
        <v>0</v>
      </c>
    </row>
    <row r="130" spans="4:25" x14ac:dyDescent="0.25">
      <c r="D130" s="69"/>
      <c r="E130" s="34"/>
      <c r="F130" s="34"/>
      <c r="H130" s="35"/>
      <c r="I130" s="36"/>
      <c r="J130" s="37"/>
      <c r="K130" s="38"/>
      <c r="L130" s="29"/>
      <c r="M130" s="29"/>
      <c r="N130" s="29"/>
      <c r="O130" s="39"/>
      <c r="P130" s="40">
        <f t="shared" si="4"/>
        <v>0</v>
      </c>
      <c r="Q130" s="40">
        <f t="shared" si="5"/>
        <v>0</v>
      </c>
      <c r="R130" s="40">
        <f t="shared" si="6"/>
        <v>0</v>
      </c>
      <c r="S130" s="41"/>
      <c r="T130" s="41"/>
      <c r="U130" s="41"/>
      <c r="V130" s="41"/>
      <c r="W130" s="41"/>
      <c r="X130" s="41"/>
      <c r="Y130" s="33">
        <f t="shared" si="7"/>
        <v>0</v>
      </c>
    </row>
    <row r="131" spans="4:25" x14ac:dyDescent="0.25">
      <c r="D131" s="69"/>
      <c r="E131" s="34"/>
      <c r="F131" s="34"/>
      <c r="H131" s="35"/>
      <c r="I131" s="36"/>
      <c r="J131" s="37"/>
      <c r="K131" s="38"/>
      <c r="L131" s="29"/>
      <c r="M131" s="29"/>
      <c r="N131" s="29"/>
      <c r="O131" s="39"/>
      <c r="P131" s="40">
        <f t="shared" ref="P131:P194" si="8">$L131*$O131</f>
        <v>0</v>
      </c>
      <c r="Q131" s="40">
        <f t="shared" si="5"/>
        <v>0</v>
      </c>
      <c r="R131" s="40">
        <f t="shared" si="6"/>
        <v>0</v>
      </c>
      <c r="S131" s="41"/>
      <c r="T131" s="41"/>
      <c r="U131" s="41"/>
      <c r="V131" s="41"/>
      <c r="W131" s="41"/>
      <c r="X131" s="41"/>
      <c r="Y131" s="33">
        <f t="shared" si="7"/>
        <v>0</v>
      </c>
    </row>
    <row r="132" spans="4:25" x14ac:dyDescent="0.25">
      <c r="D132" s="69"/>
      <c r="E132" s="34"/>
      <c r="F132" s="34"/>
      <c r="H132" s="35"/>
      <c r="I132" s="36"/>
      <c r="J132" s="37"/>
      <c r="K132" s="38"/>
      <c r="L132" s="29"/>
      <c r="M132" s="29"/>
      <c r="N132" s="29"/>
      <c r="O132" s="39"/>
      <c r="P132" s="40">
        <f t="shared" si="8"/>
        <v>0</v>
      </c>
      <c r="Q132" s="40">
        <f t="shared" ref="Q132:Q195" si="9">IF(E132="NE",(M132*O132*1.5),(M132*O132))</f>
        <v>0</v>
      </c>
      <c r="R132" s="40">
        <f t="shared" ref="R132:R195" si="10">P132+Q132</f>
        <v>0</v>
      </c>
      <c r="S132" s="41"/>
      <c r="T132" s="41"/>
      <c r="U132" s="41"/>
      <c r="V132" s="41"/>
      <c r="W132" s="41"/>
      <c r="X132" s="41"/>
      <c r="Y132" s="33">
        <f t="shared" ref="Y132:Y195" si="11">SUM(R132:X132)</f>
        <v>0</v>
      </c>
    </row>
    <row r="133" spans="4:25" x14ac:dyDescent="0.25">
      <c r="D133" s="69"/>
      <c r="E133" s="34"/>
      <c r="F133" s="34"/>
      <c r="H133" s="35"/>
      <c r="I133" s="36"/>
      <c r="J133" s="37"/>
      <c r="K133" s="38"/>
      <c r="L133" s="29"/>
      <c r="M133" s="29"/>
      <c r="N133" s="29"/>
      <c r="O133" s="39"/>
      <c r="P133" s="40">
        <f t="shared" si="8"/>
        <v>0</v>
      </c>
      <c r="Q133" s="40">
        <f t="shared" si="9"/>
        <v>0</v>
      </c>
      <c r="R133" s="40">
        <f t="shared" si="10"/>
        <v>0</v>
      </c>
      <c r="S133" s="41"/>
      <c r="T133" s="41"/>
      <c r="U133" s="41"/>
      <c r="V133" s="41"/>
      <c r="W133" s="41"/>
      <c r="X133" s="41"/>
      <c r="Y133" s="33">
        <f t="shared" si="11"/>
        <v>0</v>
      </c>
    </row>
    <row r="134" spans="4:25" x14ac:dyDescent="0.25">
      <c r="D134" s="69"/>
      <c r="E134" s="34"/>
      <c r="F134" s="34"/>
      <c r="H134" s="35"/>
      <c r="I134" s="36"/>
      <c r="J134" s="37"/>
      <c r="K134" s="38"/>
      <c r="L134" s="29"/>
      <c r="M134" s="29"/>
      <c r="N134" s="29"/>
      <c r="O134" s="39"/>
      <c r="P134" s="40">
        <f t="shared" si="8"/>
        <v>0</v>
      </c>
      <c r="Q134" s="40">
        <f t="shared" si="9"/>
        <v>0</v>
      </c>
      <c r="R134" s="40">
        <f t="shared" si="10"/>
        <v>0</v>
      </c>
      <c r="S134" s="41"/>
      <c r="T134" s="41"/>
      <c r="U134" s="41"/>
      <c r="V134" s="41"/>
      <c r="W134" s="41"/>
      <c r="X134" s="41"/>
      <c r="Y134" s="33">
        <f t="shared" si="11"/>
        <v>0</v>
      </c>
    </row>
    <row r="135" spans="4:25" x14ac:dyDescent="0.25">
      <c r="D135" s="69"/>
      <c r="E135" s="34"/>
      <c r="F135" s="34"/>
      <c r="H135" s="35"/>
      <c r="I135" s="36"/>
      <c r="J135" s="37"/>
      <c r="K135" s="38"/>
      <c r="L135" s="29"/>
      <c r="M135" s="29"/>
      <c r="N135" s="29"/>
      <c r="O135" s="39"/>
      <c r="P135" s="40">
        <f t="shared" si="8"/>
        <v>0</v>
      </c>
      <c r="Q135" s="40">
        <f t="shared" si="9"/>
        <v>0</v>
      </c>
      <c r="R135" s="40">
        <f t="shared" si="10"/>
        <v>0</v>
      </c>
      <c r="S135" s="41"/>
      <c r="T135" s="41"/>
      <c r="U135" s="41"/>
      <c r="V135" s="41"/>
      <c r="W135" s="41"/>
      <c r="X135" s="41"/>
      <c r="Y135" s="33">
        <f t="shared" si="11"/>
        <v>0</v>
      </c>
    </row>
    <row r="136" spans="4:25" x14ac:dyDescent="0.25">
      <c r="D136" s="69"/>
      <c r="E136" s="34"/>
      <c r="F136" s="34"/>
      <c r="H136" s="35"/>
      <c r="I136" s="36"/>
      <c r="J136" s="37"/>
      <c r="K136" s="38"/>
      <c r="L136" s="29"/>
      <c r="M136" s="29"/>
      <c r="N136" s="29"/>
      <c r="O136" s="39"/>
      <c r="P136" s="40">
        <f t="shared" si="8"/>
        <v>0</v>
      </c>
      <c r="Q136" s="40">
        <f t="shared" si="9"/>
        <v>0</v>
      </c>
      <c r="R136" s="40">
        <f t="shared" si="10"/>
        <v>0</v>
      </c>
      <c r="S136" s="41"/>
      <c r="T136" s="41"/>
      <c r="U136" s="41"/>
      <c r="V136" s="41"/>
      <c r="W136" s="41"/>
      <c r="X136" s="41"/>
      <c r="Y136" s="33">
        <f t="shared" si="11"/>
        <v>0</v>
      </c>
    </row>
    <row r="137" spans="4:25" x14ac:dyDescent="0.25">
      <c r="D137" s="69"/>
      <c r="E137" s="34"/>
      <c r="F137" s="34"/>
      <c r="H137" s="35"/>
      <c r="I137" s="36"/>
      <c r="J137" s="37"/>
      <c r="K137" s="38"/>
      <c r="L137" s="29"/>
      <c r="M137" s="29"/>
      <c r="N137" s="29"/>
      <c r="O137" s="39"/>
      <c r="P137" s="40">
        <f t="shared" si="8"/>
        <v>0</v>
      </c>
      <c r="Q137" s="40">
        <f t="shared" si="9"/>
        <v>0</v>
      </c>
      <c r="R137" s="40">
        <f t="shared" si="10"/>
        <v>0</v>
      </c>
      <c r="S137" s="41"/>
      <c r="T137" s="41"/>
      <c r="U137" s="41"/>
      <c r="V137" s="41"/>
      <c r="W137" s="41"/>
      <c r="X137" s="41"/>
      <c r="Y137" s="33">
        <f t="shared" si="11"/>
        <v>0</v>
      </c>
    </row>
    <row r="138" spans="4:25" x14ac:dyDescent="0.25">
      <c r="D138" s="69"/>
      <c r="E138" s="34"/>
      <c r="F138" s="34"/>
      <c r="H138" s="35"/>
      <c r="I138" s="36"/>
      <c r="J138" s="37"/>
      <c r="K138" s="38"/>
      <c r="L138" s="29"/>
      <c r="M138" s="29"/>
      <c r="N138" s="29"/>
      <c r="O138" s="39"/>
      <c r="P138" s="40">
        <f t="shared" si="8"/>
        <v>0</v>
      </c>
      <c r="Q138" s="40">
        <f t="shared" si="9"/>
        <v>0</v>
      </c>
      <c r="R138" s="40">
        <f t="shared" si="10"/>
        <v>0</v>
      </c>
      <c r="S138" s="41"/>
      <c r="T138" s="41"/>
      <c r="U138" s="41"/>
      <c r="V138" s="41"/>
      <c r="W138" s="41"/>
      <c r="X138" s="41"/>
      <c r="Y138" s="33">
        <f t="shared" si="11"/>
        <v>0</v>
      </c>
    </row>
    <row r="139" spans="4:25" x14ac:dyDescent="0.25">
      <c r="D139" s="69"/>
      <c r="E139" s="34"/>
      <c r="F139" s="34"/>
      <c r="H139" s="35"/>
      <c r="I139" s="36"/>
      <c r="J139" s="37"/>
      <c r="K139" s="38"/>
      <c r="L139" s="29"/>
      <c r="M139" s="29"/>
      <c r="N139" s="29"/>
      <c r="O139" s="39"/>
      <c r="P139" s="40">
        <f t="shared" si="8"/>
        <v>0</v>
      </c>
      <c r="Q139" s="40">
        <f t="shared" si="9"/>
        <v>0</v>
      </c>
      <c r="R139" s="40">
        <f t="shared" si="10"/>
        <v>0</v>
      </c>
      <c r="S139" s="41"/>
      <c r="T139" s="41"/>
      <c r="U139" s="41"/>
      <c r="V139" s="41"/>
      <c r="W139" s="41"/>
      <c r="X139" s="41"/>
      <c r="Y139" s="33">
        <f t="shared" si="11"/>
        <v>0</v>
      </c>
    </row>
    <row r="140" spans="4:25" x14ac:dyDescent="0.25">
      <c r="D140" s="69"/>
      <c r="E140" s="34"/>
      <c r="F140" s="34"/>
      <c r="H140" s="35"/>
      <c r="I140" s="36"/>
      <c r="J140" s="37"/>
      <c r="K140" s="38"/>
      <c r="L140" s="29"/>
      <c r="M140" s="29"/>
      <c r="N140" s="29"/>
      <c r="O140" s="39"/>
      <c r="P140" s="40">
        <f t="shared" si="8"/>
        <v>0</v>
      </c>
      <c r="Q140" s="40">
        <f t="shared" si="9"/>
        <v>0</v>
      </c>
      <c r="R140" s="40">
        <f t="shared" si="10"/>
        <v>0</v>
      </c>
      <c r="S140" s="41"/>
      <c r="T140" s="41"/>
      <c r="U140" s="41"/>
      <c r="V140" s="41"/>
      <c r="W140" s="41"/>
      <c r="X140" s="41"/>
      <c r="Y140" s="33">
        <f t="shared" si="11"/>
        <v>0</v>
      </c>
    </row>
    <row r="141" spans="4:25" x14ac:dyDescent="0.25">
      <c r="D141" s="69"/>
      <c r="E141" s="34"/>
      <c r="F141" s="34"/>
      <c r="H141" s="35"/>
      <c r="I141" s="36"/>
      <c r="J141" s="37"/>
      <c r="K141" s="38"/>
      <c r="L141" s="29"/>
      <c r="M141" s="29"/>
      <c r="N141" s="29"/>
      <c r="O141" s="39"/>
      <c r="P141" s="40">
        <f t="shared" si="8"/>
        <v>0</v>
      </c>
      <c r="Q141" s="40">
        <f t="shared" si="9"/>
        <v>0</v>
      </c>
      <c r="R141" s="40">
        <f t="shared" si="10"/>
        <v>0</v>
      </c>
      <c r="S141" s="41"/>
      <c r="T141" s="41"/>
      <c r="U141" s="41"/>
      <c r="V141" s="41"/>
      <c r="W141" s="41"/>
      <c r="X141" s="41"/>
      <c r="Y141" s="33">
        <f t="shared" si="11"/>
        <v>0</v>
      </c>
    </row>
    <row r="142" spans="4:25" x14ac:dyDescent="0.25">
      <c r="D142" s="69"/>
      <c r="E142" s="34"/>
      <c r="F142" s="34"/>
      <c r="G142" s="38"/>
      <c r="H142" s="35"/>
      <c r="I142" s="36"/>
      <c r="J142" s="37"/>
      <c r="K142" s="38"/>
      <c r="L142" s="29"/>
      <c r="M142" s="29"/>
      <c r="N142" s="29"/>
      <c r="O142" s="39"/>
      <c r="P142" s="40">
        <f t="shared" si="8"/>
        <v>0</v>
      </c>
      <c r="Q142" s="40">
        <f t="shared" si="9"/>
        <v>0</v>
      </c>
      <c r="R142" s="40">
        <f t="shared" si="10"/>
        <v>0</v>
      </c>
      <c r="S142" s="41"/>
      <c r="T142" s="41"/>
      <c r="U142" s="41"/>
      <c r="V142" s="41"/>
      <c r="W142" s="41"/>
      <c r="X142" s="41"/>
      <c r="Y142" s="33">
        <f t="shared" si="11"/>
        <v>0</v>
      </c>
    </row>
    <row r="143" spans="4:25" x14ac:dyDescent="0.25">
      <c r="D143" s="69"/>
      <c r="E143" s="34"/>
      <c r="F143" s="34"/>
      <c r="G143" s="38"/>
      <c r="H143" s="35"/>
      <c r="I143" s="36"/>
      <c r="J143" s="37"/>
      <c r="K143" s="38"/>
      <c r="L143" s="29"/>
      <c r="M143" s="29"/>
      <c r="N143" s="29"/>
      <c r="O143" s="39"/>
      <c r="P143" s="40">
        <f t="shared" si="8"/>
        <v>0</v>
      </c>
      <c r="Q143" s="40">
        <f t="shared" si="9"/>
        <v>0</v>
      </c>
      <c r="R143" s="40">
        <f t="shared" si="10"/>
        <v>0</v>
      </c>
      <c r="S143" s="41"/>
      <c r="T143" s="41"/>
      <c r="U143" s="41"/>
      <c r="V143" s="41"/>
      <c r="W143" s="41"/>
      <c r="X143" s="41"/>
      <c r="Y143" s="33">
        <f t="shared" si="11"/>
        <v>0</v>
      </c>
    </row>
    <row r="144" spans="4:25" x14ac:dyDescent="0.25">
      <c r="D144" s="69"/>
      <c r="E144" s="34"/>
      <c r="F144" s="34"/>
      <c r="H144" s="35"/>
      <c r="I144" s="36"/>
      <c r="J144" s="37"/>
      <c r="K144" s="38"/>
      <c r="L144" s="29"/>
      <c r="M144" s="29"/>
      <c r="N144" s="29"/>
      <c r="O144" s="39"/>
      <c r="P144" s="40">
        <f t="shared" si="8"/>
        <v>0</v>
      </c>
      <c r="Q144" s="40">
        <f t="shared" si="9"/>
        <v>0</v>
      </c>
      <c r="R144" s="40">
        <f t="shared" si="10"/>
        <v>0</v>
      </c>
      <c r="S144" s="41"/>
      <c r="T144" s="41"/>
      <c r="U144" s="41"/>
      <c r="V144" s="41"/>
      <c r="W144" s="41"/>
      <c r="X144" s="41"/>
      <c r="Y144" s="33">
        <f t="shared" si="11"/>
        <v>0</v>
      </c>
    </row>
    <row r="145" spans="4:25" x14ac:dyDescent="0.25">
      <c r="D145" s="69"/>
      <c r="E145" s="34"/>
      <c r="F145" s="34"/>
      <c r="H145" s="35"/>
      <c r="I145" s="36"/>
      <c r="J145" s="37"/>
      <c r="K145" s="38"/>
      <c r="L145" s="29"/>
      <c r="M145" s="29"/>
      <c r="N145" s="29"/>
      <c r="O145" s="39"/>
      <c r="P145" s="40">
        <f t="shared" si="8"/>
        <v>0</v>
      </c>
      <c r="Q145" s="40">
        <f t="shared" si="9"/>
        <v>0</v>
      </c>
      <c r="R145" s="40">
        <f t="shared" si="10"/>
        <v>0</v>
      </c>
      <c r="S145" s="41"/>
      <c r="T145" s="41"/>
      <c r="U145" s="41"/>
      <c r="V145" s="41"/>
      <c r="W145" s="41"/>
      <c r="X145" s="41"/>
      <c r="Y145" s="33">
        <f t="shared" si="11"/>
        <v>0</v>
      </c>
    </row>
    <row r="146" spans="4:25" x14ac:dyDescent="0.25">
      <c r="D146" s="69"/>
      <c r="E146" s="34"/>
      <c r="F146" s="34"/>
      <c r="H146" s="35"/>
      <c r="I146" s="36"/>
      <c r="J146" s="37"/>
      <c r="K146" s="38"/>
      <c r="L146" s="29"/>
      <c r="M146" s="29"/>
      <c r="N146" s="29"/>
      <c r="O146" s="39"/>
      <c r="P146" s="40">
        <f t="shared" si="8"/>
        <v>0</v>
      </c>
      <c r="Q146" s="40">
        <f t="shared" si="9"/>
        <v>0</v>
      </c>
      <c r="R146" s="40">
        <f t="shared" si="10"/>
        <v>0</v>
      </c>
      <c r="S146" s="41"/>
      <c r="T146" s="41"/>
      <c r="U146" s="41"/>
      <c r="V146" s="41"/>
      <c r="W146" s="41"/>
      <c r="X146" s="41"/>
      <c r="Y146" s="33">
        <f t="shared" si="11"/>
        <v>0</v>
      </c>
    </row>
    <row r="147" spans="4:25" x14ac:dyDescent="0.25">
      <c r="D147" s="69"/>
      <c r="E147" s="34"/>
      <c r="F147" s="34"/>
      <c r="H147" s="35"/>
      <c r="I147" s="36"/>
      <c r="J147" s="37"/>
      <c r="K147" s="38"/>
      <c r="L147" s="29"/>
      <c r="M147" s="29"/>
      <c r="N147" s="29"/>
      <c r="O147" s="39"/>
      <c r="P147" s="40">
        <f t="shared" si="8"/>
        <v>0</v>
      </c>
      <c r="Q147" s="40">
        <f t="shared" si="9"/>
        <v>0</v>
      </c>
      <c r="R147" s="40">
        <f t="shared" si="10"/>
        <v>0</v>
      </c>
      <c r="S147" s="41"/>
      <c r="T147" s="41"/>
      <c r="U147" s="41"/>
      <c r="V147" s="41"/>
      <c r="W147" s="41"/>
      <c r="X147" s="41"/>
      <c r="Y147" s="33">
        <f t="shared" si="11"/>
        <v>0</v>
      </c>
    </row>
    <row r="148" spans="4:25" x14ac:dyDescent="0.25">
      <c r="D148" s="69"/>
      <c r="E148" s="34"/>
      <c r="F148" s="34"/>
      <c r="H148" s="35"/>
      <c r="I148" s="36"/>
      <c r="J148" s="37"/>
      <c r="K148" s="38"/>
      <c r="L148" s="29"/>
      <c r="M148" s="29"/>
      <c r="N148" s="29"/>
      <c r="O148" s="39"/>
      <c r="P148" s="40">
        <f t="shared" si="8"/>
        <v>0</v>
      </c>
      <c r="Q148" s="40">
        <f t="shared" si="9"/>
        <v>0</v>
      </c>
      <c r="R148" s="40">
        <f t="shared" si="10"/>
        <v>0</v>
      </c>
      <c r="S148" s="41"/>
      <c r="T148" s="41"/>
      <c r="U148" s="41"/>
      <c r="V148" s="41"/>
      <c r="W148" s="41"/>
      <c r="X148" s="41"/>
      <c r="Y148" s="33">
        <f t="shared" si="11"/>
        <v>0</v>
      </c>
    </row>
    <row r="149" spans="4:25" x14ac:dyDescent="0.25">
      <c r="D149" s="69"/>
      <c r="E149" s="34"/>
      <c r="F149" s="34"/>
      <c r="H149" s="35"/>
      <c r="I149" s="36"/>
      <c r="J149" s="37"/>
      <c r="K149" s="38"/>
      <c r="L149" s="29"/>
      <c r="M149" s="29"/>
      <c r="N149" s="29"/>
      <c r="O149" s="39"/>
      <c r="P149" s="40">
        <f t="shared" si="8"/>
        <v>0</v>
      </c>
      <c r="Q149" s="40">
        <f t="shared" si="9"/>
        <v>0</v>
      </c>
      <c r="R149" s="40">
        <f t="shared" si="10"/>
        <v>0</v>
      </c>
      <c r="S149" s="41"/>
      <c r="T149" s="41"/>
      <c r="U149" s="41"/>
      <c r="V149" s="41"/>
      <c r="W149" s="41"/>
      <c r="X149" s="41"/>
      <c r="Y149" s="33">
        <f t="shared" si="11"/>
        <v>0</v>
      </c>
    </row>
    <row r="150" spans="4:25" x14ac:dyDescent="0.25">
      <c r="D150" s="69"/>
      <c r="E150" s="34"/>
      <c r="F150" s="34"/>
      <c r="H150" s="35"/>
      <c r="I150" s="36"/>
      <c r="J150" s="37"/>
      <c r="K150" s="38"/>
      <c r="L150" s="29"/>
      <c r="M150" s="29"/>
      <c r="N150" s="29"/>
      <c r="O150" s="39"/>
      <c r="P150" s="40">
        <f t="shared" si="8"/>
        <v>0</v>
      </c>
      <c r="Q150" s="40">
        <f t="shared" si="9"/>
        <v>0</v>
      </c>
      <c r="R150" s="40">
        <f t="shared" si="10"/>
        <v>0</v>
      </c>
      <c r="S150" s="41"/>
      <c r="T150" s="41"/>
      <c r="U150" s="41"/>
      <c r="V150" s="41"/>
      <c r="W150" s="41"/>
      <c r="X150" s="41"/>
      <c r="Y150" s="33">
        <f t="shared" si="11"/>
        <v>0</v>
      </c>
    </row>
    <row r="151" spans="4:25" x14ac:dyDescent="0.25">
      <c r="D151" s="69"/>
      <c r="E151" s="34"/>
      <c r="F151" s="34"/>
      <c r="H151" s="35"/>
      <c r="I151" s="36"/>
      <c r="J151" s="37"/>
      <c r="K151" s="38"/>
      <c r="L151" s="29"/>
      <c r="M151" s="29"/>
      <c r="N151" s="29"/>
      <c r="O151" s="39"/>
      <c r="P151" s="40">
        <f t="shared" si="8"/>
        <v>0</v>
      </c>
      <c r="Q151" s="40">
        <f t="shared" si="9"/>
        <v>0</v>
      </c>
      <c r="R151" s="40">
        <f t="shared" si="10"/>
        <v>0</v>
      </c>
      <c r="S151" s="41"/>
      <c r="T151" s="41"/>
      <c r="U151" s="41"/>
      <c r="V151" s="41"/>
      <c r="W151" s="41"/>
      <c r="X151" s="41"/>
      <c r="Y151" s="33">
        <f t="shared" si="11"/>
        <v>0</v>
      </c>
    </row>
    <row r="152" spans="4:25" x14ac:dyDescent="0.25">
      <c r="D152" s="69"/>
      <c r="E152" s="34"/>
      <c r="F152" s="34"/>
      <c r="H152" s="35"/>
      <c r="I152" s="36"/>
      <c r="J152" s="37"/>
      <c r="K152" s="38"/>
      <c r="L152" s="29"/>
      <c r="M152" s="29"/>
      <c r="N152" s="29"/>
      <c r="O152" s="39"/>
      <c r="P152" s="40">
        <f t="shared" si="8"/>
        <v>0</v>
      </c>
      <c r="Q152" s="40">
        <f t="shared" si="9"/>
        <v>0</v>
      </c>
      <c r="R152" s="40">
        <f t="shared" si="10"/>
        <v>0</v>
      </c>
      <c r="S152" s="41"/>
      <c r="T152" s="41"/>
      <c r="U152" s="41"/>
      <c r="V152" s="41"/>
      <c r="W152" s="41"/>
      <c r="X152" s="41"/>
      <c r="Y152" s="33">
        <f t="shared" si="11"/>
        <v>0</v>
      </c>
    </row>
    <row r="153" spans="4:25" x14ac:dyDescent="0.25">
      <c r="D153" s="69"/>
      <c r="E153" s="34"/>
      <c r="F153" s="34"/>
      <c r="H153" s="35"/>
      <c r="I153" s="36"/>
      <c r="J153" s="37"/>
      <c r="K153" s="38"/>
      <c r="L153" s="29"/>
      <c r="M153" s="29"/>
      <c r="N153" s="29"/>
      <c r="O153" s="39"/>
      <c r="P153" s="40">
        <f t="shared" si="8"/>
        <v>0</v>
      </c>
      <c r="Q153" s="40">
        <f t="shared" si="9"/>
        <v>0</v>
      </c>
      <c r="R153" s="40">
        <f t="shared" si="10"/>
        <v>0</v>
      </c>
      <c r="S153" s="41"/>
      <c r="T153" s="41"/>
      <c r="U153" s="41"/>
      <c r="V153" s="41"/>
      <c r="W153" s="41"/>
      <c r="X153" s="41"/>
      <c r="Y153" s="33">
        <f t="shared" si="11"/>
        <v>0</v>
      </c>
    </row>
    <row r="154" spans="4:25" x14ac:dyDescent="0.25">
      <c r="D154" s="69"/>
      <c r="E154" s="34"/>
      <c r="F154" s="34"/>
      <c r="H154" s="35"/>
      <c r="I154" s="36"/>
      <c r="J154" s="37"/>
      <c r="K154" s="38"/>
      <c r="L154" s="29"/>
      <c r="M154" s="29"/>
      <c r="N154" s="29"/>
      <c r="O154" s="39"/>
      <c r="P154" s="40">
        <f t="shared" si="8"/>
        <v>0</v>
      </c>
      <c r="Q154" s="40">
        <f t="shared" si="9"/>
        <v>0</v>
      </c>
      <c r="R154" s="40">
        <f t="shared" si="10"/>
        <v>0</v>
      </c>
      <c r="S154" s="41"/>
      <c r="T154" s="41"/>
      <c r="U154" s="41"/>
      <c r="V154" s="41"/>
      <c r="W154" s="41"/>
      <c r="X154" s="41"/>
      <c r="Y154" s="33">
        <f t="shared" si="11"/>
        <v>0</v>
      </c>
    </row>
    <row r="155" spans="4:25" x14ac:dyDescent="0.25">
      <c r="D155" s="69"/>
      <c r="E155" s="34"/>
      <c r="F155" s="34"/>
      <c r="H155" s="35"/>
      <c r="I155" s="36"/>
      <c r="J155" s="37"/>
      <c r="K155" s="38"/>
      <c r="L155" s="29"/>
      <c r="M155" s="29"/>
      <c r="N155" s="29"/>
      <c r="O155" s="39"/>
      <c r="P155" s="40">
        <f t="shared" si="8"/>
        <v>0</v>
      </c>
      <c r="Q155" s="40">
        <f t="shared" si="9"/>
        <v>0</v>
      </c>
      <c r="R155" s="40">
        <f t="shared" si="10"/>
        <v>0</v>
      </c>
      <c r="S155" s="41"/>
      <c r="T155" s="41"/>
      <c r="U155" s="41"/>
      <c r="V155" s="41"/>
      <c r="W155" s="41"/>
      <c r="X155" s="41"/>
      <c r="Y155" s="33">
        <f t="shared" si="11"/>
        <v>0</v>
      </c>
    </row>
    <row r="156" spans="4:25" x14ac:dyDescent="0.25">
      <c r="D156" s="69"/>
      <c r="E156" s="34"/>
      <c r="F156" s="34"/>
      <c r="H156" s="35"/>
      <c r="I156" s="36"/>
      <c r="J156" s="37"/>
      <c r="K156" s="38"/>
      <c r="L156" s="29"/>
      <c r="M156" s="29"/>
      <c r="N156" s="29"/>
      <c r="O156" s="39"/>
      <c r="P156" s="40">
        <f t="shared" si="8"/>
        <v>0</v>
      </c>
      <c r="Q156" s="40">
        <f t="shared" si="9"/>
        <v>0</v>
      </c>
      <c r="R156" s="40">
        <f t="shared" si="10"/>
        <v>0</v>
      </c>
      <c r="S156" s="41"/>
      <c r="T156" s="41"/>
      <c r="U156" s="41"/>
      <c r="V156" s="41"/>
      <c r="W156" s="41"/>
      <c r="X156" s="41"/>
      <c r="Y156" s="33">
        <f t="shared" si="11"/>
        <v>0</v>
      </c>
    </row>
    <row r="157" spans="4:25" x14ac:dyDescent="0.25">
      <c r="D157" s="69"/>
      <c r="E157" s="34"/>
      <c r="F157" s="34"/>
      <c r="H157" s="35"/>
      <c r="I157" s="36"/>
      <c r="J157" s="37"/>
      <c r="K157" s="38"/>
      <c r="L157" s="29"/>
      <c r="M157" s="29"/>
      <c r="N157" s="29"/>
      <c r="O157" s="39"/>
      <c r="P157" s="40">
        <f t="shared" si="8"/>
        <v>0</v>
      </c>
      <c r="Q157" s="40">
        <f t="shared" si="9"/>
        <v>0</v>
      </c>
      <c r="R157" s="40">
        <f t="shared" si="10"/>
        <v>0</v>
      </c>
      <c r="S157" s="41"/>
      <c r="T157" s="41"/>
      <c r="U157" s="41"/>
      <c r="V157" s="41"/>
      <c r="W157" s="41"/>
      <c r="X157" s="41"/>
      <c r="Y157" s="33">
        <f t="shared" si="11"/>
        <v>0</v>
      </c>
    </row>
    <row r="158" spans="4:25" x14ac:dyDescent="0.25">
      <c r="D158" s="69"/>
      <c r="E158" s="34"/>
      <c r="F158" s="34"/>
      <c r="H158" s="35"/>
      <c r="I158" s="36"/>
      <c r="J158" s="37"/>
      <c r="K158" s="38"/>
      <c r="L158" s="29"/>
      <c r="M158" s="29"/>
      <c r="N158" s="29"/>
      <c r="O158" s="39"/>
      <c r="P158" s="40">
        <f t="shared" si="8"/>
        <v>0</v>
      </c>
      <c r="Q158" s="40">
        <f t="shared" si="9"/>
        <v>0</v>
      </c>
      <c r="R158" s="40">
        <f t="shared" si="10"/>
        <v>0</v>
      </c>
      <c r="S158" s="41"/>
      <c r="T158" s="41"/>
      <c r="U158" s="41"/>
      <c r="V158" s="41"/>
      <c r="W158" s="41"/>
      <c r="X158" s="41"/>
      <c r="Y158" s="33">
        <f t="shared" si="11"/>
        <v>0</v>
      </c>
    </row>
    <row r="159" spans="4:25" x14ac:dyDescent="0.25">
      <c r="D159" s="69"/>
      <c r="E159" s="34"/>
      <c r="F159" s="34"/>
      <c r="H159" s="35"/>
      <c r="I159" s="36"/>
      <c r="J159" s="37"/>
      <c r="K159" s="38"/>
      <c r="L159" s="29"/>
      <c r="M159" s="29"/>
      <c r="N159" s="29"/>
      <c r="O159" s="39"/>
      <c r="P159" s="40">
        <f t="shared" si="8"/>
        <v>0</v>
      </c>
      <c r="Q159" s="40">
        <f t="shared" si="9"/>
        <v>0</v>
      </c>
      <c r="R159" s="40">
        <f t="shared" si="10"/>
        <v>0</v>
      </c>
      <c r="S159" s="41"/>
      <c r="T159" s="41"/>
      <c r="U159" s="41"/>
      <c r="V159" s="41"/>
      <c r="W159" s="41"/>
      <c r="X159" s="41"/>
      <c r="Y159" s="33">
        <f t="shared" si="11"/>
        <v>0</v>
      </c>
    </row>
    <row r="160" spans="4:25" x14ac:dyDescent="0.25">
      <c r="D160" s="69"/>
      <c r="E160" s="34"/>
      <c r="F160" s="34"/>
      <c r="H160" s="35"/>
      <c r="I160" s="36"/>
      <c r="J160" s="37"/>
      <c r="K160" s="38"/>
      <c r="L160" s="29"/>
      <c r="M160" s="29"/>
      <c r="N160" s="29"/>
      <c r="O160" s="39"/>
      <c r="P160" s="40">
        <f t="shared" si="8"/>
        <v>0</v>
      </c>
      <c r="Q160" s="40">
        <f t="shared" si="9"/>
        <v>0</v>
      </c>
      <c r="R160" s="40">
        <f t="shared" si="10"/>
        <v>0</v>
      </c>
      <c r="S160" s="41"/>
      <c r="T160" s="41"/>
      <c r="U160" s="41"/>
      <c r="V160" s="41"/>
      <c r="W160" s="41"/>
      <c r="X160" s="41"/>
      <c r="Y160" s="33">
        <f t="shared" si="11"/>
        <v>0</v>
      </c>
    </row>
    <row r="161" spans="4:25" x14ac:dyDescent="0.25">
      <c r="D161" s="69"/>
      <c r="E161" s="34"/>
      <c r="F161" s="34"/>
      <c r="H161" s="35"/>
      <c r="I161" s="36"/>
      <c r="J161" s="37"/>
      <c r="K161" s="38"/>
      <c r="L161" s="29"/>
      <c r="M161" s="29"/>
      <c r="N161" s="29"/>
      <c r="O161" s="39"/>
      <c r="P161" s="40">
        <f t="shared" si="8"/>
        <v>0</v>
      </c>
      <c r="Q161" s="40">
        <f t="shared" si="9"/>
        <v>0</v>
      </c>
      <c r="R161" s="40">
        <f t="shared" si="10"/>
        <v>0</v>
      </c>
      <c r="S161" s="41"/>
      <c r="T161" s="41"/>
      <c r="U161" s="41"/>
      <c r="V161" s="41"/>
      <c r="W161" s="41"/>
      <c r="X161" s="41"/>
      <c r="Y161" s="33">
        <f t="shared" si="11"/>
        <v>0</v>
      </c>
    </row>
    <row r="162" spans="4:25" x14ac:dyDescent="0.25">
      <c r="D162" s="69"/>
      <c r="E162" s="34"/>
      <c r="F162" s="34"/>
      <c r="H162" s="35"/>
      <c r="I162" s="36"/>
      <c r="J162" s="37"/>
      <c r="K162" s="38"/>
      <c r="L162" s="29"/>
      <c r="M162" s="29"/>
      <c r="N162" s="29"/>
      <c r="O162" s="39"/>
      <c r="P162" s="40">
        <f t="shared" si="8"/>
        <v>0</v>
      </c>
      <c r="Q162" s="40">
        <f t="shared" si="9"/>
        <v>0</v>
      </c>
      <c r="R162" s="40">
        <f t="shared" si="10"/>
        <v>0</v>
      </c>
      <c r="S162" s="41"/>
      <c r="T162" s="41"/>
      <c r="U162" s="41"/>
      <c r="V162" s="41"/>
      <c r="W162" s="41"/>
      <c r="X162" s="41"/>
      <c r="Y162" s="33">
        <f t="shared" si="11"/>
        <v>0</v>
      </c>
    </row>
    <row r="163" spans="4:25" x14ac:dyDescent="0.25">
      <c r="D163" s="69"/>
      <c r="E163" s="34"/>
      <c r="F163" s="34"/>
      <c r="H163" s="35"/>
      <c r="I163" s="36"/>
      <c r="J163" s="37"/>
      <c r="K163" s="38"/>
      <c r="L163" s="29"/>
      <c r="M163" s="29"/>
      <c r="N163" s="29"/>
      <c r="O163" s="39"/>
      <c r="P163" s="40">
        <f t="shared" si="8"/>
        <v>0</v>
      </c>
      <c r="Q163" s="40">
        <f t="shared" si="9"/>
        <v>0</v>
      </c>
      <c r="R163" s="40">
        <f t="shared" si="10"/>
        <v>0</v>
      </c>
      <c r="S163" s="41"/>
      <c r="T163" s="41"/>
      <c r="U163" s="41"/>
      <c r="V163" s="41"/>
      <c r="W163" s="41"/>
      <c r="X163" s="41"/>
      <c r="Y163" s="33">
        <f t="shared" si="11"/>
        <v>0</v>
      </c>
    </row>
    <row r="164" spans="4:25" x14ac:dyDescent="0.25">
      <c r="D164" s="69"/>
      <c r="E164" s="34"/>
      <c r="F164" s="34"/>
      <c r="H164" s="35"/>
      <c r="I164" s="36"/>
      <c r="J164" s="37"/>
      <c r="K164" s="38"/>
      <c r="L164" s="29"/>
      <c r="M164" s="29"/>
      <c r="N164" s="29"/>
      <c r="O164" s="39"/>
      <c r="P164" s="40">
        <f t="shared" si="8"/>
        <v>0</v>
      </c>
      <c r="Q164" s="40">
        <f t="shared" si="9"/>
        <v>0</v>
      </c>
      <c r="R164" s="40">
        <f t="shared" si="10"/>
        <v>0</v>
      </c>
      <c r="S164" s="41"/>
      <c r="T164" s="41"/>
      <c r="U164" s="41"/>
      <c r="V164" s="41"/>
      <c r="W164" s="41"/>
      <c r="X164" s="41"/>
      <c r="Y164" s="33">
        <f t="shared" si="11"/>
        <v>0</v>
      </c>
    </row>
    <row r="165" spans="4:25" x14ac:dyDescent="0.25">
      <c r="D165" s="69"/>
      <c r="E165" s="34"/>
      <c r="F165" s="34"/>
      <c r="H165" s="35"/>
      <c r="I165" s="36"/>
      <c r="J165" s="37"/>
      <c r="K165" s="38"/>
      <c r="L165" s="29"/>
      <c r="M165" s="29"/>
      <c r="N165" s="29"/>
      <c r="O165" s="39"/>
      <c r="P165" s="40">
        <f t="shared" si="8"/>
        <v>0</v>
      </c>
      <c r="Q165" s="40">
        <f t="shared" si="9"/>
        <v>0</v>
      </c>
      <c r="R165" s="40">
        <f t="shared" si="10"/>
        <v>0</v>
      </c>
      <c r="S165" s="41"/>
      <c r="T165" s="41"/>
      <c r="U165" s="41"/>
      <c r="V165" s="41"/>
      <c r="W165" s="41"/>
      <c r="X165" s="41"/>
      <c r="Y165" s="33">
        <f t="shared" si="11"/>
        <v>0</v>
      </c>
    </row>
    <row r="166" spans="4:25" x14ac:dyDescent="0.25">
      <c r="D166" s="69"/>
      <c r="E166" s="34"/>
      <c r="F166" s="34"/>
      <c r="H166" s="35"/>
      <c r="I166" s="36"/>
      <c r="J166" s="37"/>
      <c r="K166" s="38"/>
      <c r="L166" s="29"/>
      <c r="M166" s="29"/>
      <c r="N166" s="29"/>
      <c r="O166" s="39"/>
      <c r="P166" s="40">
        <f t="shared" si="8"/>
        <v>0</v>
      </c>
      <c r="Q166" s="40">
        <f t="shared" si="9"/>
        <v>0</v>
      </c>
      <c r="R166" s="40">
        <f t="shared" si="10"/>
        <v>0</v>
      </c>
      <c r="S166" s="41"/>
      <c r="T166" s="41"/>
      <c r="U166" s="41"/>
      <c r="V166" s="41"/>
      <c r="W166" s="41"/>
      <c r="X166" s="41"/>
      <c r="Y166" s="33">
        <f t="shared" si="11"/>
        <v>0</v>
      </c>
    </row>
    <row r="167" spans="4:25" x14ac:dyDescent="0.25">
      <c r="D167" s="69"/>
      <c r="E167" s="34"/>
      <c r="F167" s="34"/>
      <c r="H167" s="35"/>
      <c r="I167" s="36"/>
      <c r="J167" s="37"/>
      <c r="K167" s="38"/>
      <c r="L167" s="29"/>
      <c r="M167" s="29"/>
      <c r="N167" s="29"/>
      <c r="O167" s="39"/>
      <c r="P167" s="40">
        <f t="shared" si="8"/>
        <v>0</v>
      </c>
      <c r="Q167" s="40">
        <f t="shared" si="9"/>
        <v>0</v>
      </c>
      <c r="R167" s="40">
        <f t="shared" si="10"/>
        <v>0</v>
      </c>
      <c r="S167" s="41"/>
      <c r="T167" s="41"/>
      <c r="U167" s="41"/>
      <c r="V167" s="41"/>
      <c r="W167" s="41"/>
      <c r="X167" s="41"/>
      <c r="Y167" s="33">
        <f t="shared" si="11"/>
        <v>0</v>
      </c>
    </row>
    <row r="168" spans="4:25" x14ac:dyDescent="0.25">
      <c r="D168" s="69"/>
      <c r="E168" s="34"/>
      <c r="F168" s="34"/>
      <c r="H168" s="35"/>
      <c r="I168" s="36"/>
      <c r="J168" s="37"/>
      <c r="K168" s="38"/>
      <c r="L168" s="29"/>
      <c r="M168" s="29"/>
      <c r="N168" s="29"/>
      <c r="O168" s="39"/>
      <c r="P168" s="40">
        <f t="shared" si="8"/>
        <v>0</v>
      </c>
      <c r="Q168" s="40">
        <f t="shared" si="9"/>
        <v>0</v>
      </c>
      <c r="R168" s="40">
        <f t="shared" si="10"/>
        <v>0</v>
      </c>
      <c r="S168" s="41"/>
      <c r="T168" s="41"/>
      <c r="U168" s="41"/>
      <c r="V168" s="41"/>
      <c r="W168" s="41"/>
      <c r="X168" s="41"/>
      <c r="Y168" s="33">
        <f t="shared" si="11"/>
        <v>0</v>
      </c>
    </row>
    <row r="169" spans="4:25" x14ac:dyDescent="0.25">
      <c r="D169" s="69"/>
      <c r="E169" s="34"/>
      <c r="F169" s="34"/>
      <c r="H169" s="35"/>
      <c r="I169" s="36"/>
      <c r="J169" s="37"/>
      <c r="K169" s="38"/>
      <c r="L169" s="29"/>
      <c r="M169" s="29"/>
      <c r="N169" s="29"/>
      <c r="O169" s="39"/>
      <c r="P169" s="40">
        <f t="shared" si="8"/>
        <v>0</v>
      </c>
      <c r="Q169" s="40">
        <f t="shared" si="9"/>
        <v>0</v>
      </c>
      <c r="R169" s="40">
        <f t="shared" si="10"/>
        <v>0</v>
      </c>
      <c r="S169" s="41"/>
      <c r="T169" s="41"/>
      <c r="U169" s="41"/>
      <c r="V169" s="41"/>
      <c r="W169" s="41"/>
      <c r="X169" s="41"/>
      <c r="Y169" s="33">
        <f t="shared" si="11"/>
        <v>0</v>
      </c>
    </row>
    <row r="170" spans="4:25" x14ac:dyDescent="0.25">
      <c r="D170" s="69"/>
      <c r="E170" s="34"/>
      <c r="F170" s="34"/>
      <c r="H170" s="35"/>
      <c r="I170" s="36"/>
      <c r="J170" s="37"/>
      <c r="K170" s="38"/>
      <c r="L170" s="29"/>
      <c r="M170" s="29"/>
      <c r="N170" s="29"/>
      <c r="O170" s="39"/>
      <c r="P170" s="40">
        <f t="shared" si="8"/>
        <v>0</v>
      </c>
      <c r="Q170" s="40">
        <f t="shared" si="9"/>
        <v>0</v>
      </c>
      <c r="R170" s="40">
        <f t="shared" si="10"/>
        <v>0</v>
      </c>
      <c r="S170" s="41"/>
      <c r="T170" s="41"/>
      <c r="U170" s="41"/>
      <c r="V170" s="41"/>
      <c r="W170" s="41"/>
      <c r="X170" s="41"/>
      <c r="Y170" s="33">
        <f t="shared" si="11"/>
        <v>0</v>
      </c>
    </row>
    <row r="171" spans="4:25" x14ac:dyDescent="0.25">
      <c r="D171" s="69"/>
      <c r="E171" s="34"/>
      <c r="F171" s="34"/>
      <c r="H171" s="35"/>
      <c r="I171" s="36"/>
      <c r="J171" s="37"/>
      <c r="K171" s="38"/>
      <c r="L171" s="29"/>
      <c r="M171" s="29"/>
      <c r="N171" s="29"/>
      <c r="O171" s="39"/>
      <c r="P171" s="40">
        <f t="shared" si="8"/>
        <v>0</v>
      </c>
      <c r="Q171" s="40">
        <f t="shared" si="9"/>
        <v>0</v>
      </c>
      <c r="R171" s="40">
        <f t="shared" si="10"/>
        <v>0</v>
      </c>
      <c r="S171" s="41"/>
      <c r="T171" s="41"/>
      <c r="U171" s="41"/>
      <c r="V171" s="41"/>
      <c r="W171" s="41"/>
      <c r="X171" s="41"/>
      <c r="Y171" s="33">
        <f t="shared" si="11"/>
        <v>0</v>
      </c>
    </row>
    <row r="172" spans="4:25" x14ac:dyDescent="0.25">
      <c r="D172" s="69"/>
      <c r="E172" s="34"/>
      <c r="F172" s="34"/>
      <c r="H172" s="35"/>
      <c r="I172" s="36"/>
      <c r="J172" s="37"/>
      <c r="K172" s="38"/>
      <c r="L172" s="29"/>
      <c r="M172" s="29"/>
      <c r="N172" s="29"/>
      <c r="O172" s="39"/>
      <c r="P172" s="40">
        <f t="shared" si="8"/>
        <v>0</v>
      </c>
      <c r="Q172" s="40">
        <f t="shared" si="9"/>
        <v>0</v>
      </c>
      <c r="R172" s="40">
        <f t="shared" si="10"/>
        <v>0</v>
      </c>
      <c r="S172" s="41"/>
      <c r="T172" s="41"/>
      <c r="U172" s="41"/>
      <c r="V172" s="41"/>
      <c r="W172" s="41"/>
      <c r="X172" s="41"/>
      <c r="Y172" s="33">
        <f t="shared" si="11"/>
        <v>0</v>
      </c>
    </row>
    <row r="173" spans="4:25" x14ac:dyDescent="0.25">
      <c r="D173" s="69"/>
      <c r="E173" s="34"/>
      <c r="F173" s="34"/>
      <c r="H173" s="35"/>
      <c r="I173" s="36"/>
      <c r="J173" s="37"/>
      <c r="K173" s="38"/>
      <c r="L173" s="29"/>
      <c r="M173" s="29"/>
      <c r="N173" s="29"/>
      <c r="O173" s="39"/>
      <c r="P173" s="40">
        <f t="shared" si="8"/>
        <v>0</v>
      </c>
      <c r="Q173" s="40">
        <f t="shared" si="9"/>
        <v>0</v>
      </c>
      <c r="R173" s="40">
        <f t="shared" si="10"/>
        <v>0</v>
      </c>
      <c r="S173" s="41"/>
      <c r="T173" s="41"/>
      <c r="U173" s="41"/>
      <c r="V173" s="41"/>
      <c r="W173" s="41"/>
      <c r="X173" s="41"/>
      <c r="Y173" s="33">
        <f t="shared" si="11"/>
        <v>0</v>
      </c>
    </row>
    <row r="174" spans="4:25" x14ac:dyDescent="0.25">
      <c r="D174" s="69"/>
      <c r="E174" s="34"/>
      <c r="F174" s="34"/>
      <c r="H174" s="35"/>
      <c r="I174" s="36"/>
      <c r="J174" s="37"/>
      <c r="K174" s="38"/>
      <c r="L174" s="29"/>
      <c r="M174" s="29"/>
      <c r="N174" s="29"/>
      <c r="O174" s="39"/>
      <c r="P174" s="40">
        <f t="shared" si="8"/>
        <v>0</v>
      </c>
      <c r="Q174" s="40">
        <f t="shared" si="9"/>
        <v>0</v>
      </c>
      <c r="R174" s="40">
        <f t="shared" si="10"/>
        <v>0</v>
      </c>
      <c r="S174" s="41"/>
      <c r="T174" s="41"/>
      <c r="U174" s="41"/>
      <c r="V174" s="41"/>
      <c r="W174" s="41"/>
      <c r="X174" s="41"/>
      <c r="Y174" s="33">
        <f t="shared" si="11"/>
        <v>0</v>
      </c>
    </row>
    <row r="175" spans="4:25" x14ac:dyDescent="0.25">
      <c r="D175" s="69"/>
      <c r="E175" s="34"/>
      <c r="F175" s="34"/>
      <c r="H175" s="35"/>
      <c r="I175" s="36"/>
      <c r="J175" s="37"/>
      <c r="K175" s="38"/>
      <c r="L175" s="29"/>
      <c r="M175" s="29"/>
      <c r="N175" s="29"/>
      <c r="O175" s="39"/>
      <c r="P175" s="40">
        <f t="shared" si="8"/>
        <v>0</v>
      </c>
      <c r="Q175" s="40">
        <f t="shared" si="9"/>
        <v>0</v>
      </c>
      <c r="R175" s="40">
        <f t="shared" si="10"/>
        <v>0</v>
      </c>
      <c r="S175" s="41"/>
      <c r="T175" s="41"/>
      <c r="U175" s="41"/>
      <c r="V175" s="41"/>
      <c r="W175" s="41"/>
      <c r="X175" s="41"/>
      <c r="Y175" s="33">
        <f t="shared" si="11"/>
        <v>0</v>
      </c>
    </row>
    <row r="176" spans="4:25" x14ac:dyDescent="0.25">
      <c r="D176" s="69"/>
      <c r="E176" s="34"/>
      <c r="F176" s="34"/>
      <c r="H176" s="35"/>
      <c r="I176" s="36"/>
      <c r="J176" s="37"/>
      <c r="K176" s="38"/>
      <c r="L176" s="29"/>
      <c r="M176" s="29"/>
      <c r="N176" s="29"/>
      <c r="O176" s="39"/>
      <c r="P176" s="40">
        <f t="shared" si="8"/>
        <v>0</v>
      </c>
      <c r="Q176" s="40">
        <f t="shared" si="9"/>
        <v>0</v>
      </c>
      <c r="R176" s="40">
        <f t="shared" si="10"/>
        <v>0</v>
      </c>
      <c r="S176" s="41"/>
      <c r="T176" s="41"/>
      <c r="U176" s="41"/>
      <c r="V176" s="41"/>
      <c r="W176" s="41"/>
      <c r="X176" s="41"/>
      <c r="Y176" s="33">
        <f t="shared" si="11"/>
        <v>0</v>
      </c>
    </row>
    <row r="177" spans="4:25" x14ac:dyDescent="0.25">
      <c r="D177" s="69"/>
      <c r="E177" s="34"/>
      <c r="F177" s="34"/>
      <c r="H177" s="35"/>
      <c r="I177" s="36"/>
      <c r="J177" s="37"/>
      <c r="K177" s="38"/>
      <c r="L177" s="29"/>
      <c r="M177" s="29"/>
      <c r="N177" s="29"/>
      <c r="O177" s="39"/>
      <c r="P177" s="40">
        <f t="shared" si="8"/>
        <v>0</v>
      </c>
      <c r="Q177" s="40">
        <f t="shared" si="9"/>
        <v>0</v>
      </c>
      <c r="R177" s="40">
        <f t="shared" si="10"/>
        <v>0</v>
      </c>
      <c r="S177" s="41"/>
      <c r="T177" s="41"/>
      <c r="U177" s="41"/>
      <c r="V177" s="41"/>
      <c r="W177" s="41"/>
      <c r="X177" s="41"/>
      <c r="Y177" s="33">
        <f t="shared" si="11"/>
        <v>0</v>
      </c>
    </row>
    <row r="178" spans="4:25" x14ac:dyDescent="0.25">
      <c r="D178" s="69"/>
      <c r="E178" s="34"/>
      <c r="F178" s="34"/>
      <c r="H178" s="35"/>
      <c r="I178" s="36"/>
      <c r="J178" s="37"/>
      <c r="K178" s="38"/>
      <c r="L178" s="29"/>
      <c r="M178" s="29"/>
      <c r="N178" s="29"/>
      <c r="O178" s="39"/>
      <c r="P178" s="40">
        <f t="shared" si="8"/>
        <v>0</v>
      </c>
      <c r="Q178" s="40">
        <f t="shared" si="9"/>
        <v>0</v>
      </c>
      <c r="R178" s="40">
        <f t="shared" si="10"/>
        <v>0</v>
      </c>
      <c r="S178" s="41"/>
      <c r="T178" s="41"/>
      <c r="U178" s="41"/>
      <c r="V178" s="41"/>
      <c r="W178" s="41"/>
      <c r="X178" s="41"/>
      <c r="Y178" s="33">
        <f t="shared" si="11"/>
        <v>0</v>
      </c>
    </row>
    <row r="179" spans="4:25" x14ac:dyDescent="0.25">
      <c r="D179" s="69"/>
      <c r="E179" s="34"/>
      <c r="F179" s="34"/>
      <c r="H179" s="35"/>
      <c r="I179" s="36"/>
      <c r="J179" s="37"/>
      <c r="K179" s="38"/>
      <c r="L179" s="29"/>
      <c r="M179" s="29"/>
      <c r="N179" s="29"/>
      <c r="O179" s="39"/>
      <c r="P179" s="40">
        <f t="shared" si="8"/>
        <v>0</v>
      </c>
      <c r="Q179" s="40">
        <f t="shared" si="9"/>
        <v>0</v>
      </c>
      <c r="R179" s="40">
        <f t="shared" si="10"/>
        <v>0</v>
      </c>
      <c r="S179" s="41"/>
      <c r="T179" s="41"/>
      <c r="U179" s="41"/>
      <c r="V179" s="41"/>
      <c r="W179" s="41"/>
      <c r="X179" s="41"/>
      <c r="Y179" s="33">
        <f t="shared" si="11"/>
        <v>0</v>
      </c>
    </row>
    <row r="180" spans="4:25" x14ac:dyDescent="0.25">
      <c r="D180" s="69"/>
      <c r="E180" s="34"/>
      <c r="F180" s="34"/>
      <c r="H180" s="35"/>
      <c r="I180" s="36"/>
      <c r="J180" s="37"/>
      <c r="K180" s="38"/>
      <c r="L180" s="29"/>
      <c r="M180" s="29"/>
      <c r="N180" s="29"/>
      <c r="O180" s="39"/>
      <c r="P180" s="40">
        <f t="shared" si="8"/>
        <v>0</v>
      </c>
      <c r="Q180" s="40">
        <f t="shared" si="9"/>
        <v>0</v>
      </c>
      <c r="R180" s="40">
        <f t="shared" si="10"/>
        <v>0</v>
      </c>
      <c r="S180" s="41"/>
      <c r="T180" s="41"/>
      <c r="U180" s="41"/>
      <c r="V180" s="41"/>
      <c r="W180" s="41"/>
      <c r="X180" s="41"/>
      <c r="Y180" s="33">
        <f t="shared" si="11"/>
        <v>0</v>
      </c>
    </row>
    <row r="181" spans="4:25" x14ac:dyDescent="0.25">
      <c r="D181" s="69"/>
      <c r="E181" s="34"/>
      <c r="F181" s="34"/>
      <c r="H181" s="35"/>
      <c r="I181" s="36"/>
      <c r="J181" s="37"/>
      <c r="K181" s="38"/>
      <c r="L181" s="29"/>
      <c r="M181" s="29"/>
      <c r="N181" s="29"/>
      <c r="O181" s="39"/>
      <c r="P181" s="40">
        <f t="shared" si="8"/>
        <v>0</v>
      </c>
      <c r="Q181" s="40">
        <f t="shared" si="9"/>
        <v>0</v>
      </c>
      <c r="R181" s="40">
        <f t="shared" si="10"/>
        <v>0</v>
      </c>
      <c r="S181" s="41"/>
      <c r="T181" s="41"/>
      <c r="U181" s="41"/>
      <c r="V181" s="41"/>
      <c r="W181" s="41"/>
      <c r="X181" s="41"/>
      <c r="Y181" s="33">
        <f t="shared" si="11"/>
        <v>0</v>
      </c>
    </row>
    <row r="182" spans="4:25" x14ac:dyDescent="0.25">
      <c r="D182" s="69"/>
      <c r="E182" s="34"/>
      <c r="F182" s="34"/>
      <c r="H182" s="35"/>
      <c r="I182" s="36"/>
      <c r="J182" s="37"/>
      <c r="K182" s="38"/>
      <c r="L182" s="29"/>
      <c r="M182" s="29"/>
      <c r="N182" s="29"/>
      <c r="O182" s="39"/>
      <c r="P182" s="40">
        <f t="shared" si="8"/>
        <v>0</v>
      </c>
      <c r="Q182" s="40">
        <f t="shared" si="9"/>
        <v>0</v>
      </c>
      <c r="R182" s="40">
        <f t="shared" si="10"/>
        <v>0</v>
      </c>
      <c r="S182" s="41"/>
      <c r="T182" s="41"/>
      <c r="U182" s="41"/>
      <c r="V182" s="41"/>
      <c r="W182" s="41"/>
      <c r="X182" s="41"/>
      <c r="Y182" s="33">
        <f t="shared" si="11"/>
        <v>0</v>
      </c>
    </row>
    <row r="183" spans="4:25" x14ac:dyDescent="0.25">
      <c r="D183" s="69"/>
      <c r="E183" s="34"/>
      <c r="F183" s="34"/>
      <c r="H183" s="35"/>
      <c r="I183" s="36"/>
      <c r="J183" s="37"/>
      <c r="K183" s="38"/>
      <c r="L183" s="29"/>
      <c r="M183" s="29"/>
      <c r="N183" s="29"/>
      <c r="O183" s="39"/>
      <c r="P183" s="40">
        <f t="shared" si="8"/>
        <v>0</v>
      </c>
      <c r="Q183" s="40">
        <f t="shared" si="9"/>
        <v>0</v>
      </c>
      <c r="R183" s="40">
        <f t="shared" si="10"/>
        <v>0</v>
      </c>
      <c r="S183" s="41"/>
      <c r="T183" s="41"/>
      <c r="U183" s="41"/>
      <c r="V183" s="41"/>
      <c r="W183" s="41"/>
      <c r="X183" s="41"/>
      <c r="Y183" s="33">
        <f t="shared" si="11"/>
        <v>0</v>
      </c>
    </row>
    <row r="184" spans="4:25" x14ac:dyDescent="0.25">
      <c r="D184" s="69"/>
      <c r="E184" s="34"/>
      <c r="F184" s="34"/>
      <c r="H184" s="35"/>
      <c r="I184" s="36"/>
      <c r="J184" s="37"/>
      <c r="K184" s="38"/>
      <c r="L184" s="29"/>
      <c r="M184" s="29"/>
      <c r="N184" s="29"/>
      <c r="O184" s="39"/>
      <c r="P184" s="40">
        <f t="shared" si="8"/>
        <v>0</v>
      </c>
      <c r="Q184" s="40">
        <f t="shared" si="9"/>
        <v>0</v>
      </c>
      <c r="R184" s="40">
        <f t="shared" si="10"/>
        <v>0</v>
      </c>
      <c r="S184" s="41"/>
      <c r="T184" s="41"/>
      <c r="U184" s="41"/>
      <c r="V184" s="41"/>
      <c r="W184" s="41"/>
      <c r="X184" s="41"/>
      <c r="Y184" s="33">
        <f t="shared" si="11"/>
        <v>0</v>
      </c>
    </row>
    <row r="185" spans="4:25" x14ac:dyDescent="0.25">
      <c r="D185" s="69"/>
      <c r="E185" s="34"/>
      <c r="F185" s="34"/>
      <c r="H185" s="35"/>
      <c r="I185" s="36"/>
      <c r="J185" s="37"/>
      <c r="K185" s="38"/>
      <c r="L185" s="29"/>
      <c r="M185" s="29"/>
      <c r="N185" s="29"/>
      <c r="O185" s="39"/>
      <c r="P185" s="40">
        <f t="shared" si="8"/>
        <v>0</v>
      </c>
      <c r="Q185" s="40">
        <f t="shared" si="9"/>
        <v>0</v>
      </c>
      <c r="R185" s="40">
        <f t="shared" si="10"/>
        <v>0</v>
      </c>
      <c r="S185" s="41"/>
      <c r="T185" s="41"/>
      <c r="U185" s="41"/>
      <c r="V185" s="41"/>
      <c r="W185" s="41"/>
      <c r="X185" s="41"/>
      <c r="Y185" s="33">
        <f t="shared" si="11"/>
        <v>0</v>
      </c>
    </row>
    <row r="186" spans="4:25" x14ac:dyDescent="0.25">
      <c r="D186" s="69"/>
      <c r="E186" s="34"/>
      <c r="F186" s="34"/>
      <c r="H186" s="35"/>
      <c r="I186" s="36"/>
      <c r="J186" s="37"/>
      <c r="K186" s="38"/>
      <c r="L186" s="29"/>
      <c r="M186" s="29"/>
      <c r="N186" s="29"/>
      <c r="O186" s="39"/>
      <c r="P186" s="40">
        <f t="shared" si="8"/>
        <v>0</v>
      </c>
      <c r="Q186" s="40">
        <f t="shared" si="9"/>
        <v>0</v>
      </c>
      <c r="R186" s="40">
        <f t="shared" si="10"/>
        <v>0</v>
      </c>
      <c r="S186" s="41"/>
      <c r="T186" s="41"/>
      <c r="U186" s="41"/>
      <c r="V186" s="41"/>
      <c r="W186" s="41"/>
      <c r="X186" s="41"/>
      <c r="Y186" s="33">
        <f t="shared" si="11"/>
        <v>0</v>
      </c>
    </row>
    <row r="187" spans="4:25" x14ac:dyDescent="0.25">
      <c r="D187" s="69"/>
      <c r="E187" s="34"/>
      <c r="F187" s="34"/>
      <c r="H187" s="35"/>
      <c r="I187" s="36"/>
      <c r="J187" s="37"/>
      <c r="K187" s="38"/>
      <c r="L187" s="29"/>
      <c r="M187" s="29"/>
      <c r="N187" s="29"/>
      <c r="O187" s="39"/>
      <c r="P187" s="40">
        <f t="shared" si="8"/>
        <v>0</v>
      </c>
      <c r="Q187" s="40">
        <f t="shared" si="9"/>
        <v>0</v>
      </c>
      <c r="R187" s="40">
        <f t="shared" si="10"/>
        <v>0</v>
      </c>
      <c r="S187" s="41"/>
      <c r="T187" s="41"/>
      <c r="U187" s="41"/>
      <c r="V187" s="41"/>
      <c r="W187" s="41"/>
      <c r="X187" s="41"/>
      <c r="Y187" s="33">
        <f t="shared" si="11"/>
        <v>0</v>
      </c>
    </row>
    <row r="188" spans="4:25" x14ac:dyDescent="0.25">
      <c r="D188" s="69"/>
      <c r="E188" s="34"/>
      <c r="F188" s="34"/>
      <c r="H188" s="35"/>
      <c r="I188" s="36"/>
      <c r="J188" s="37"/>
      <c r="K188" s="38"/>
      <c r="L188" s="29"/>
      <c r="M188" s="29"/>
      <c r="N188" s="29"/>
      <c r="O188" s="39"/>
      <c r="P188" s="40">
        <f t="shared" si="8"/>
        <v>0</v>
      </c>
      <c r="Q188" s="40">
        <f t="shared" si="9"/>
        <v>0</v>
      </c>
      <c r="R188" s="40">
        <f t="shared" si="10"/>
        <v>0</v>
      </c>
      <c r="S188" s="41"/>
      <c r="T188" s="41"/>
      <c r="U188" s="41"/>
      <c r="V188" s="41"/>
      <c r="W188" s="41"/>
      <c r="X188" s="41"/>
      <c r="Y188" s="33">
        <f t="shared" si="11"/>
        <v>0</v>
      </c>
    </row>
    <row r="189" spans="4:25" x14ac:dyDescent="0.25">
      <c r="D189" s="69"/>
      <c r="E189" s="34"/>
      <c r="F189" s="34"/>
      <c r="H189" s="35"/>
      <c r="I189" s="36"/>
      <c r="J189" s="37"/>
      <c r="K189" s="38"/>
      <c r="L189" s="29"/>
      <c r="M189" s="29"/>
      <c r="N189" s="29"/>
      <c r="O189" s="39"/>
      <c r="P189" s="40">
        <f t="shared" si="8"/>
        <v>0</v>
      </c>
      <c r="Q189" s="40">
        <f t="shared" si="9"/>
        <v>0</v>
      </c>
      <c r="R189" s="40">
        <f t="shared" si="10"/>
        <v>0</v>
      </c>
      <c r="S189" s="41"/>
      <c r="T189" s="41"/>
      <c r="U189" s="41"/>
      <c r="V189" s="41"/>
      <c r="W189" s="41"/>
      <c r="X189" s="41"/>
      <c r="Y189" s="33">
        <f t="shared" si="11"/>
        <v>0</v>
      </c>
    </row>
    <row r="190" spans="4:25" x14ac:dyDescent="0.25">
      <c r="D190" s="69"/>
      <c r="E190" s="34"/>
      <c r="F190" s="34"/>
      <c r="H190" s="35"/>
      <c r="I190" s="36"/>
      <c r="J190" s="37"/>
      <c r="K190" s="38"/>
      <c r="L190" s="29"/>
      <c r="M190" s="29"/>
      <c r="N190" s="29"/>
      <c r="O190" s="39"/>
      <c r="P190" s="40">
        <f t="shared" si="8"/>
        <v>0</v>
      </c>
      <c r="Q190" s="40">
        <f t="shared" si="9"/>
        <v>0</v>
      </c>
      <c r="R190" s="40">
        <f t="shared" si="10"/>
        <v>0</v>
      </c>
      <c r="S190" s="41"/>
      <c r="T190" s="41"/>
      <c r="U190" s="41"/>
      <c r="V190" s="41"/>
      <c r="W190" s="41"/>
      <c r="X190" s="41"/>
      <c r="Y190" s="33">
        <f t="shared" si="11"/>
        <v>0</v>
      </c>
    </row>
    <row r="191" spans="4:25" x14ac:dyDescent="0.25">
      <c r="D191" s="69"/>
      <c r="E191" s="34"/>
      <c r="F191" s="34"/>
      <c r="H191" s="35"/>
      <c r="I191" s="36"/>
      <c r="J191" s="37"/>
      <c r="K191" s="38"/>
      <c r="L191" s="29"/>
      <c r="M191" s="29"/>
      <c r="N191" s="29"/>
      <c r="O191" s="39"/>
      <c r="P191" s="40">
        <f t="shared" si="8"/>
        <v>0</v>
      </c>
      <c r="Q191" s="40">
        <f t="shared" si="9"/>
        <v>0</v>
      </c>
      <c r="R191" s="40">
        <f t="shared" si="10"/>
        <v>0</v>
      </c>
      <c r="S191" s="41"/>
      <c r="T191" s="41"/>
      <c r="U191" s="41"/>
      <c r="V191" s="41"/>
      <c r="W191" s="41"/>
      <c r="X191" s="41"/>
      <c r="Y191" s="33">
        <f t="shared" si="11"/>
        <v>0</v>
      </c>
    </row>
    <row r="192" spans="4:25" x14ac:dyDescent="0.25">
      <c r="D192" s="69"/>
      <c r="E192" s="34"/>
      <c r="F192" s="34"/>
      <c r="H192" s="35"/>
      <c r="I192" s="36"/>
      <c r="J192" s="37"/>
      <c r="K192" s="38"/>
      <c r="L192" s="29"/>
      <c r="M192" s="29"/>
      <c r="N192" s="29"/>
      <c r="O192" s="39"/>
      <c r="P192" s="40">
        <f t="shared" si="8"/>
        <v>0</v>
      </c>
      <c r="Q192" s="40">
        <f t="shared" si="9"/>
        <v>0</v>
      </c>
      <c r="R192" s="40">
        <f t="shared" si="10"/>
        <v>0</v>
      </c>
      <c r="S192" s="41"/>
      <c r="T192" s="41"/>
      <c r="U192" s="41"/>
      <c r="V192" s="41"/>
      <c r="W192" s="41"/>
      <c r="X192" s="41"/>
      <c r="Y192" s="33">
        <f t="shared" si="11"/>
        <v>0</v>
      </c>
    </row>
    <row r="193" spans="4:25" x14ac:dyDescent="0.25">
      <c r="D193" s="69"/>
      <c r="E193" s="34"/>
      <c r="F193" s="34"/>
      <c r="H193" s="35"/>
      <c r="I193" s="36"/>
      <c r="J193" s="37"/>
      <c r="K193" s="38"/>
      <c r="L193" s="29"/>
      <c r="M193" s="29"/>
      <c r="N193" s="29"/>
      <c r="O193" s="39"/>
      <c r="P193" s="40">
        <f t="shared" si="8"/>
        <v>0</v>
      </c>
      <c r="Q193" s="40">
        <f t="shared" si="9"/>
        <v>0</v>
      </c>
      <c r="R193" s="40">
        <f t="shared" si="10"/>
        <v>0</v>
      </c>
      <c r="S193" s="41"/>
      <c r="T193" s="41"/>
      <c r="U193" s="41"/>
      <c r="V193" s="41"/>
      <c r="W193" s="41"/>
      <c r="X193" s="41"/>
      <c r="Y193" s="33">
        <f t="shared" si="11"/>
        <v>0</v>
      </c>
    </row>
    <row r="194" spans="4:25" x14ac:dyDescent="0.25">
      <c r="D194" s="69"/>
      <c r="E194" s="34"/>
      <c r="F194" s="34"/>
      <c r="H194" s="35"/>
      <c r="I194" s="36"/>
      <c r="J194" s="37"/>
      <c r="K194" s="38"/>
      <c r="L194" s="29"/>
      <c r="M194" s="29"/>
      <c r="N194" s="29"/>
      <c r="O194" s="39"/>
      <c r="P194" s="40">
        <f t="shared" si="8"/>
        <v>0</v>
      </c>
      <c r="Q194" s="40">
        <f t="shared" si="9"/>
        <v>0</v>
      </c>
      <c r="R194" s="40">
        <f t="shared" si="10"/>
        <v>0</v>
      </c>
      <c r="S194" s="41"/>
      <c r="T194" s="41"/>
      <c r="U194" s="41"/>
      <c r="V194" s="41"/>
      <c r="W194" s="41"/>
      <c r="X194" s="41"/>
      <c r="Y194" s="33">
        <f t="shared" si="11"/>
        <v>0</v>
      </c>
    </row>
    <row r="195" spans="4:25" x14ac:dyDescent="0.25">
      <c r="D195" s="69"/>
      <c r="E195" s="34"/>
      <c r="F195" s="34"/>
      <c r="H195" s="35"/>
      <c r="I195" s="36"/>
      <c r="J195" s="37"/>
      <c r="K195" s="38"/>
      <c r="L195" s="29"/>
      <c r="M195" s="29"/>
      <c r="N195" s="29"/>
      <c r="O195" s="39"/>
      <c r="P195" s="40">
        <f t="shared" ref="P195:P258" si="12">$L195*$O195</f>
        <v>0</v>
      </c>
      <c r="Q195" s="40">
        <f t="shared" si="9"/>
        <v>0</v>
      </c>
      <c r="R195" s="40">
        <f t="shared" si="10"/>
        <v>0</v>
      </c>
      <c r="S195" s="41"/>
      <c r="T195" s="41"/>
      <c r="U195" s="41"/>
      <c r="V195" s="41"/>
      <c r="W195" s="41"/>
      <c r="X195" s="41"/>
      <c r="Y195" s="33">
        <f t="shared" si="11"/>
        <v>0</v>
      </c>
    </row>
    <row r="196" spans="4:25" x14ac:dyDescent="0.25">
      <c r="D196" s="69"/>
      <c r="E196" s="34"/>
      <c r="F196" s="34"/>
      <c r="H196" s="35"/>
      <c r="I196" s="36"/>
      <c r="J196" s="37"/>
      <c r="K196" s="38"/>
      <c r="L196" s="29"/>
      <c r="M196" s="29"/>
      <c r="N196" s="29"/>
      <c r="O196" s="39"/>
      <c r="P196" s="40">
        <f t="shared" si="12"/>
        <v>0</v>
      </c>
      <c r="Q196" s="40">
        <f t="shared" ref="Q196:Q259" si="13">IF(E196="NE",(M196*O196*1.5),(M196*O196))</f>
        <v>0</v>
      </c>
      <c r="R196" s="40">
        <f t="shared" ref="R196:R259" si="14">P196+Q196</f>
        <v>0</v>
      </c>
      <c r="S196" s="41"/>
      <c r="T196" s="41"/>
      <c r="U196" s="41"/>
      <c r="V196" s="41"/>
      <c r="W196" s="41"/>
      <c r="X196" s="41"/>
      <c r="Y196" s="33">
        <f t="shared" ref="Y196:Y259" si="15">SUM(R196:X196)</f>
        <v>0</v>
      </c>
    </row>
    <row r="197" spans="4:25" x14ac:dyDescent="0.25">
      <c r="D197" s="69"/>
      <c r="E197" s="34"/>
      <c r="F197" s="34"/>
      <c r="H197" s="35"/>
      <c r="I197" s="36"/>
      <c r="J197" s="37"/>
      <c r="K197" s="38"/>
      <c r="L197" s="29"/>
      <c r="M197" s="29"/>
      <c r="N197" s="29"/>
      <c r="O197" s="39"/>
      <c r="P197" s="40">
        <f t="shared" si="12"/>
        <v>0</v>
      </c>
      <c r="Q197" s="40">
        <f t="shared" si="13"/>
        <v>0</v>
      </c>
      <c r="R197" s="40">
        <f t="shared" si="14"/>
        <v>0</v>
      </c>
      <c r="S197" s="41"/>
      <c r="T197" s="41"/>
      <c r="U197" s="41"/>
      <c r="V197" s="41"/>
      <c r="W197" s="41"/>
      <c r="X197" s="41"/>
      <c r="Y197" s="33">
        <f t="shared" si="15"/>
        <v>0</v>
      </c>
    </row>
    <row r="198" spans="4:25" x14ac:dyDescent="0.25">
      <c r="D198" s="69"/>
      <c r="E198" s="34"/>
      <c r="F198" s="34"/>
      <c r="H198" s="35"/>
      <c r="I198" s="36"/>
      <c r="J198" s="37"/>
      <c r="K198" s="38"/>
      <c r="L198" s="29"/>
      <c r="M198" s="29"/>
      <c r="N198" s="29"/>
      <c r="O198" s="39"/>
      <c r="P198" s="40">
        <f t="shared" si="12"/>
        <v>0</v>
      </c>
      <c r="Q198" s="40">
        <f t="shared" si="13"/>
        <v>0</v>
      </c>
      <c r="R198" s="40">
        <f t="shared" si="14"/>
        <v>0</v>
      </c>
      <c r="S198" s="41"/>
      <c r="T198" s="41"/>
      <c r="U198" s="41"/>
      <c r="V198" s="41"/>
      <c r="W198" s="41"/>
      <c r="X198" s="41"/>
      <c r="Y198" s="33">
        <f t="shared" si="15"/>
        <v>0</v>
      </c>
    </row>
    <row r="199" spans="4:25" x14ac:dyDescent="0.25">
      <c r="D199" s="69"/>
      <c r="E199" s="34"/>
      <c r="F199" s="34"/>
      <c r="H199" s="35"/>
      <c r="I199" s="36"/>
      <c r="J199" s="37"/>
      <c r="K199" s="38"/>
      <c r="L199" s="29"/>
      <c r="M199" s="29"/>
      <c r="N199" s="29"/>
      <c r="O199" s="39"/>
      <c r="P199" s="40">
        <f t="shared" si="12"/>
        <v>0</v>
      </c>
      <c r="Q199" s="40">
        <f t="shared" si="13"/>
        <v>0</v>
      </c>
      <c r="R199" s="40">
        <f t="shared" si="14"/>
        <v>0</v>
      </c>
      <c r="S199" s="41"/>
      <c r="T199" s="41"/>
      <c r="U199" s="41"/>
      <c r="V199" s="41"/>
      <c r="W199" s="41"/>
      <c r="X199" s="41"/>
      <c r="Y199" s="33">
        <f t="shared" si="15"/>
        <v>0</v>
      </c>
    </row>
    <row r="200" spans="4:25" x14ac:dyDescent="0.25">
      <c r="D200" s="69"/>
      <c r="E200" s="34"/>
      <c r="F200" s="34"/>
      <c r="H200" s="35"/>
      <c r="I200" s="36"/>
      <c r="J200" s="37"/>
      <c r="K200" s="38"/>
      <c r="L200" s="29"/>
      <c r="M200" s="29"/>
      <c r="N200" s="29"/>
      <c r="O200" s="39"/>
      <c r="P200" s="40">
        <f t="shared" si="12"/>
        <v>0</v>
      </c>
      <c r="Q200" s="40">
        <f t="shared" si="13"/>
        <v>0</v>
      </c>
      <c r="R200" s="40">
        <f t="shared" si="14"/>
        <v>0</v>
      </c>
      <c r="S200" s="41"/>
      <c r="T200" s="41"/>
      <c r="U200" s="41"/>
      <c r="V200" s="41"/>
      <c r="W200" s="41"/>
      <c r="X200" s="41"/>
      <c r="Y200" s="33">
        <f t="shared" si="15"/>
        <v>0</v>
      </c>
    </row>
    <row r="201" spans="4:25" x14ac:dyDescent="0.25">
      <c r="D201" s="69"/>
      <c r="E201" s="34"/>
      <c r="F201" s="34"/>
      <c r="H201" s="35"/>
      <c r="I201" s="36"/>
      <c r="J201" s="37"/>
      <c r="K201" s="38"/>
      <c r="L201" s="29"/>
      <c r="M201" s="29"/>
      <c r="N201" s="29"/>
      <c r="O201" s="39"/>
      <c r="P201" s="40">
        <f t="shared" si="12"/>
        <v>0</v>
      </c>
      <c r="Q201" s="40">
        <f t="shared" si="13"/>
        <v>0</v>
      </c>
      <c r="R201" s="40">
        <f t="shared" si="14"/>
        <v>0</v>
      </c>
      <c r="S201" s="41"/>
      <c r="T201" s="41"/>
      <c r="U201" s="41"/>
      <c r="V201" s="41"/>
      <c r="W201" s="41"/>
      <c r="X201" s="41"/>
      <c r="Y201" s="33">
        <f t="shared" si="15"/>
        <v>0</v>
      </c>
    </row>
    <row r="202" spans="4:25" x14ac:dyDescent="0.25">
      <c r="D202" s="69"/>
      <c r="E202" s="34"/>
      <c r="F202" s="34"/>
      <c r="G202" s="38"/>
      <c r="H202" s="35"/>
      <c r="I202" s="36"/>
      <c r="J202" s="37"/>
      <c r="K202" s="38"/>
      <c r="L202" s="29"/>
      <c r="M202" s="29"/>
      <c r="N202" s="29"/>
      <c r="O202" s="39"/>
      <c r="P202" s="40">
        <f t="shared" si="12"/>
        <v>0</v>
      </c>
      <c r="Q202" s="40">
        <f t="shared" si="13"/>
        <v>0</v>
      </c>
      <c r="R202" s="40">
        <f t="shared" si="14"/>
        <v>0</v>
      </c>
      <c r="S202" s="41"/>
      <c r="T202" s="41"/>
      <c r="U202" s="41"/>
      <c r="V202" s="41"/>
      <c r="W202" s="41"/>
      <c r="X202" s="41"/>
      <c r="Y202" s="33">
        <f t="shared" si="15"/>
        <v>0</v>
      </c>
    </row>
    <row r="203" spans="4:25" x14ac:dyDescent="0.25">
      <c r="D203" s="69"/>
      <c r="E203" s="34"/>
      <c r="F203" s="34"/>
      <c r="G203" s="38"/>
      <c r="H203" s="35"/>
      <c r="I203" s="36"/>
      <c r="J203" s="37"/>
      <c r="K203" s="38"/>
      <c r="L203" s="29"/>
      <c r="M203" s="29"/>
      <c r="N203" s="29"/>
      <c r="O203" s="39"/>
      <c r="P203" s="40">
        <f t="shared" si="12"/>
        <v>0</v>
      </c>
      <c r="Q203" s="40">
        <f t="shared" si="13"/>
        <v>0</v>
      </c>
      <c r="R203" s="40">
        <f t="shared" si="14"/>
        <v>0</v>
      </c>
      <c r="S203" s="41"/>
      <c r="T203" s="41"/>
      <c r="U203" s="41"/>
      <c r="V203" s="41"/>
      <c r="W203" s="41"/>
      <c r="X203" s="41"/>
      <c r="Y203" s="33">
        <f t="shared" si="15"/>
        <v>0</v>
      </c>
    </row>
    <row r="204" spans="4:25" x14ac:dyDescent="0.25">
      <c r="D204" s="69"/>
      <c r="E204" s="34"/>
      <c r="F204" s="34"/>
      <c r="H204" s="35"/>
      <c r="I204" s="36"/>
      <c r="J204" s="37"/>
      <c r="K204" s="38"/>
      <c r="L204" s="29"/>
      <c r="M204" s="29"/>
      <c r="N204" s="29"/>
      <c r="O204" s="39"/>
      <c r="P204" s="40">
        <f t="shared" si="12"/>
        <v>0</v>
      </c>
      <c r="Q204" s="40">
        <f t="shared" si="13"/>
        <v>0</v>
      </c>
      <c r="R204" s="40">
        <f t="shared" si="14"/>
        <v>0</v>
      </c>
      <c r="S204" s="41"/>
      <c r="T204" s="41"/>
      <c r="U204" s="41"/>
      <c r="V204" s="41"/>
      <c r="W204" s="41"/>
      <c r="X204" s="41"/>
      <c r="Y204" s="33">
        <f t="shared" si="15"/>
        <v>0</v>
      </c>
    </row>
    <row r="205" spans="4:25" x14ac:dyDescent="0.25">
      <c r="D205" s="69"/>
      <c r="E205" s="34"/>
      <c r="F205" s="34"/>
      <c r="H205" s="35"/>
      <c r="I205" s="36"/>
      <c r="J205" s="37"/>
      <c r="K205" s="38"/>
      <c r="L205" s="29"/>
      <c r="M205" s="29"/>
      <c r="N205" s="29"/>
      <c r="O205" s="39"/>
      <c r="P205" s="40">
        <f t="shared" si="12"/>
        <v>0</v>
      </c>
      <c r="Q205" s="40">
        <f t="shared" si="13"/>
        <v>0</v>
      </c>
      <c r="R205" s="40">
        <f t="shared" si="14"/>
        <v>0</v>
      </c>
      <c r="S205" s="41"/>
      <c r="T205" s="41"/>
      <c r="U205" s="41"/>
      <c r="V205" s="41"/>
      <c r="W205" s="41"/>
      <c r="X205" s="41"/>
      <c r="Y205" s="33">
        <f t="shared" si="15"/>
        <v>0</v>
      </c>
    </row>
    <row r="206" spans="4:25" x14ac:dyDescent="0.25">
      <c r="D206" s="69"/>
      <c r="E206" s="34"/>
      <c r="F206" s="34"/>
      <c r="H206" s="35"/>
      <c r="I206" s="36"/>
      <c r="J206" s="37"/>
      <c r="K206" s="38"/>
      <c r="L206" s="29"/>
      <c r="M206" s="29"/>
      <c r="N206" s="29"/>
      <c r="O206" s="39"/>
      <c r="P206" s="40">
        <f t="shared" si="12"/>
        <v>0</v>
      </c>
      <c r="Q206" s="40">
        <f t="shared" si="13"/>
        <v>0</v>
      </c>
      <c r="R206" s="40">
        <f t="shared" si="14"/>
        <v>0</v>
      </c>
      <c r="S206" s="41"/>
      <c r="T206" s="41"/>
      <c r="U206" s="41"/>
      <c r="V206" s="41"/>
      <c r="W206" s="41"/>
      <c r="X206" s="41"/>
      <c r="Y206" s="33">
        <f t="shared" si="15"/>
        <v>0</v>
      </c>
    </row>
    <row r="207" spans="4:25" x14ac:dyDescent="0.25">
      <c r="D207" s="69"/>
      <c r="E207" s="34"/>
      <c r="F207" s="34"/>
      <c r="H207" s="35"/>
      <c r="I207" s="36"/>
      <c r="J207" s="37"/>
      <c r="K207" s="38"/>
      <c r="L207" s="29"/>
      <c r="M207" s="29"/>
      <c r="N207" s="29"/>
      <c r="O207" s="39"/>
      <c r="P207" s="40">
        <f t="shared" si="12"/>
        <v>0</v>
      </c>
      <c r="Q207" s="40">
        <f t="shared" si="13"/>
        <v>0</v>
      </c>
      <c r="R207" s="40">
        <f t="shared" si="14"/>
        <v>0</v>
      </c>
      <c r="S207" s="41"/>
      <c r="T207" s="41"/>
      <c r="U207" s="41"/>
      <c r="V207" s="41"/>
      <c r="W207" s="41"/>
      <c r="X207" s="41"/>
      <c r="Y207" s="33">
        <f t="shared" si="15"/>
        <v>0</v>
      </c>
    </row>
    <row r="208" spans="4:25" x14ac:dyDescent="0.25">
      <c r="D208" s="69"/>
      <c r="E208" s="34"/>
      <c r="F208" s="34"/>
      <c r="H208" s="35"/>
      <c r="I208" s="36"/>
      <c r="J208" s="37"/>
      <c r="K208" s="38"/>
      <c r="L208" s="29"/>
      <c r="M208" s="29"/>
      <c r="N208" s="29"/>
      <c r="O208" s="39"/>
      <c r="P208" s="40">
        <f t="shared" si="12"/>
        <v>0</v>
      </c>
      <c r="Q208" s="40">
        <f t="shared" si="13"/>
        <v>0</v>
      </c>
      <c r="R208" s="40">
        <f t="shared" si="14"/>
        <v>0</v>
      </c>
      <c r="S208" s="41"/>
      <c r="T208" s="41"/>
      <c r="U208" s="41"/>
      <c r="V208" s="41"/>
      <c r="W208" s="41"/>
      <c r="X208" s="41"/>
      <c r="Y208" s="33">
        <f t="shared" si="15"/>
        <v>0</v>
      </c>
    </row>
    <row r="209" spans="4:25" x14ac:dyDescent="0.25">
      <c r="D209" s="69"/>
      <c r="E209" s="34"/>
      <c r="F209" s="34"/>
      <c r="H209" s="35"/>
      <c r="I209" s="36"/>
      <c r="J209" s="37"/>
      <c r="K209" s="38"/>
      <c r="L209" s="29"/>
      <c r="M209" s="29"/>
      <c r="N209" s="29"/>
      <c r="O209" s="39"/>
      <c r="P209" s="40">
        <f t="shared" si="12"/>
        <v>0</v>
      </c>
      <c r="Q209" s="40">
        <f t="shared" si="13"/>
        <v>0</v>
      </c>
      <c r="R209" s="40">
        <f t="shared" si="14"/>
        <v>0</v>
      </c>
      <c r="S209" s="41"/>
      <c r="T209" s="41"/>
      <c r="U209" s="41"/>
      <c r="V209" s="41"/>
      <c r="W209" s="41"/>
      <c r="X209" s="41"/>
      <c r="Y209" s="33">
        <f t="shared" si="15"/>
        <v>0</v>
      </c>
    </row>
    <row r="210" spans="4:25" x14ac:dyDescent="0.25">
      <c r="D210" s="69"/>
      <c r="E210" s="34"/>
      <c r="F210" s="34"/>
      <c r="H210" s="35"/>
      <c r="I210" s="36"/>
      <c r="J210" s="37"/>
      <c r="K210" s="38"/>
      <c r="L210" s="29"/>
      <c r="M210" s="29"/>
      <c r="N210" s="29"/>
      <c r="O210" s="39"/>
      <c r="P210" s="40">
        <f t="shared" si="12"/>
        <v>0</v>
      </c>
      <c r="Q210" s="40">
        <f t="shared" si="13"/>
        <v>0</v>
      </c>
      <c r="R210" s="40">
        <f t="shared" si="14"/>
        <v>0</v>
      </c>
      <c r="S210" s="41"/>
      <c r="T210" s="41"/>
      <c r="U210" s="41"/>
      <c r="V210" s="41"/>
      <c r="W210" s="41"/>
      <c r="X210" s="41"/>
      <c r="Y210" s="33">
        <f t="shared" si="15"/>
        <v>0</v>
      </c>
    </row>
    <row r="211" spans="4:25" x14ac:dyDescent="0.25">
      <c r="D211" s="69"/>
      <c r="E211" s="34"/>
      <c r="F211" s="34"/>
      <c r="H211" s="35"/>
      <c r="I211" s="36"/>
      <c r="J211" s="37"/>
      <c r="K211" s="38"/>
      <c r="L211" s="29"/>
      <c r="M211" s="29"/>
      <c r="N211" s="29"/>
      <c r="O211" s="39"/>
      <c r="P211" s="40">
        <f t="shared" si="12"/>
        <v>0</v>
      </c>
      <c r="Q211" s="40">
        <f t="shared" si="13"/>
        <v>0</v>
      </c>
      <c r="R211" s="40">
        <f t="shared" si="14"/>
        <v>0</v>
      </c>
      <c r="S211" s="41"/>
      <c r="T211" s="41"/>
      <c r="U211" s="41"/>
      <c r="V211" s="41"/>
      <c r="W211" s="41"/>
      <c r="X211" s="41"/>
      <c r="Y211" s="33">
        <f t="shared" si="15"/>
        <v>0</v>
      </c>
    </row>
    <row r="212" spans="4:25" x14ac:dyDescent="0.25">
      <c r="D212" s="69"/>
      <c r="E212" s="34"/>
      <c r="F212" s="34"/>
      <c r="H212" s="35"/>
      <c r="I212" s="36"/>
      <c r="J212" s="37"/>
      <c r="K212" s="38"/>
      <c r="L212" s="29"/>
      <c r="M212" s="29"/>
      <c r="N212" s="29"/>
      <c r="O212" s="39"/>
      <c r="P212" s="40">
        <f t="shared" si="12"/>
        <v>0</v>
      </c>
      <c r="Q212" s="40">
        <f t="shared" si="13"/>
        <v>0</v>
      </c>
      <c r="R212" s="40">
        <f t="shared" si="14"/>
        <v>0</v>
      </c>
      <c r="S212" s="41"/>
      <c r="T212" s="41"/>
      <c r="U212" s="41"/>
      <c r="V212" s="41"/>
      <c r="W212" s="41"/>
      <c r="X212" s="41"/>
      <c r="Y212" s="33">
        <f t="shared" si="15"/>
        <v>0</v>
      </c>
    </row>
    <row r="213" spans="4:25" x14ac:dyDescent="0.25">
      <c r="D213" s="69"/>
      <c r="E213" s="34"/>
      <c r="F213" s="34"/>
      <c r="H213" s="35"/>
      <c r="I213" s="36"/>
      <c r="J213" s="37"/>
      <c r="K213" s="38"/>
      <c r="L213" s="29"/>
      <c r="M213" s="29"/>
      <c r="N213" s="29"/>
      <c r="O213" s="39"/>
      <c r="P213" s="40">
        <f t="shared" si="12"/>
        <v>0</v>
      </c>
      <c r="Q213" s="40">
        <f t="shared" si="13"/>
        <v>0</v>
      </c>
      <c r="R213" s="40">
        <f t="shared" si="14"/>
        <v>0</v>
      </c>
      <c r="S213" s="41"/>
      <c r="T213" s="41"/>
      <c r="U213" s="41"/>
      <c r="V213" s="41"/>
      <c r="W213" s="41"/>
      <c r="X213" s="41"/>
      <c r="Y213" s="33">
        <f t="shared" si="15"/>
        <v>0</v>
      </c>
    </row>
    <row r="214" spans="4:25" x14ac:dyDescent="0.25">
      <c r="D214" s="69"/>
      <c r="E214" s="34"/>
      <c r="F214" s="34"/>
      <c r="H214" s="35"/>
      <c r="I214" s="36"/>
      <c r="J214" s="37"/>
      <c r="K214" s="38"/>
      <c r="L214" s="29"/>
      <c r="M214" s="29"/>
      <c r="N214" s="29"/>
      <c r="O214" s="39"/>
      <c r="P214" s="40">
        <f t="shared" si="12"/>
        <v>0</v>
      </c>
      <c r="Q214" s="40">
        <f t="shared" si="13"/>
        <v>0</v>
      </c>
      <c r="R214" s="40">
        <f t="shared" si="14"/>
        <v>0</v>
      </c>
      <c r="S214" s="41"/>
      <c r="T214" s="41"/>
      <c r="U214" s="41"/>
      <c r="V214" s="41"/>
      <c r="W214" s="41"/>
      <c r="X214" s="41"/>
      <c r="Y214" s="33">
        <f t="shared" si="15"/>
        <v>0</v>
      </c>
    </row>
    <row r="215" spans="4:25" x14ac:dyDescent="0.25">
      <c r="D215" s="69"/>
      <c r="E215" s="34"/>
      <c r="F215" s="34"/>
      <c r="H215" s="35"/>
      <c r="I215" s="36"/>
      <c r="J215" s="37"/>
      <c r="K215" s="38"/>
      <c r="L215" s="29"/>
      <c r="M215" s="29"/>
      <c r="N215" s="29"/>
      <c r="O215" s="39"/>
      <c r="P215" s="40">
        <f t="shared" si="12"/>
        <v>0</v>
      </c>
      <c r="Q215" s="40">
        <f t="shared" si="13"/>
        <v>0</v>
      </c>
      <c r="R215" s="40">
        <f t="shared" si="14"/>
        <v>0</v>
      </c>
      <c r="S215" s="41"/>
      <c r="T215" s="41"/>
      <c r="U215" s="41"/>
      <c r="V215" s="41"/>
      <c r="W215" s="41"/>
      <c r="X215" s="41"/>
      <c r="Y215" s="33">
        <f t="shared" si="15"/>
        <v>0</v>
      </c>
    </row>
    <row r="216" spans="4:25" x14ac:dyDescent="0.25">
      <c r="D216" s="69"/>
      <c r="E216" s="34"/>
      <c r="F216" s="34"/>
      <c r="H216" s="35"/>
      <c r="I216" s="36"/>
      <c r="J216" s="37"/>
      <c r="K216" s="38"/>
      <c r="L216" s="29"/>
      <c r="M216" s="29"/>
      <c r="N216" s="29"/>
      <c r="O216" s="39"/>
      <c r="P216" s="40">
        <f t="shared" si="12"/>
        <v>0</v>
      </c>
      <c r="Q216" s="40">
        <f t="shared" si="13"/>
        <v>0</v>
      </c>
      <c r="R216" s="40">
        <f t="shared" si="14"/>
        <v>0</v>
      </c>
      <c r="S216" s="41"/>
      <c r="T216" s="41"/>
      <c r="U216" s="41"/>
      <c r="V216" s="41"/>
      <c r="W216" s="41"/>
      <c r="X216" s="41"/>
      <c r="Y216" s="33">
        <f t="shared" si="15"/>
        <v>0</v>
      </c>
    </row>
    <row r="217" spans="4:25" x14ac:dyDescent="0.25">
      <c r="D217" s="69"/>
      <c r="E217" s="34"/>
      <c r="F217" s="34"/>
      <c r="H217" s="35"/>
      <c r="I217" s="36"/>
      <c r="J217" s="37"/>
      <c r="K217" s="38"/>
      <c r="L217" s="29"/>
      <c r="M217" s="29"/>
      <c r="N217" s="29"/>
      <c r="O217" s="39"/>
      <c r="P217" s="40">
        <f t="shared" si="12"/>
        <v>0</v>
      </c>
      <c r="Q217" s="40">
        <f t="shared" si="13"/>
        <v>0</v>
      </c>
      <c r="R217" s="40">
        <f t="shared" si="14"/>
        <v>0</v>
      </c>
      <c r="S217" s="41"/>
      <c r="T217" s="41"/>
      <c r="U217" s="41"/>
      <c r="V217" s="41"/>
      <c r="W217" s="41"/>
      <c r="X217" s="41"/>
      <c r="Y217" s="33">
        <f t="shared" si="15"/>
        <v>0</v>
      </c>
    </row>
    <row r="218" spans="4:25" x14ac:dyDescent="0.25">
      <c r="D218" s="69"/>
      <c r="E218" s="34"/>
      <c r="F218" s="34"/>
      <c r="H218" s="35"/>
      <c r="I218" s="36"/>
      <c r="J218" s="37"/>
      <c r="K218" s="38"/>
      <c r="L218" s="29"/>
      <c r="M218" s="29"/>
      <c r="N218" s="29"/>
      <c r="O218" s="39"/>
      <c r="P218" s="40">
        <f t="shared" si="12"/>
        <v>0</v>
      </c>
      <c r="Q218" s="40">
        <f t="shared" si="13"/>
        <v>0</v>
      </c>
      <c r="R218" s="40">
        <f t="shared" si="14"/>
        <v>0</v>
      </c>
      <c r="S218" s="41"/>
      <c r="T218" s="41"/>
      <c r="U218" s="41"/>
      <c r="V218" s="41"/>
      <c r="W218" s="41"/>
      <c r="X218" s="41"/>
      <c r="Y218" s="33">
        <f t="shared" si="15"/>
        <v>0</v>
      </c>
    </row>
    <row r="219" spans="4:25" x14ac:dyDescent="0.25">
      <c r="D219" s="69"/>
      <c r="E219" s="34"/>
      <c r="F219" s="34"/>
      <c r="H219" s="35"/>
      <c r="I219" s="36"/>
      <c r="J219" s="37"/>
      <c r="K219" s="38"/>
      <c r="L219" s="29"/>
      <c r="M219" s="29"/>
      <c r="N219" s="29"/>
      <c r="O219" s="39"/>
      <c r="P219" s="40">
        <f t="shared" si="12"/>
        <v>0</v>
      </c>
      <c r="Q219" s="40">
        <f t="shared" si="13"/>
        <v>0</v>
      </c>
      <c r="R219" s="40">
        <f t="shared" si="14"/>
        <v>0</v>
      </c>
      <c r="S219" s="41"/>
      <c r="T219" s="41"/>
      <c r="U219" s="41"/>
      <c r="V219" s="41"/>
      <c r="W219" s="41"/>
      <c r="X219" s="41"/>
      <c r="Y219" s="33">
        <f t="shared" si="15"/>
        <v>0</v>
      </c>
    </row>
    <row r="220" spans="4:25" x14ac:dyDescent="0.25">
      <c r="D220" s="69"/>
      <c r="E220" s="34"/>
      <c r="F220" s="34"/>
      <c r="H220" s="35"/>
      <c r="I220" s="36"/>
      <c r="J220" s="37"/>
      <c r="K220" s="38"/>
      <c r="L220" s="29"/>
      <c r="M220" s="29"/>
      <c r="N220" s="29"/>
      <c r="O220" s="39"/>
      <c r="P220" s="40">
        <f t="shared" si="12"/>
        <v>0</v>
      </c>
      <c r="Q220" s="40">
        <f t="shared" si="13"/>
        <v>0</v>
      </c>
      <c r="R220" s="40">
        <f t="shared" si="14"/>
        <v>0</v>
      </c>
      <c r="S220" s="41"/>
      <c r="T220" s="41"/>
      <c r="U220" s="41"/>
      <c r="V220" s="41"/>
      <c r="W220" s="41"/>
      <c r="X220" s="41"/>
      <c r="Y220" s="33">
        <f t="shared" si="15"/>
        <v>0</v>
      </c>
    </row>
    <row r="221" spans="4:25" x14ac:dyDescent="0.25">
      <c r="D221" s="69"/>
      <c r="E221" s="34"/>
      <c r="F221" s="34"/>
      <c r="H221" s="35"/>
      <c r="I221" s="36"/>
      <c r="J221" s="37"/>
      <c r="K221" s="38"/>
      <c r="L221" s="29"/>
      <c r="M221" s="29"/>
      <c r="N221" s="29"/>
      <c r="O221" s="39"/>
      <c r="P221" s="40">
        <f t="shared" si="12"/>
        <v>0</v>
      </c>
      <c r="Q221" s="40">
        <f t="shared" si="13"/>
        <v>0</v>
      </c>
      <c r="R221" s="40">
        <f t="shared" si="14"/>
        <v>0</v>
      </c>
      <c r="S221" s="41"/>
      <c r="T221" s="41"/>
      <c r="U221" s="41"/>
      <c r="V221" s="41"/>
      <c r="W221" s="41"/>
      <c r="X221" s="41"/>
      <c r="Y221" s="33">
        <f t="shared" si="15"/>
        <v>0</v>
      </c>
    </row>
    <row r="222" spans="4:25" x14ac:dyDescent="0.25">
      <c r="D222" s="69"/>
      <c r="E222" s="34"/>
      <c r="F222" s="34"/>
      <c r="H222" s="35"/>
      <c r="I222" s="36"/>
      <c r="J222" s="37"/>
      <c r="K222" s="38"/>
      <c r="L222" s="29"/>
      <c r="M222" s="29"/>
      <c r="N222" s="29"/>
      <c r="O222" s="39"/>
      <c r="P222" s="40">
        <f t="shared" si="12"/>
        <v>0</v>
      </c>
      <c r="Q222" s="40">
        <f t="shared" si="13"/>
        <v>0</v>
      </c>
      <c r="R222" s="40">
        <f t="shared" si="14"/>
        <v>0</v>
      </c>
      <c r="S222" s="41"/>
      <c r="T222" s="41"/>
      <c r="U222" s="41"/>
      <c r="V222" s="41"/>
      <c r="W222" s="41"/>
      <c r="X222" s="41"/>
      <c r="Y222" s="33">
        <f t="shared" si="15"/>
        <v>0</v>
      </c>
    </row>
    <row r="223" spans="4:25" x14ac:dyDescent="0.25">
      <c r="D223" s="69"/>
      <c r="E223" s="34"/>
      <c r="F223" s="34"/>
      <c r="H223" s="35"/>
      <c r="I223" s="36"/>
      <c r="J223" s="37"/>
      <c r="K223" s="38"/>
      <c r="L223" s="29"/>
      <c r="M223" s="29"/>
      <c r="N223" s="29"/>
      <c r="O223" s="39"/>
      <c r="P223" s="40">
        <f t="shared" si="12"/>
        <v>0</v>
      </c>
      <c r="Q223" s="40">
        <f t="shared" si="13"/>
        <v>0</v>
      </c>
      <c r="R223" s="40">
        <f t="shared" si="14"/>
        <v>0</v>
      </c>
      <c r="S223" s="41"/>
      <c r="T223" s="41"/>
      <c r="U223" s="41"/>
      <c r="V223" s="41"/>
      <c r="W223" s="41"/>
      <c r="X223" s="41"/>
      <c r="Y223" s="33">
        <f t="shared" si="15"/>
        <v>0</v>
      </c>
    </row>
    <row r="224" spans="4:25" x14ac:dyDescent="0.25">
      <c r="D224" s="69"/>
      <c r="E224" s="34"/>
      <c r="F224" s="34"/>
      <c r="H224" s="35"/>
      <c r="I224" s="36"/>
      <c r="J224" s="37"/>
      <c r="K224" s="38"/>
      <c r="L224" s="29"/>
      <c r="M224" s="29"/>
      <c r="N224" s="29"/>
      <c r="O224" s="39"/>
      <c r="P224" s="40">
        <f t="shared" si="12"/>
        <v>0</v>
      </c>
      <c r="Q224" s="40">
        <f t="shared" si="13"/>
        <v>0</v>
      </c>
      <c r="R224" s="40">
        <f t="shared" si="14"/>
        <v>0</v>
      </c>
      <c r="S224" s="41"/>
      <c r="T224" s="41"/>
      <c r="U224" s="41"/>
      <c r="V224" s="41"/>
      <c r="W224" s="41"/>
      <c r="X224" s="41"/>
      <c r="Y224" s="33">
        <f t="shared" si="15"/>
        <v>0</v>
      </c>
    </row>
    <row r="225" spans="4:25" x14ac:dyDescent="0.25">
      <c r="D225" s="69"/>
      <c r="E225" s="34"/>
      <c r="F225" s="34"/>
      <c r="H225" s="35"/>
      <c r="I225" s="36"/>
      <c r="J225" s="37"/>
      <c r="K225" s="38"/>
      <c r="L225" s="29"/>
      <c r="M225" s="29"/>
      <c r="N225" s="29"/>
      <c r="O225" s="39"/>
      <c r="P225" s="40">
        <f t="shared" si="12"/>
        <v>0</v>
      </c>
      <c r="Q225" s="40">
        <f t="shared" si="13"/>
        <v>0</v>
      </c>
      <c r="R225" s="40">
        <f t="shared" si="14"/>
        <v>0</v>
      </c>
      <c r="S225" s="41"/>
      <c r="T225" s="41"/>
      <c r="U225" s="41"/>
      <c r="V225" s="41"/>
      <c r="W225" s="41"/>
      <c r="X225" s="41"/>
      <c r="Y225" s="33">
        <f t="shared" si="15"/>
        <v>0</v>
      </c>
    </row>
    <row r="226" spans="4:25" x14ac:dyDescent="0.25">
      <c r="D226" s="69"/>
      <c r="E226" s="34"/>
      <c r="F226" s="34"/>
      <c r="H226" s="35"/>
      <c r="I226" s="36"/>
      <c r="J226" s="37"/>
      <c r="K226" s="38"/>
      <c r="L226" s="29"/>
      <c r="M226" s="29"/>
      <c r="N226" s="29"/>
      <c r="O226" s="39"/>
      <c r="P226" s="40">
        <f t="shared" si="12"/>
        <v>0</v>
      </c>
      <c r="Q226" s="40">
        <f t="shared" si="13"/>
        <v>0</v>
      </c>
      <c r="R226" s="40">
        <f t="shared" si="14"/>
        <v>0</v>
      </c>
      <c r="S226" s="41"/>
      <c r="T226" s="41"/>
      <c r="U226" s="41"/>
      <c r="V226" s="41"/>
      <c r="W226" s="41"/>
      <c r="X226" s="41"/>
      <c r="Y226" s="33">
        <f t="shared" si="15"/>
        <v>0</v>
      </c>
    </row>
    <row r="227" spans="4:25" x14ac:dyDescent="0.25">
      <c r="D227" s="69"/>
      <c r="E227" s="34"/>
      <c r="F227" s="34"/>
      <c r="H227" s="35"/>
      <c r="I227" s="36"/>
      <c r="J227" s="37"/>
      <c r="K227" s="38"/>
      <c r="L227" s="29"/>
      <c r="M227" s="29"/>
      <c r="N227" s="29"/>
      <c r="O227" s="39"/>
      <c r="P227" s="40">
        <f t="shared" si="12"/>
        <v>0</v>
      </c>
      <c r="Q227" s="40">
        <f t="shared" si="13"/>
        <v>0</v>
      </c>
      <c r="R227" s="40">
        <f t="shared" si="14"/>
        <v>0</v>
      </c>
      <c r="S227" s="41"/>
      <c r="T227" s="41"/>
      <c r="U227" s="41"/>
      <c r="V227" s="41"/>
      <c r="W227" s="41"/>
      <c r="X227" s="41"/>
      <c r="Y227" s="33">
        <f t="shared" si="15"/>
        <v>0</v>
      </c>
    </row>
    <row r="228" spans="4:25" x14ac:dyDescent="0.25">
      <c r="D228" s="69"/>
      <c r="E228" s="34"/>
      <c r="F228" s="34"/>
      <c r="H228" s="35"/>
      <c r="I228" s="36"/>
      <c r="J228" s="37"/>
      <c r="K228" s="38"/>
      <c r="L228" s="29"/>
      <c r="M228" s="29"/>
      <c r="N228" s="29"/>
      <c r="O228" s="39"/>
      <c r="P228" s="40">
        <f t="shared" si="12"/>
        <v>0</v>
      </c>
      <c r="Q228" s="40">
        <f t="shared" si="13"/>
        <v>0</v>
      </c>
      <c r="R228" s="40">
        <f t="shared" si="14"/>
        <v>0</v>
      </c>
      <c r="S228" s="41"/>
      <c r="T228" s="41"/>
      <c r="U228" s="41"/>
      <c r="V228" s="41"/>
      <c r="W228" s="41"/>
      <c r="X228" s="41"/>
      <c r="Y228" s="33">
        <f t="shared" si="15"/>
        <v>0</v>
      </c>
    </row>
    <row r="229" spans="4:25" x14ac:dyDescent="0.25">
      <c r="D229" s="69"/>
      <c r="E229" s="34"/>
      <c r="F229" s="34"/>
      <c r="H229" s="35"/>
      <c r="I229" s="36"/>
      <c r="J229" s="37"/>
      <c r="K229" s="38"/>
      <c r="L229" s="29"/>
      <c r="M229" s="29"/>
      <c r="N229" s="29"/>
      <c r="O229" s="39"/>
      <c r="P229" s="40">
        <f t="shared" si="12"/>
        <v>0</v>
      </c>
      <c r="Q229" s="40">
        <f t="shared" si="13"/>
        <v>0</v>
      </c>
      <c r="R229" s="40">
        <f t="shared" si="14"/>
        <v>0</v>
      </c>
      <c r="S229" s="41"/>
      <c r="T229" s="41"/>
      <c r="U229" s="41"/>
      <c r="V229" s="41"/>
      <c r="W229" s="41"/>
      <c r="X229" s="41"/>
      <c r="Y229" s="33">
        <f t="shared" si="15"/>
        <v>0</v>
      </c>
    </row>
    <row r="230" spans="4:25" x14ac:dyDescent="0.25">
      <c r="D230" s="69"/>
      <c r="E230" s="34"/>
      <c r="F230" s="34"/>
      <c r="H230" s="35"/>
      <c r="I230" s="36"/>
      <c r="J230" s="37"/>
      <c r="K230" s="38"/>
      <c r="L230" s="29"/>
      <c r="M230" s="29"/>
      <c r="N230" s="29"/>
      <c r="O230" s="39"/>
      <c r="P230" s="40">
        <f t="shared" si="12"/>
        <v>0</v>
      </c>
      <c r="Q230" s="40">
        <f t="shared" si="13"/>
        <v>0</v>
      </c>
      <c r="R230" s="40">
        <f t="shared" si="14"/>
        <v>0</v>
      </c>
      <c r="S230" s="41"/>
      <c r="T230" s="41"/>
      <c r="U230" s="41"/>
      <c r="V230" s="41"/>
      <c r="W230" s="41"/>
      <c r="X230" s="41"/>
      <c r="Y230" s="33">
        <f t="shared" si="15"/>
        <v>0</v>
      </c>
    </row>
    <row r="231" spans="4:25" x14ac:dyDescent="0.25">
      <c r="D231" s="69"/>
      <c r="E231" s="34"/>
      <c r="F231" s="34"/>
      <c r="H231" s="35"/>
      <c r="I231" s="36"/>
      <c r="J231" s="37"/>
      <c r="K231" s="38"/>
      <c r="L231" s="29"/>
      <c r="M231" s="29"/>
      <c r="N231" s="29"/>
      <c r="O231" s="39"/>
      <c r="P231" s="40">
        <f t="shared" si="12"/>
        <v>0</v>
      </c>
      <c r="Q231" s="40">
        <f t="shared" si="13"/>
        <v>0</v>
      </c>
      <c r="R231" s="40">
        <f t="shared" si="14"/>
        <v>0</v>
      </c>
      <c r="S231" s="41"/>
      <c r="T231" s="41"/>
      <c r="U231" s="41"/>
      <c r="V231" s="41"/>
      <c r="W231" s="41"/>
      <c r="X231" s="41"/>
      <c r="Y231" s="33">
        <f t="shared" si="15"/>
        <v>0</v>
      </c>
    </row>
    <row r="232" spans="4:25" x14ac:dyDescent="0.25">
      <c r="D232" s="69"/>
      <c r="E232" s="34"/>
      <c r="F232" s="34"/>
      <c r="H232" s="35"/>
      <c r="I232" s="36"/>
      <c r="J232" s="37"/>
      <c r="K232" s="38"/>
      <c r="L232" s="29"/>
      <c r="M232" s="29"/>
      <c r="N232" s="29"/>
      <c r="O232" s="39"/>
      <c r="P232" s="40">
        <f t="shared" si="12"/>
        <v>0</v>
      </c>
      <c r="Q232" s="40">
        <f t="shared" si="13"/>
        <v>0</v>
      </c>
      <c r="R232" s="40">
        <f t="shared" si="14"/>
        <v>0</v>
      </c>
      <c r="S232" s="41"/>
      <c r="T232" s="41"/>
      <c r="U232" s="41"/>
      <c r="V232" s="41"/>
      <c r="W232" s="41"/>
      <c r="X232" s="41"/>
      <c r="Y232" s="33">
        <f t="shared" si="15"/>
        <v>0</v>
      </c>
    </row>
    <row r="233" spans="4:25" x14ac:dyDescent="0.25">
      <c r="D233" s="69"/>
      <c r="E233" s="34"/>
      <c r="F233" s="34"/>
      <c r="H233" s="35"/>
      <c r="I233" s="36"/>
      <c r="J233" s="37"/>
      <c r="K233" s="38"/>
      <c r="L233" s="29"/>
      <c r="M233" s="29"/>
      <c r="N233" s="29"/>
      <c r="O233" s="39"/>
      <c r="P233" s="40">
        <f t="shared" si="12"/>
        <v>0</v>
      </c>
      <c r="Q233" s="40">
        <f t="shared" si="13"/>
        <v>0</v>
      </c>
      <c r="R233" s="40">
        <f t="shared" si="14"/>
        <v>0</v>
      </c>
      <c r="S233" s="41"/>
      <c r="T233" s="41"/>
      <c r="U233" s="41"/>
      <c r="V233" s="41"/>
      <c r="W233" s="41"/>
      <c r="X233" s="41"/>
      <c r="Y233" s="33">
        <f t="shared" si="15"/>
        <v>0</v>
      </c>
    </row>
    <row r="234" spans="4:25" x14ac:dyDescent="0.25">
      <c r="D234" s="69"/>
      <c r="E234" s="34"/>
      <c r="F234" s="34"/>
      <c r="H234" s="35"/>
      <c r="I234" s="36"/>
      <c r="J234" s="37"/>
      <c r="K234" s="38"/>
      <c r="L234" s="29"/>
      <c r="M234" s="29"/>
      <c r="N234" s="29"/>
      <c r="O234" s="39"/>
      <c r="P234" s="40">
        <f t="shared" si="12"/>
        <v>0</v>
      </c>
      <c r="Q234" s="40">
        <f t="shared" si="13"/>
        <v>0</v>
      </c>
      <c r="R234" s="40">
        <f t="shared" si="14"/>
        <v>0</v>
      </c>
      <c r="S234" s="41"/>
      <c r="T234" s="41"/>
      <c r="U234" s="41"/>
      <c r="V234" s="41"/>
      <c r="W234" s="41"/>
      <c r="X234" s="41"/>
      <c r="Y234" s="33">
        <f t="shared" si="15"/>
        <v>0</v>
      </c>
    </row>
    <row r="235" spans="4:25" x14ac:dyDescent="0.25">
      <c r="D235" s="69"/>
      <c r="E235" s="34"/>
      <c r="F235" s="34"/>
      <c r="H235" s="35"/>
      <c r="I235" s="36"/>
      <c r="J235" s="37"/>
      <c r="K235" s="38"/>
      <c r="L235" s="29"/>
      <c r="M235" s="29"/>
      <c r="N235" s="29"/>
      <c r="O235" s="39"/>
      <c r="P235" s="40">
        <f t="shared" si="12"/>
        <v>0</v>
      </c>
      <c r="Q235" s="40">
        <f t="shared" si="13"/>
        <v>0</v>
      </c>
      <c r="R235" s="40">
        <f t="shared" si="14"/>
        <v>0</v>
      </c>
      <c r="S235" s="41"/>
      <c r="T235" s="41"/>
      <c r="U235" s="41"/>
      <c r="V235" s="41"/>
      <c r="W235" s="41"/>
      <c r="X235" s="41"/>
      <c r="Y235" s="33">
        <f t="shared" si="15"/>
        <v>0</v>
      </c>
    </row>
    <row r="236" spans="4:25" x14ac:dyDescent="0.25">
      <c r="D236" s="69"/>
      <c r="E236" s="34"/>
      <c r="F236" s="34"/>
      <c r="H236" s="35"/>
      <c r="I236" s="36"/>
      <c r="J236" s="37"/>
      <c r="K236" s="38"/>
      <c r="L236" s="29"/>
      <c r="M236" s="29"/>
      <c r="N236" s="29"/>
      <c r="O236" s="39"/>
      <c r="P236" s="40">
        <f t="shared" si="12"/>
        <v>0</v>
      </c>
      <c r="Q236" s="40">
        <f t="shared" si="13"/>
        <v>0</v>
      </c>
      <c r="R236" s="40">
        <f t="shared" si="14"/>
        <v>0</v>
      </c>
      <c r="S236" s="41"/>
      <c r="T236" s="41"/>
      <c r="U236" s="41"/>
      <c r="V236" s="41"/>
      <c r="W236" s="41"/>
      <c r="X236" s="41"/>
      <c r="Y236" s="33">
        <f t="shared" si="15"/>
        <v>0</v>
      </c>
    </row>
    <row r="237" spans="4:25" x14ac:dyDescent="0.25">
      <c r="D237" s="69"/>
      <c r="E237" s="34"/>
      <c r="F237" s="34"/>
      <c r="H237" s="35"/>
      <c r="I237" s="36"/>
      <c r="J237" s="37"/>
      <c r="K237" s="38"/>
      <c r="L237" s="29"/>
      <c r="M237" s="29"/>
      <c r="N237" s="29"/>
      <c r="O237" s="39"/>
      <c r="P237" s="40">
        <f t="shared" si="12"/>
        <v>0</v>
      </c>
      <c r="Q237" s="40">
        <f t="shared" si="13"/>
        <v>0</v>
      </c>
      <c r="R237" s="40">
        <f t="shared" si="14"/>
        <v>0</v>
      </c>
      <c r="S237" s="41"/>
      <c r="T237" s="41"/>
      <c r="U237" s="41"/>
      <c r="V237" s="41"/>
      <c r="W237" s="41"/>
      <c r="X237" s="41"/>
      <c r="Y237" s="33">
        <f t="shared" si="15"/>
        <v>0</v>
      </c>
    </row>
    <row r="238" spans="4:25" x14ac:dyDescent="0.25">
      <c r="D238" s="69"/>
      <c r="E238" s="34"/>
      <c r="F238" s="34"/>
      <c r="H238" s="35"/>
      <c r="I238" s="36"/>
      <c r="J238" s="37"/>
      <c r="K238" s="38"/>
      <c r="L238" s="29"/>
      <c r="M238" s="29"/>
      <c r="N238" s="29"/>
      <c r="O238" s="39"/>
      <c r="P238" s="40">
        <f t="shared" si="12"/>
        <v>0</v>
      </c>
      <c r="Q238" s="40">
        <f t="shared" si="13"/>
        <v>0</v>
      </c>
      <c r="R238" s="40">
        <f t="shared" si="14"/>
        <v>0</v>
      </c>
      <c r="S238" s="41"/>
      <c r="T238" s="41"/>
      <c r="U238" s="41"/>
      <c r="V238" s="41"/>
      <c r="W238" s="41"/>
      <c r="X238" s="41"/>
      <c r="Y238" s="33">
        <f t="shared" si="15"/>
        <v>0</v>
      </c>
    </row>
    <row r="239" spans="4:25" x14ac:dyDescent="0.25">
      <c r="D239" s="69"/>
      <c r="E239" s="34"/>
      <c r="F239" s="34"/>
      <c r="H239" s="35"/>
      <c r="I239" s="36"/>
      <c r="J239" s="37"/>
      <c r="K239" s="38"/>
      <c r="L239" s="29"/>
      <c r="M239" s="29"/>
      <c r="N239" s="29"/>
      <c r="O239" s="39"/>
      <c r="P239" s="40">
        <f t="shared" si="12"/>
        <v>0</v>
      </c>
      <c r="Q239" s="40">
        <f t="shared" si="13"/>
        <v>0</v>
      </c>
      <c r="R239" s="40">
        <f t="shared" si="14"/>
        <v>0</v>
      </c>
      <c r="S239" s="41"/>
      <c r="T239" s="41"/>
      <c r="U239" s="41"/>
      <c r="V239" s="41"/>
      <c r="W239" s="41"/>
      <c r="X239" s="41"/>
      <c r="Y239" s="33">
        <f t="shared" si="15"/>
        <v>0</v>
      </c>
    </row>
    <row r="240" spans="4:25" x14ac:dyDescent="0.25">
      <c r="D240" s="69"/>
      <c r="E240" s="34"/>
      <c r="F240" s="34"/>
      <c r="H240" s="35"/>
      <c r="I240" s="36"/>
      <c r="J240" s="37"/>
      <c r="K240" s="38"/>
      <c r="L240" s="29"/>
      <c r="M240" s="29"/>
      <c r="N240" s="29"/>
      <c r="O240" s="39"/>
      <c r="P240" s="40">
        <f t="shared" si="12"/>
        <v>0</v>
      </c>
      <c r="Q240" s="40">
        <f t="shared" si="13"/>
        <v>0</v>
      </c>
      <c r="R240" s="40">
        <f t="shared" si="14"/>
        <v>0</v>
      </c>
      <c r="S240" s="41"/>
      <c r="T240" s="41"/>
      <c r="U240" s="41"/>
      <c r="V240" s="41"/>
      <c r="W240" s="41"/>
      <c r="X240" s="41"/>
      <c r="Y240" s="33">
        <f t="shared" si="15"/>
        <v>0</v>
      </c>
    </row>
    <row r="241" spans="4:25" x14ac:dyDescent="0.25">
      <c r="D241" s="69"/>
      <c r="E241" s="34"/>
      <c r="F241" s="34"/>
      <c r="H241" s="35"/>
      <c r="I241" s="36"/>
      <c r="J241" s="37"/>
      <c r="K241" s="38"/>
      <c r="L241" s="29"/>
      <c r="M241" s="29"/>
      <c r="N241" s="29"/>
      <c r="O241" s="39"/>
      <c r="P241" s="40">
        <f t="shared" si="12"/>
        <v>0</v>
      </c>
      <c r="Q241" s="40">
        <f t="shared" si="13"/>
        <v>0</v>
      </c>
      <c r="R241" s="40">
        <f t="shared" si="14"/>
        <v>0</v>
      </c>
      <c r="S241" s="41"/>
      <c r="T241" s="41"/>
      <c r="U241" s="41"/>
      <c r="V241" s="41"/>
      <c r="W241" s="41"/>
      <c r="X241" s="41"/>
      <c r="Y241" s="33">
        <f t="shared" si="15"/>
        <v>0</v>
      </c>
    </row>
    <row r="242" spans="4:25" x14ac:dyDescent="0.25">
      <c r="D242" s="69"/>
      <c r="E242" s="34"/>
      <c r="F242" s="34"/>
      <c r="H242" s="35"/>
      <c r="I242" s="36"/>
      <c r="J242" s="37"/>
      <c r="K242" s="38"/>
      <c r="L242" s="29"/>
      <c r="M242" s="29"/>
      <c r="N242" s="29"/>
      <c r="O242" s="39"/>
      <c r="P242" s="40">
        <f t="shared" si="12"/>
        <v>0</v>
      </c>
      <c r="Q242" s="40">
        <f t="shared" si="13"/>
        <v>0</v>
      </c>
      <c r="R242" s="40">
        <f t="shared" si="14"/>
        <v>0</v>
      </c>
      <c r="S242" s="41"/>
      <c r="T242" s="41"/>
      <c r="U242" s="41"/>
      <c r="V242" s="41"/>
      <c r="W242" s="41"/>
      <c r="X242" s="41"/>
      <c r="Y242" s="33">
        <f t="shared" si="15"/>
        <v>0</v>
      </c>
    </row>
    <row r="243" spans="4:25" x14ac:dyDescent="0.25">
      <c r="D243" s="69"/>
      <c r="E243" s="34"/>
      <c r="F243" s="34"/>
      <c r="H243" s="35"/>
      <c r="I243" s="36"/>
      <c r="J243" s="37"/>
      <c r="K243" s="38"/>
      <c r="L243" s="29"/>
      <c r="M243" s="29"/>
      <c r="N243" s="29"/>
      <c r="O243" s="39"/>
      <c r="P243" s="40">
        <f t="shared" si="12"/>
        <v>0</v>
      </c>
      <c r="Q243" s="40">
        <f t="shared" si="13"/>
        <v>0</v>
      </c>
      <c r="R243" s="40">
        <f t="shared" si="14"/>
        <v>0</v>
      </c>
      <c r="S243" s="41"/>
      <c r="T243" s="41"/>
      <c r="U243" s="41"/>
      <c r="V243" s="41"/>
      <c r="W243" s="41"/>
      <c r="X243" s="41"/>
      <c r="Y243" s="33">
        <f t="shared" si="15"/>
        <v>0</v>
      </c>
    </row>
    <row r="244" spans="4:25" x14ac:dyDescent="0.25">
      <c r="D244" s="69"/>
      <c r="E244" s="34"/>
      <c r="F244" s="34"/>
      <c r="H244" s="35"/>
      <c r="I244" s="36"/>
      <c r="J244" s="37"/>
      <c r="K244" s="38"/>
      <c r="L244" s="29"/>
      <c r="M244" s="29"/>
      <c r="N244" s="29"/>
      <c r="O244" s="39"/>
      <c r="P244" s="40">
        <f t="shared" si="12"/>
        <v>0</v>
      </c>
      <c r="Q244" s="40">
        <f t="shared" si="13"/>
        <v>0</v>
      </c>
      <c r="R244" s="40">
        <f t="shared" si="14"/>
        <v>0</v>
      </c>
      <c r="S244" s="41"/>
      <c r="T244" s="41"/>
      <c r="U244" s="41"/>
      <c r="V244" s="41"/>
      <c r="W244" s="41"/>
      <c r="X244" s="41"/>
      <c r="Y244" s="33">
        <f t="shared" si="15"/>
        <v>0</v>
      </c>
    </row>
    <row r="245" spans="4:25" x14ac:dyDescent="0.25">
      <c r="D245" s="69"/>
      <c r="E245" s="34"/>
      <c r="F245" s="34"/>
      <c r="H245" s="35"/>
      <c r="I245" s="36"/>
      <c r="J245" s="37"/>
      <c r="K245" s="38"/>
      <c r="L245" s="29"/>
      <c r="M245" s="29"/>
      <c r="N245" s="29"/>
      <c r="O245" s="39"/>
      <c r="P245" s="40">
        <f t="shared" si="12"/>
        <v>0</v>
      </c>
      <c r="Q245" s="40">
        <f t="shared" si="13"/>
        <v>0</v>
      </c>
      <c r="R245" s="40">
        <f t="shared" si="14"/>
        <v>0</v>
      </c>
      <c r="S245" s="41"/>
      <c r="T245" s="41"/>
      <c r="U245" s="41"/>
      <c r="V245" s="41"/>
      <c r="W245" s="41"/>
      <c r="X245" s="41"/>
      <c r="Y245" s="33">
        <f t="shared" si="15"/>
        <v>0</v>
      </c>
    </row>
    <row r="246" spans="4:25" x14ac:dyDescent="0.25">
      <c r="D246" s="69"/>
      <c r="E246" s="34"/>
      <c r="F246" s="34"/>
      <c r="H246" s="35"/>
      <c r="I246" s="36"/>
      <c r="J246" s="37"/>
      <c r="K246" s="38"/>
      <c r="L246" s="29"/>
      <c r="M246" s="29"/>
      <c r="N246" s="29"/>
      <c r="O246" s="39"/>
      <c r="P246" s="40">
        <f t="shared" si="12"/>
        <v>0</v>
      </c>
      <c r="Q246" s="40">
        <f t="shared" si="13"/>
        <v>0</v>
      </c>
      <c r="R246" s="40">
        <f t="shared" si="14"/>
        <v>0</v>
      </c>
      <c r="S246" s="41"/>
      <c r="T246" s="41"/>
      <c r="U246" s="41"/>
      <c r="V246" s="41"/>
      <c r="W246" s="41"/>
      <c r="X246" s="41"/>
      <c r="Y246" s="33">
        <f t="shared" si="15"/>
        <v>0</v>
      </c>
    </row>
    <row r="247" spans="4:25" x14ac:dyDescent="0.25">
      <c r="D247" s="69"/>
      <c r="E247" s="34"/>
      <c r="F247" s="34"/>
      <c r="H247" s="35"/>
      <c r="I247" s="36"/>
      <c r="J247" s="37"/>
      <c r="K247" s="38"/>
      <c r="L247" s="29"/>
      <c r="M247" s="29"/>
      <c r="N247" s="29"/>
      <c r="O247" s="39"/>
      <c r="P247" s="40">
        <f t="shared" si="12"/>
        <v>0</v>
      </c>
      <c r="Q247" s="40">
        <f t="shared" si="13"/>
        <v>0</v>
      </c>
      <c r="R247" s="40">
        <f t="shared" si="14"/>
        <v>0</v>
      </c>
      <c r="S247" s="41"/>
      <c r="T247" s="41"/>
      <c r="U247" s="41"/>
      <c r="V247" s="41"/>
      <c r="W247" s="41"/>
      <c r="X247" s="41"/>
      <c r="Y247" s="33">
        <f t="shared" si="15"/>
        <v>0</v>
      </c>
    </row>
    <row r="248" spans="4:25" x14ac:dyDescent="0.25">
      <c r="D248" s="69"/>
      <c r="E248" s="34"/>
      <c r="F248" s="34"/>
      <c r="H248" s="35"/>
      <c r="I248" s="36"/>
      <c r="J248" s="37"/>
      <c r="K248" s="38"/>
      <c r="L248" s="29"/>
      <c r="M248" s="29"/>
      <c r="N248" s="29"/>
      <c r="O248" s="39"/>
      <c r="P248" s="40">
        <f t="shared" si="12"/>
        <v>0</v>
      </c>
      <c r="Q248" s="40">
        <f t="shared" si="13"/>
        <v>0</v>
      </c>
      <c r="R248" s="40">
        <f t="shared" si="14"/>
        <v>0</v>
      </c>
      <c r="S248" s="41"/>
      <c r="T248" s="41"/>
      <c r="U248" s="41"/>
      <c r="V248" s="41"/>
      <c r="W248" s="41"/>
      <c r="X248" s="41"/>
      <c r="Y248" s="33">
        <f t="shared" si="15"/>
        <v>0</v>
      </c>
    </row>
    <row r="249" spans="4:25" x14ac:dyDescent="0.25">
      <c r="D249" s="69"/>
      <c r="E249" s="34"/>
      <c r="F249" s="34"/>
      <c r="H249" s="35"/>
      <c r="I249" s="36"/>
      <c r="J249" s="37"/>
      <c r="K249" s="38"/>
      <c r="L249" s="29"/>
      <c r="M249" s="29"/>
      <c r="N249" s="29"/>
      <c r="O249" s="39"/>
      <c r="P249" s="40">
        <f t="shared" si="12"/>
        <v>0</v>
      </c>
      <c r="Q249" s="40">
        <f t="shared" si="13"/>
        <v>0</v>
      </c>
      <c r="R249" s="40">
        <f t="shared" si="14"/>
        <v>0</v>
      </c>
      <c r="S249" s="41"/>
      <c r="T249" s="41"/>
      <c r="U249" s="41"/>
      <c r="V249" s="41"/>
      <c r="W249" s="41"/>
      <c r="X249" s="41"/>
      <c r="Y249" s="33">
        <f t="shared" si="15"/>
        <v>0</v>
      </c>
    </row>
    <row r="250" spans="4:25" x14ac:dyDescent="0.25">
      <c r="D250" s="69"/>
      <c r="E250" s="34"/>
      <c r="F250" s="34"/>
      <c r="H250" s="35"/>
      <c r="I250" s="36"/>
      <c r="J250" s="37"/>
      <c r="K250" s="38"/>
      <c r="L250" s="29"/>
      <c r="M250" s="29"/>
      <c r="N250" s="29"/>
      <c r="O250" s="39"/>
      <c r="P250" s="40">
        <f t="shared" si="12"/>
        <v>0</v>
      </c>
      <c r="Q250" s="40">
        <f t="shared" si="13"/>
        <v>0</v>
      </c>
      <c r="R250" s="40">
        <f t="shared" si="14"/>
        <v>0</v>
      </c>
      <c r="S250" s="41"/>
      <c r="T250" s="41"/>
      <c r="U250" s="41"/>
      <c r="V250" s="41"/>
      <c r="W250" s="41"/>
      <c r="X250" s="41"/>
      <c r="Y250" s="33">
        <f t="shared" si="15"/>
        <v>0</v>
      </c>
    </row>
    <row r="251" spans="4:25" x14ac:dyDescent="0.25">
      <c r="D251" s="69"/>
      <c r="E251" s="34"/>
      <c r="F251" s="34"/>
      <c r="H251" s="35"/>
      <c r="I251" s="36"/>
      <c r="J251" s="37"/>
      <c r="K251" s="38"/>
      <c r="L251" s="29"/>
      <c r="M251" s="29"/>
      <c r="N251" s="29"/>
      <c r="O251" s="39"/>
      <c r="P251" s="40">
        <f t="shared" si="12"/>
        <v>0</v>
      </c>
      <c r="Q251" s="40">
        <f t="shared" si="13"/>
        <v>0</v>
      </c>
      <c r="R251" s="40">
        <f t="shared" si="14"/>
        <v>0</v>
      </c>
      <c r="S251" s="41"/>
      <c r="T251" s="41"/>
      <c r="U251" s="41"/>
      <c r="V251" s="41"/>
      <c r="W251" s="41"/>
      <c r="X251" s="41"/>
      <c r="Y251" s="33">
        <f t="shared" si="15"/>
        <v>0</v>
      </c>
    </row>
    <row r="252" spans="4:25" x14ac:dyDescent="0.25">
      <c r="D252" s="69"/>
      <c r="E252" s="34"/>
      <c r="F252" s="34"/>
      <c r="H252" s="35"/>
      <c r="I252" s="36"/>
      <c r="J252" s="37"/>
      <c r="K252" s="38"/>
      <c r="L252" s="29"/>
      <c r="M252" s="29"/>
      <c r="N252" s="29"/>
      <c r="O252" s="39"/>
      <c r="P252" s="40">
        <f t="shared" si="12"/>
        <v>0</v>
      </c>
      <c r="Q252" s="40">
        <f t="shared" si="13"/>
        <v>0</v>
      </c>
      <c r="R252" s="40">
        <f t="shared" si="14"/>
        <v>0</v>
      </c>
      <c r="S252" s="41"/>
      <c r="T252" s="41"/>
      <c r="U252" s="41"/>
      <c r="V252" s="41"/>
      <c r="W252" s="41"/>
      <c r="X252" s="41"/>
      <c r="Y252" s="33">
        <f t="shared" si="15"/>
        <v>0</v>
      </c>
    </row>
    <row r="253" spans="4:25" x14ac:dyDescent="0.25">
      <c r="D253" s="69"/>
      <c r="E253" s="34"/>
      <c r="F253" s="34"/>
      <c r="H253" s="35"/>
      <c r="I253" s="36"/>
      <c r="J253" s="37"/>
      <c r="K253" s="38"/>
      <c r="L253" s="29"/>
      <c r="M253" s="29"/>
      <c r="N253" s="29"/>
      <c r="O253" s="39"/>
      <c r="P253" s="40">
        <f t="shared" si="12"/>
        <v>0</v>
      </c>
      <c r="Q253" s="40">
        <f t="shared" si="13"/>
        <v>0</v>
      </c>
      <c r="R253" s="40">
        <f t="shared" si="14"/>
        <v>0</v>
      </c>
      <c r="S253" s="41"/>
      <c r="T253" s="41"/>
      <c r="U253" s="41"/>
      <c r="V253" s="41"/>
      <c r="W253" s="41"/>
      <c r="X253" s="41"/>
      <c r="Y253" s="33">
        <f t="shared" si="15"/>
        <v>0</v>
      </c>
    </row>
    <row r="254" spans="4:25" x14ac:dyDescent="0.25">
      <c r="D254" s="69"/>
      <c r="E254" s="34"/>
      <c r="F254" s="34"/>
      <c r="H254" s="35"/>
      <c r="I254" s="36"/>
      <c r="J254" s="37"/>
      <c r="K254" s="38"/>
      <c r="L254" s="29"/>
      <c r="M254" s="29"/>
      <c r="N254" s="29"/>
      <c r="O254" s="39"/>
      <c r="P254" s="40">
        <f t="shared" si="12"/>
        <v>0</v>
      </c>
      <c r="Q254" s="40">
        <f t="shared" si="13"/>
        <v>0</v>
      </c>
      <c r="R254" s="40">
        <f t="shared" si="14"/>
        <v>0</v>
      </c>
      <c r="S254" s="41"/>
      <c r="T254" s="41"/>
      <c r="U254" s="41"/>
      <c r="V254" s="41"/>
      <c r="W254" s="41"/>
      <c r="X254" s="41"/>
      <c r="Y254" s="33">
        <f t="shared" si="15"/>
        <v>0</v>
      </c>
    </row>
    <row r="255" spans="4:25" x14ac:dyDescent="0.25">
      <c r="D255" s="69"/>
      <c r="E255" s="34"/>
      <c r="F255" s="34"/>
      <c r="H255" s="35"/>
      <c r="I255" s="36"/>
      <c r="J255" s="37"/>
      <c r="K255" s="38"/>
      <c r="L255" s="29"/>
      <c r="M255" s="29"/>
      <c r="N255" s="29"/>
      <c r="O255" s="39"/>
      <c r="P255" s="40">
        <f t="shared" si="12"/>
        <v>0</v>
      </c>
      <c r="Q255" s="40">
        <f t="shared" si="13"/>
        <v>0</v>
      </c>
      <c r="R255" s="40">
        <f t="shared" si="14"/>
        <v>0</v>
      </c>
      <c r="S255" s="41"/>
      <c r="T255" s="41"/>
      <c r="U255" s="41"/>
      <c r="V255" s="41"/>
      <c r="W255" s="41"/>
      <c r="X255" s="41"/>
      <c r="Y255" s="33">
        <f t="shared" si="15"/>
        <v>0</v>
      </c>
    </row>
    <row r="256" spans="4:25" x14ac:dyDescent="0.25">
      <c r="D256" s="69"/>
      <c r="E256" s="34"/>
      <c r="F256" s="34"/>
      <c r="H256" s="35"/>
      <c r="I256" s="36"/>
      <c r="J256" s="37"/>
      <c r="K256" s="38"/>
      <c r="L256" s="29"/>
      <c r="M256" s="29"/>
      <c r="N256" s="29"/>
      <c r="O256" s="39"/>
      <c r="P256" s="40">
        <f t="shared" si="12"/>
        <v>0</v>
      </c>
      <c r="Q256" s="40">
        <f t="shared" si="13"/>
        <v>0</v>
      </c>
      <c r="R256" s="40">
        <f t="shared" si="14"/>
        <v>0</v>
      </c>
      <c r="S256" s="41"/>
      <c r="T256" s="41"/>
      <c r="U256" s="41"/>
      <c r="V256" s="41"/>
      <c r="W256" s="41"/>
      <c r="X256" s="41"/>
      <c r="Y256" s="33">
        <f t="shared" si="15"/>
        <v>0</v>
      </c>
    </row>
    <row r="257" spans="4:25" x14ac:dyDescent="0.25">
      <c r="D257" s="69"/>
      <c r="E257" s="34"/>
      <c r="F257" s="34"/>
      <c r="H257" s="35"/>
      <c r="I257" s="36"/>
      <c r="J257" s="37"/>
      <c r="K257" s="38"/>
      <c r="L257" s="29"/>
      <c r="M257" s="29"/>
      <c r="N257" s="29"/>
      <c r="O257" s="39"/>
      <c r="P257" s="40">
        <f t="shared" si="12"/>
        <v>0</v>
      </c>
      <c r="Q257" s="40">
        <f t="shared" si="13"/>
        <v>0</v>
      </c>
      <c r="R257" s="40">
        <f t="shared" si="14"/>
        <v>0</v>
      </c>
      <c r="S257" s="41"/>
      <c r="T257" s="41"/>
      <c r="U257" s="41"/>
      <c r="V257" s="41"/>
      <c r="W257" s="41"/>
      <c r="X257" s="41"/>
      <c r="Y257" s="33">
        <f t="shared" si="15"/>
        <v>0</v>
      </c>
    </row>
    <row r="258" spans="4:25" x14ac:dyDescent="0.25">
      <c r="D258" s="69"/>
      <c r="E258" s="34"/>
      <c r="F258" s="34"/>
      <c r="H258" s="35"/>
      <c r="I258" s="36"/>
      <c r="J258" s="37"/>
      <c r="K258" s="38"/>
      <c r="L258" s="29"/>
      <c r="M258" s="29"/>
      <c r="N258" s="29"/>
      <c r="O258" s="39"/>
      <c r="P258" s="40">
        <f t="shared" si="12"/>
        <v>0</v>
      </c>
      <c r="Q258" s="40">
        <f t="shared" si="13"/>
        <v>0</v>
      </c>
      <c r="R258" s="40">
        <f t="shared" si="14"/>
        <v>0</v>
      </c>
      <c r="S258" s="41"/>
      <c r="T258" s="41"/>
      <c r="U258" s="41"/>
      <c r="V258" s="41"/>
      <c r="W258" s="41"/>
      <c r="X258" s="41"/>
      <c r="Y258" s="33">
        <f t="shared" si="15"/>
        <v>0</v>
      </c>
    </row>
    <row r="259" spans="4:25" x14ac:dyDescent="0.25">
      <c r="D259" s="69"/>
      <c r="E259" s="34"/>
      <c r="F259" s="34"/>
      <c r="H259" s="35"/>
      <c r="I259" s="36"/>
      <c r="J259" s="37"/>
      <c r="K259" s="38"/>
      <c r="L259" s="29"/>
      <c r="M259" s="29"/>
      <c r="N259" s="29"/>
      <c r="O259" s="39"/>
      <c r="P259" s="40">
        <f t="shared" ref="P259:P302" si="16">$L259*$O259</f>
        <v>0</v>
      </c>
      <c r="Q259" s="40">
        <f t="shared" si="13"/>
        <v>0</v>
      </c>
      <c r="R259" s="40">
        <f t="shared" si="14"/>
        <v>0</v>
      </c>
      <c r="S259" s="41"/>
      <c r="T259" s="41"/>
      <c r="U259" s="41"/>
      <c r="V259" s="41"/>
      <c r="W259" s="41"/>
      <c r="X259" s="41"/>
      <c r="Y259" s="33">
        <f t="shared" si="15"/>
        <v>0</v>
      </c>
    </row>
    <row r="260" spans="4:25" x14ac:dyDescent="0.25">
      <c r="D260" s="69"/>
      <c r="E260" s="34"/>
      <c r="F260" s="34"/>
      <c r="H260" s="35"/>
      <c r="I260" s="36"/>
      <c r="J260" s="37"/>
      <c r="K260" s="38"/>
      <c r="L260" s="29"/>
      <c r="M260" s="29"/>
      <c r="N260" s="29"/>
      <c r="O260" s="39"/>
      <c r="P260" s="40">
        <f t="shared" si="16"/>
        <v>0</v>
      </c>
      <c r="Q260" s="40">
        <f t="shared" ref="Q260:Q302" si="17">IF(E260="NE",(M260*O260*1.5),(M260*O260))</f>
        <v>0</v>
      </c>
      <c r="R260" s="40">
        <f t="shared" ref="R260:R302" si="18">P260+Q260</f>
        <v>0</v>
      </c>
      <c r="S260" s="41"/>
      <c r="T260" s="41"/>
      <c r="U260" s="41"/>
      <c r="V260" s="41"/>
      <c r="W260" s="41"/>
      <c r="X260" s="41"/>
      <c r="Y260" s="33">
        <f t="shared" ref="Y260:Y302" si="19">SUM(R260:X260)</f>
        <v>0</v>
      </c>
    </row>
    <row r="261" spans="4:25" x14ac:dyDescent="0.25">
      <c r="D261" s="69"/>
      <c r="E261" s="34"/>
      <c r="F261" s="34"/>
      <c r="H261" s="35"/>
      <c r="I261" s="36"/>
      <c r="J261" s="37"/>
      <c r="K261" s="38"/>
      <c r="L261" s="29"/>
      <c r="M261" s="29"/>
      <c r="N261" s="29"/>
      <c r="O261" s="39"/>
      <c r="P261" s="40">
        <f t="shared" si="16"/>
        <v>0</v>
      </c>
      <c r="Q261" s="40">
        <f t="shared" si="17"/>
        <v>0</v>
      </c>
      <c r="R261" s="40">
        <f t="shared" si="18"/>
        <v>0</v>
      </c>
      <c r="S261" s="41"/>
      <c r="T261" s="41"/>
      <c r="U261" s="41"/>
      <c r="V261" s="41"/>
      <c r="W261" s="41"/>
      <c r="X261" s="41"/>
      <c r="Y261" s="33">
        <f t="shared" si="19"/>
        <v>0</v>
      </c>
    </row>
    <row r="262" spans="4:25" x14ac:dyDescent="0.25">
      <c r="D262" s="69"/>
      <c r="E262" s="34"/>
      <c r="F262" s="34"/>
      <c r="G262" s="38"/>
      <c r="H262" s="35"/>
      <c r="I262" s="36"/>
      <c r="J262" s="37"/>
      <c r="K262" s="38"/>
      <c r="L262" s="29"/>
      <c r="M262" s="29"/>
      <c r="N262" s="29"/>
      <c r="O262" s="39"/>
      <c r="P262" s="40">
        <f t="shared" si="16"/>
        <v>0</v>
      </c>
      <c r="Q262" s="40">
        <f t="shared" si="17"/>
        <v>0</v>
      </c>
      <c r="R262" s="40">
        <f t="shared" si="18"/>
        <v>0</v>
      </c>
      <c r="S262" s="41"/>
      <c r="T262" s="41"/>
      <c r="U262" s="41"/>
      <c r="V262" s="41"/>
      <c r="W262" s="41"/>
      <c r="X262" s="41"/>
      <c r="Y262" s="33">
        <f t="shared" si="19"/>
        <v>0</v>
      </c>
    </row>
    <row r="263" spans="4:25" x14ac:dyDescent="0.25">
      <c r="D263" s="69"/>
      <c r="E263" s="34"/>
      <c r="F263" s="34"/>
      <c r="G263" s="38"/>
      <c r="H263" s="35"/>
      <c r="I263" s="36"/>
      <c r="J263" s="37"/>
      <c r="K263" s="38"/>
      <c r="L263" s="29"/>
      <c r="M263" s="29"/>
      <c r="N263" s="29"/>
      <c r="O263" s="39"/>
      <c r="P263" s="40">
        <f t="shared" si="16"/>
        <v>0</v>
      </c>
      <c r="Q263" s="40">
        <f t="shared" si="17"/>
        <v>0</v>
      </c>
      <c r="R263" s="40">
        <f t="shared" si="18"/>
        <v>0</v>
      </c>
      <c r="S263" s="41"/>
      <c r="T263" s="41"/>
      <c r="U263" s="41"/>
      <c r="V263" s="41"/>
      <c r="W263" s="41"/>
      <c r="X263" s="41"/>
      <c r="Y263" s="33">
        <f t="shared" si="19"/>
        <v>0</v>
      </c>
    </row>
    <row r="264" spans="4:25" x14ac:dyDescent="0.25">
      <c r="D264" s="69"/>
      <c r="E264" s="34"/>
      <c r="F264" s="34"/>
      <c r="H264" s="35"/>
      <c r="I264" s="36"/>
      <c r="J264" s="37"/>
      <c r="K264" s="38"/>
      <c r="L264" s="29"/>
      <c r="M264" s="29"/>
      <c r="N264" s="29"/>
      <c r="O264" s="39"/>
      <c r="P264" s="40">
        <f t="shared" si="16"/>
        <v>0</v>
      </c>
      <c r="Q264" s="40">
        <f t="shared" si="17"/>
        <v>0</v>
      </c>
      <c r="R264" s="40">
        <f t="shared" si="18"/>
        <v>0</v>
      </c>
      <c r="S264" s="41"/>
      <c r="T264" s="41"/>
      <c r="U264" s="41"/>
      <c r="V264" s="41"/>
      <c r="W264" s="41"/>
      <c r="X264" s="41"/>
      <c r="Y264" s="33">
        <f t="shared" si="19"/>
        <v>0</v>
      </c>
    </row>
    <row r="265" spans="4:25" x14ac:dyDescent="0.25">
      <c r="D265" s="69"/>
      <c r="E265" s="34"/>
      <c r="F265" s="34"/>
      <c r="H265" s="35"/>
      <c r="I265" s="36"/>
      <c r="J265" s="37"/>
      <c r="K265" s="38"/>
      <c r="L265" s="29"/>
      <c r="M265" s="29"/>
      <c r="N265" s="29"/>
      <c r="O265" s="39"/>
      <c r="P265" s="40">
        <f t="shared" si="16"/>
        <v>0</v>
      </c>
      <c r="Q265" s="40">
        <f t="shared" si="17"/>
        <v>0</v>
      </c>
      <c r="R265" s="40">
        <f t="shared" si="18"/>
        <v>0</v>
      </c>
      <c r="S265" s="41"/>
      <c r="T265" s="41"/>
      <c r="U265" s="41"/>
      <c r="V265" s="41"/>
      <c r="W265" s="41"/>
      <c r="X265" s="41"/>
      <c r="Y265" s="33">
        <f t="shared" si="19"/>
        <v>0</v>
      </c>
    </row>
    <row r="266" spans="4:25" x14ac:dyDescent="0.25">
      <c r="D266" s="69"/>
      <c r="E266" s="34"/>
      <c r="F266" s="34"/>
      <c r="H266" s="35"/>
      <c r="I266" s="36"/>
      <c r="J266" s="37"/>
      <c r="K266" s="38"/>
      <c r="L266" s="29"/>
      <c r="M266" s="29"/>
      <c r="N266" s="29"/>
      <c r="O266" s="39"/>
      <c r="P266" s="40">
        <f t="shared" si="16"/>
        <v>0</v>
      </c>
      <c r="Q266" s="40">
        <f t="shared" si="17"/>
        <v>0</v>
      </c>
      <c r="R266" s="40">
        <f t="shared" si="18"/>
        <v>0</v>
      </c>
      <c r="S266" s="41"/>
      <c r="T266" s="41"/>
      <c r="U266" s="41"/>
      <c r="V266" s="41"/>
      <c r="W266" s="41"/>
      <c r="X266" s="41"/>
      <c r="Y266" s="33">
        <f t="shared" si="19"/>
        <v>0</v>
      </c>
    </row>
    <row r="267" spans="4:25" x14ac:dyDescent="0.25">
      <c r="D267" s="69"/>
      <c r="E267" s="34"/>
      <c r="F267" s="34"/>
      <c r="H267" s="35"/>
      <c r="I267" s="36"/>
      <c r="J267" s="37"/>
      <c r="K267" s="38"/>
      <c r="L267" s="29"/>
      <c r="M267" s="29"/>
      <c r="N267" s="29"/>
      <c r="O267" s="39"/>
      <c r="P267" s="40">
        <f t="shared" si="16"/>
        <v>0</v>
      </c>
      <c r="Q267" s="40">
        <f t="shared" si="17"/>
        <v>0</v>
      </c>
      <c r="R267" s="40">
        <f t="shared" si="18"/>
        <v>0</v>
      </c>
      <c r="S267" s="41"/>
      <c r="T267" s="41"/>
      <c r="U267" s="41"/>
      <c r="V267" s="41"/>
      <c r="W267" s="41"/>
      <c r="X267" s="41"/>
      <c r="Y267" s="33">
        <f t="shared" si="19"/>
        <v>0</v>
      </c>
    </row>
    <row r="268" spans="4:25" x14ac:dyDescent="0.25">
      <c r="D268" s="69"/>
      <c r="E268" s="34"/>
      <c r="F268" s="34"/>
      <c r="H268" s="35"/>
      <c r="I268" s="36"/>
      <c r="J268" s="37"/>
      <c r="K268" s="38"/>
      <c r="L268" s="29"/>
      <c r="M268" s="29"/>
      <c r="N268" s="29"/>
      <c r="O268" s="39"/>
      <c r="P268" s="40">
        <f t="shared" si="16"/>
        <v>0</v>
      </c>
      <c r="Q268" s="40">
        <f t="shared" si="17"/>
        <v>0</v>
      </c>
      <c r="R268" s="40">
        <f t="shared" si="18"/>
        <v>0</v>
      </c>
      <c r="S268" s="41"/>
      <c r="T268" s="41"/>
      <c r="U268" s="41"/>
      <c r="V268" s="41"/>
      <c r="W268" s="41"/>
      <c r="X268" s="41"/>
      <c r="Y268" s="33">
        <f t="shared" si="19"/>
        <v>0</v>
      </c>
    </row>
    <row r="269" spans="4:25" x14ac:dyDescent="0.25">
      <c r="D269" s="69"/>
      <c r="E269" s="34"/>
      <c r="F269" s="34"/>
      <c r="H269" s="35"/>
      <c r="I269" s="36"/>
      <c r="J269" s="37"/>
      <c r="K269" s="38"/>
      <c r="L269" s="29"/>
      <c r="M269" s="29"/>
      <c r="N269" s="29"/>
      <c r="O269" s="39"/>
      <c r="P269" s="40">
        <f t="shared" si="16"/>
        <v>0</v>
      </c>
      <c r="Q269" s="40">
        <f t="shared" si="17"/>
        <v>0</v>
      </c>
      <c r="R269" s="40">
        <f t="shared" si="18"/>
        <v>0</v>
      </c>
      <c r="S269" s="41"/>
      <c r="T269" s="41"/>
      <c r="U269" s="41"/>
      <c r="V269" s="41"/>
      <c r="W269" s="41"/>
      <c r="X269" s="41"/>
      <c r="Y269" s="33">
        <f t="shared" si="19"/>
        <v>0</v>
      </c>
    </row>
    <row r="270" spans="4:25" x14ac:dyDescent="0.25">
      <c r="D270" s="69"/>
      <c r="E270" s="34"/>
      <c r="F270" s="34"/>
      <c r="H270" s="35"/>
      <c r="I270" s="36"/>
      <c r="J270" s="37"/>
      <c r="K270" s="38"/>
      <c r="L270" s="29"/>
      <c r="M270" s="29"/>
      <c r="N270" s="29"/>
      <c r="O270" s="39"/>
      <c r="P270" s="40">
        <f t="shared" si="16"/>
        <v>0</v>
      </c>
      <c r="Q270" s="40">
        <f t="shared" si="17"/>
        <v>0</v>
      </c>
      <c r="R270" s="40">
        <f t="shared" si="18"/>
        <v>0</v>
      </c>
      <c r="S270" s="41"/>
      <c r="T270" s="41"/>
      <c r="U270" s="41"/>
      <c r="V270" s="41"/>
      <c r="W270" s="41"/>
      <c r="X270" s="41"/>
      <c r="Y270" s="33">
        <f t="shared" si="19"/>
        <v>0</v>
      </c>
    </row>
    <row r="271" spans="4:25" x14ac:dyDescent="0.25">
      <c r="D271" s="69"/>
      <c r="E271" s="34"/>
      <c r="F271" s="34"/>
      <c r="H271" s="35"/>
      <c r="I271" s="36"/>
      <c r="J271" s="37"/>
      <c r="K271" s="38"/>
      <c r="L271" s="29"/>
      <c r="M271" s="29"/>
      <c r="N271" s="29"/>
      <c r="O271" s="39"/>
      <c r="P271" s="40">
        <f t="shared" si="16"/>
        <v>0</v>
      </c>
      <c r="Q271" s="40">
        <f t="shared" si="17"/>
        <v>0</v>
      </c>
      <c r="R271" s="40">
        <f t="shared" si="18"/>
        <v>0</v>
      </c>
      <c r="S271" s="41"/>
      <c r="T271" s="41"/>
      <c r="U271" s="41"/>
      <c r="V271" s="41"/>
      <c r="W271" s="41"/>
      <c r="X271" s="41"/>
      <c r="Y271" s="33">
        <f t="shared" si="19"/>
        <v>0</v>
      </c>
    </row>
    <row r="272" spans="4:25" x14ac:dyDescent="0.25">
      <c r="D272" s="69"/>
      <c r="E272" s="34"/>
      <c r="F272" s="34"/>
      <c r="H272" s="35"/>
      <c r="I272" s="36"/>
      <c r="J272" s="37"/>
      <c r="K272" s="38"/>
      <c r="L272" s="29"/>
      <c r="M272" s="29"/>
      <c r="N272" s="29"/>
      <c r="O272" s="39"/>
      <c r="P272" s="40">
        <f t="shared" si="16"/>
        <v>0</v>
      </c>
      <c r="Q272" s="40">
        <f t="shared" si="17"/>
        <v>0</v>
      </c>
      <c r="R272" s="40">
        <f t="shared" si="18"/>
        <v>0</v>
      </c>
      <c r="S272" s="41"/>
      <c r="T272" s="41"/>
      <c r="U272" s="41"/>
      <c r="V272" s="41"/>
      <c r="W272" s="41"/>
      <c r="X272" s="41"/>
      <c r="Y272" s="33">
        <f t="shared" si="19"/>
        <v>0</v>
      </c>
    </row>
    <row r="273" spans="4:25" x14ac:dyDescent="0.25">
      <c r="D273" s="69"/>
      <c r="E273" s="34"/>
      <c r="F273" s="34"/>
      <c r="H273" s="35"/>
      <c r="I273" s="36"/>
      <c r="J273" s="37"/>
      <c r="K273" s="38"/>
      <c r="L273" s="29"/>
      <c r="M273" s="29"/>
      <c r="N273" s="29"/>
      <c r="O273" s="39"/>
      <c r="P273" s="40">
        <f t="shared" si="16"/>
        <v>0</v>
      </c>
      <c r="Q273" s="40">
        <f t="shared" si="17"/>
        <v>0</v>
      </c>
      <c r="R273" s="40">
        <f t="shared" si="18"/>
        <v>0</v>
      </c>
      <c r="S273" s="41"/>
      <c r="T273" s="41"/>
      <c r="U273" s="41"/>
      <c r="V273" s="41"/>
      <c r="W273" s="41"/>
      <c r="X273" s="41"/>
      <c r="Y273" s="33">
        <f t="shared" si="19"/>
        <v>0</v>
      </c>
    </row>
    <row r="274" spans="4:25" x14ac:dyDescent="0.25">
      <c r="D274" s="69"/>
      <c r="E274" s="34"/>
      <c r="F274" s="34"/>
      <c r="H274" s="35"/>
      <c r="I274" s="36"/>
      <c r="J274" s="37"/>
      <c r="K274" s="38"/>
      <c r="L274" s="29"/>
      <c r="M274" s="29"/>
      <c r="N274" s="29"/>
      <c r="O274" s="39"/>
      <c r="P274" s="40">
        <f t="shared" si="16"/>
        <v>0</v>
      </c>
      <c r="Q274" s="40">
        <f t="shared" si="17"/>
        <v>0</v>
      </c>
      <c r="R274" s="40">
        <f t="shared" si="18"/>
        <v>0</v>
      </c>
      <c r="S274" s="41"/>
      <c r="T274" s="41"/>
      <c r="U274" s="41"/>
      <c r="V274" s="41"/>
      <c r="W274" s="41"/>
      <c r="X274" s="41"/>
      <c r="Y274" s="33">
        <f t="shared" si="19"/>
        <v>0</v>
      </c>
    </row>
    <row r="275" spans="4:25" x14ac:dyDescent="0.25">
      <c r="D275" s="69"/>
      <c r="E275" s="34"/>
      <c r="F275" s="34"/>
      <c r="H275" s="35"/>
      <c r="I275" s="36"/>
      <c r="J275" s="37"/>
      <c r="K275" s="38"/>
      <c r="L275" s="29"/>
      <c r="M275" s="29"/>
      <c r="N275" s="29"/>
      <c r="O275" s="39"/>
      <c r="P275" s="40">
        <f t="shared" si="16"/>
        <v>0</v>
      </c>
      <c r="Q275" s="40">
        <f t="shared" si="17"/>
        <v>0</v>
      </c>
      <c r="R275" s="40">
        <f t="shared" si="18"/>
        <v>0</v>
      </c>
      <c r="S275" s="41"/>
      <c r="T275" s="41"/>
      <c r="U275" s="41"/>
      <c r="V275" s="41"/>
      <c r="W275" s="41"/>
      <c r="X275" s="41"/>
      <c r="Y275" s="33">
        <f t="shared" si="19"/>
        <v>0</v>
      </c>
    </row>
    <row r="276" spans="4:25" x14ac:dyDescent="0.25">
      <c r="D276" s="69"/>
      <c r="E276" s="34"/>
      <c r="F276" s="34"/>
      <c r="H276" s="35"/>
      <c r="I276" s="36"/>
      <c r="J276" s="37"/>
      <c r="K276" s="38"/>
      <c r="L276" s="29"/>
      <c r="M276" s="29"/>
      <c r="N276" s="29"/>
      <c r="O276" s="39"/>
      <c r="P276" s="40">
        <f t="shared" si="16"/>
        <v>0</v>
      </c>
      <c r="Q276" s="40">
        <f t="shared" si="17"/>
        <v>0</v>
      </c>
      <c r="R276" s="40">
        <f t="shared" si="18"/>
        <v>0</v>
      </c>
      <c r="S276" s="41"/>
      <c r="T276" s="41"/>
      <c r="U276" s="41"/>
      <c r="V276" s="41"/>
      <c r="W276" s="41"/>
      <c r="X276" s="41"/>
      <c r="Y276" s="33">
        <f t="shared" si="19"/>
        <v>0</v>
      </c>
    </row>
    <row r="277" spans="4:25" x14ac:dyDescent="0.25">
      <c r="D277" s="69"/>
      <c r="E277" s="34"/>
      <c r="F277" s="34"/>
      <c r="H277" s="35"/>
      <c r="I277" s="36"/>
      <c r="J277" s="37"/>
      <c r="K277" s="38"/>
      <c r="L277" s="29"/>
      <c r="M277" s="29"/>
      <c r="N277" s="29"/>
      <c r="O277" s="39"/>
      <c r="P277" s="40">
        <f t="shared" si="16"/>
        <v>0</v>
      </c>
      <c r="Q277" s="40">
        <f t="shared" si="17"/>
        <v>0</v>
      </c>
      <c r="R277" s="40">
        <f t="shared" si="18"/>
        <v>0</v>
      </c>
      <c r="S277" s="41"/>
      <c r="T277" s="41"/>
      <c r="U277" s="41"/>
      <c r="V277" s="41"/>
      <c r="W277" s="41"/>
      <c r="X277" s="41"/>
      <c r="Y277" s="33">
        <f t="shared" si="19"/>
        <v>0</v>
      </c>
    </row>
    <row r="278" spans="4:25" x14ac:dyDescent="0.25">
      <c r="D278" s="69"/>
      <c r="E278" s="34"/>
      <c r="F278" s="34"/>
      <c r="H278" s="35"/>
      <c r="I278" s="36"/>
      <c r="J278" s="37"/>
      <c r="K278" s="38"/>
      <c r="L278" s="29"/>
      <c r="M278" s="29"/>
      <c r="N278" s="29"/>
      <c r="O278" s="39"/>
      <c r="P278" s="40">
        <f t="shared" si="16"/>
        <v>0</v>
      </c>
      <c r="Q278" s="40">
        <f t="shared" si="17"/>
        <v>0</v>
      </c>
      <c r="R278" s="40">
        <f t="shared" si="18"/>
        <v>0</v>
      </c>
      <c r="S278" s="41"/>
      <c r="T278" s="41"/>
      <c r="U278" s="41"/>
      <c r="V278" s="41"/>
      <c r="W278" s="41"/>
      <c r="X278" s="41"/>
      <c r="Y278" s="33">
        <f t="shared" si="19"/>
        <v>0</v>
      </c>
    </row>
    <row r="279" spans="4:25" x14ac:dyDescent="0.25">
      <c r="D279" s="69"/>
      <c r="E279" s="34"/>
      <c r="F279" s="34"/>
      <c r="H279" s="35"/>
      <c r="I279" s="36"/>
      <c r="J279" s="37"/>
      <c r="K279" s="38"/>
      <c r="L279" s="29"/>
      <c r="M279" s="29"/>
      <c r="N279" s="29"/>
      <c r="O279" s="39"/>
      <c r="P279" s="40">
        <f t="shared" si="16"/>
        <v>0</v>
      </c>
      <c r="Q279" s="40">
        <f t="shared" si="17"/>
        <v>0</v>
      </c>
      <c r="R279" s="40">
        <f t="shared" si="18"/>
        <v>0</v>
      </c>
      <c r="S279" s="41"/>
      <c r="T279" s="41"/>
      <c r="U279" s="41"/>
      <c r="V279" s="41"/>
      <c r="W279" s="41"/>
      <c r="X279" s="41"/>
      <c r="Y279" s="33">
        <f t="shared" si="19"/>
        <v>0</v>
      </c>
    </row>
    <row r="280" spans="4:25" x14ac:dyDescent="0.25">
      <c r="D280" s="69"/>
      <c r="E280" s="34"/>
      <c r="F280" s="34"/>
      <c r="H280" s="35"/>
      <c r="I280" s="36"/>
      <c r="J280" s="37"/>
      <c r="K280" s="38"/>
      <c r="L280" s="29"/>
      <c r="M280" s="29"/>
      <c r="N280" s="29"/>
      <c r="O280" s="39"/>
      <c r="P280" s="40">
        <f t="shared" si="16"/>
        <v>0</v>
      </c>
      <c r="Q280" s="40">
        <f t="shared" si="17"/>
        <v>0</v>
      </c>
      <c r="R280" s="40">
        <f t="shared" si="18"/>
        <v>0</v>
      </c>
      <c r="S280" s="41"/>
      <c r="T280" s="41"/>
      <c r="U280" s="41"/>
      <c r="V280" s="41"/>
      <c r="W280" s="41"/>
      <c r="X280" s="41"/>
      <c r="Y280" s="33">
        <f t="shared" si="19"/>
        <v>0</v>
      </c>
    </row>
    <row r="281" spans="4:25" x14ac:dyDescent="0.25">
      <c r="D281" s="69"/>
      <c r="E281" s="34"/>
      <c r="F281" s="34"/>
      <c r="H281" s="35"/>
      <c r="I281" s="36"/>
      <c r="J281" s="37"/>
      <c r="K281" s="38"/>
      <c r="L281" s="29"/>
      <c r="M281" s="29"/>
      <c r="N281" s="29"/>
      <c r="O281" s="39"/>
      <c r="P281" s="40">
        <f t="shared" si="16"/>
        <v>0</v>
      </c>
      <c r="Q281" s="40">
        <f t="shared" si="17"/>
        <v>0</v>
      </c>
      <c r="R281" s="40">
        <f t="shared" si="18"/>
        <v>0</v>
      </c>
      <c r="S281" s="41"/>
      <c r="T281" s="41"/>
      <c r="U281" s="41"/>
      <c r="V281" s="41"/>
      <c r="W281" s="41"/>
      <c r="X281" s="41"/>
      <c r="Y281" s="33">
        <f t="shared" si="19"/>
        <v>0</v>
      </c>
    </row>
    <row r="282" spans="4:25" x14ac:dyDescent="0.25">
      <c r="D282" s="69"/>
      <c r="E282" s="34"/>
      <c r="F282" s="34"/>
      <c r="H282" s="35"/>
      <c r="I282" s="36"/>
      <c r="J282" s="37"/>
      <c r="K282" s="38"/>
      <c r="L282" s="29"/>
      <c r="M282" s="29"/>
      <c r="N282" s="29"/>
      <c r="O282" s="39"/>
      <c r="P282" s="40">
        <f t="shared" si="16"/>
        <v>0</v>
      </c>
      <c r="Q282" s="40">
        <f t="shared" si="17"/>
        <v>0</v>
      </c>
      <c r="R282" s="40">
        <f t="shared" si="18"/>
        <v>0</v>
      </c>
      <c r="S282" s="41"/>
      <c r="T282" s="41"/>
      <c r="U282" s="41"/>
      <c r="V282" s="41"/>
      <c r="W282" s="41"/>
      <c r="X282" s="41"/>
      <c r="Y282" s="33">
        <f t="shared" si="19"/>
        <v>0</v>
      </c>
    </row>
    <row r="283" spans="4:25" x14ac:dyDescent="0.25">
      <c r="D283" s="69"/>
      <c r="E283" s="34"/>
      <c r="F283" s="34"/>
      <c r="H283" s="35"/>
      <c r="I283" s="36"/>
      <c r="J283" s="37"/>
      <c r="K283" s="38"/>
      <c r="L283" s="29"/>
      <c r="M283" s="29"/>
      <c r="N283" s="29"/>
      <c r="O283" s="39"/>
      <c r="P283" s="40">
        <f t="shared" si="16"/>
        <v>0</v>
      </c>
      <c r="Q283" s="40">
        <f t="shared" si="17"/>
        <v>0</v>
      </c>
      <c r="R283" s="40">
        <f t="shared" si="18"/>
        <v>0</v>
      </c>
      <c r="S283" s="41"/>
      <c r="T283" s="41"/>
      <c r="U283" s="41"/>
      <c r="V283" s="41"/>
      <c r="W283" s="41"/>
      <c r="X283" s="41"/>
      <c r="Y283" s="33">
        <f t="shared" si="19"/>
        <v>0</v>
      </c>
    </row>
    <row r="284" spans="4:25" x14ac:dyDescent="0.25">
      <c r="D284" s="69"/>
      <c r="E284" s="34"/>
      <c r="F284" s="34"/>
      <c r="H284" s="35"/>
      <c r="I284" s="36"/>
      <c r="J284" s="37"/>
      <c r="K284" s="38"/>
      <c r="L284" s="29"/>
      <c r="M284" s="29"/>
      <c r="N284" s="29"/>
      <c r="O284" s="39"/>
      <c r="P284" s="40">
        <f t="shared" si="16"/>
        <v>0</v>
      </c>
      <c r="Q284" s="40">
        <f t="shared" si="17"/>
        <v>0</v>
      </c>
      <c r="R284" s="40">
        <f t="shared" si="18"/>
        <v>0</v>
      </c>
      <c r="S284" s="41"/>
      <c r="T284" s="41"/>
      <c r="U284" s="41"/>
      <c r="V284" s="41"/>
      <c r="W284" s="41"/>
      <c r="X284" s="41"/>
      <c r="Y284" s="33">
        <f t="shared" si="19"/>
        <v>0</v>
      </c>
    </row>
    <row r="285" spans="4:25" x14ac:dyDescent="0.25">
      <c r="D285" s="69"/>
      <c r="E285" s="34"/>
      <c r="F285" s="34"/>
      <c r="H285" s="35"/>
      <c r="I285" s="36"/>
      <c r="J285" s="37"/>
      <c r="K285" s="38"/>
      <c r="L285" s="29"/>
      <c r="M285" s="29"/>
      <c r="N285" s="29"/>
      <c r="O285" s="39"/>
      <c r="P285" s="40">
        <f t="shared" si="16"/>
        <v>0</v>
      </c>
      <c r="Q285" s="40">
        <f t="shared" si="17"/>
        <v>0</v>
      </c>
      <c r="R285" s="40">
        <f t="shared" si="18"/>
        <v>0</v>
      </c>
      <c r="S285" s="41"/>
      <c r="T285" s="41"/>
      <c r="U285" s="41"/>
      <c r="V285" s="41"/>
      <c r="W285" s="41"/>
      <c r="X285" s="41"/>
      <c r="Y285" s="33">
        <f t="shared" si="19"/>
        <v>0</v>
      </c>
    </row>
    <row r="286" spans="4:25" x14ac:dyDescent="0.25">
      <c r="D286" s="69"/>
      <c r="E286" s="34"/>
      <c r="F286" s="34"/>
      <c r="H286" s="35"/>
      <c r="I286" s="36"/>
      <c r="J286" s="37"/>
      <c r="K286" s="38"/>
      <c r="L286" s="29"/>
      <c r="M286" s="29"/>
      <c r="N286" s="29"/>
      <c r="O286" s="39"/>
      <c r="P286" s="40">
        <f t="shared" si="16"/>
        <v>0</v>
      </c>
      <c r="Q286" s="40">
        <f t="shared" si="17"/>
        <v>0</v>
      </c>
      <c r="R286" s="40">
        <f t="shared" si="18"/>
        <v>0</v>
      </c>
      <c r="S286" s="41"/>
      <c r="T286" s="41"/>
      <c r="U286" s="41"/>
      <c r="V286" s="41"/>
      <c r="W286" s="41"/>
      <c r="X286" s="41"/>
      <c r="Y286" s="33">
        <f t="shared" si="19"/>
        <v>0</v>
      </c>
    </row>
    <row r="287" spans="4:25" x14ac:dyDescent="0.25">
      <c r="D287" s="69"/>
      <c r="E287" s="34"/>
      <c r="F287" s="34"/>
      <c r="H287" s="35"/>
      <c r="I287" s="36"/>
      <c r="J287" s="37"/>
      <c r="K287" s="38"/>
      <c r="L287" s="29"/>
      <c r="M287" s="29"/>
      <c r="N287" s="29"/>
      <c r="O287" s="39"/>
      <c r="P287" s="40">
        <f t="shared" si="16"/>
        <v>0</v>
      </c>
      <c r="Q287" s="40">
        <f t="shared" si="17"/>
        <v>0</v>
      </c>
      <c r="R287" s="40">
        <f t="shared" si="18"/>
        <v>0</v>
      </c>
      <c r="S287" s="41"/>
      <c r="T287" s="41"/>
      <c r="U287" s="41"/>
      <c r="V287" s="41"/>
      <c r="W287" s="41"/>
      <c r="X287" s="41"/>
      <c r="Y287" s="33">
        <f t="shared" si="19"/>
        <v>0</v>
      </c>
    </row>
    <row r="288" spans="4:25" x14ac:dyDescent="0.25">
      <c r="D288" s="69"/>
      <c r="E288" s="34"/>
      <c r="F288" s="34"/>
      <c r="H288" s="35"/>
      <c r="I288" s="36"/>
      <c r="J288" s="37"/>
      <c r="K288" s="38"/>
      <c r="L288" s="29"/>
      <c r="M288" s="29"/>
      <c r="N288" s="29"/>
      <c r="O288" s="39"/>
      <c r="P288" s="40">
        <f t="shared" si="16"/>
        <v>0</v>
      </c>
      <c r="Q288" s="40">
        <f t="shared" si="17"/>
        <v>0</v>
      </c>
      <c r="R288" s="40">
        <f t="shared" si="18"/>
        <v>0</v>
      </c>
      <c r="S288" s="41"/>
      <c r="T288" s="41"/>
      <c r="U288" s="41"/>
      <c r="V288" s="41"/>
      <c r="W288" s="41"/>
      <c r="X288" s="41"/>
      <c r="Y288" s="33">
        <f t="shared" si="19"/>
        <v>0</v>
      </c>
    </row>
    <row r="289" spans="4:25" x14ac:dyDescent="0.25">
      <c r="D289" s="69"/>
      <c r="E289" s="34"/>
      <c r="F289" s="34"/>
      <c r="H289" s="35"/>
      <c r="I289" s="36"/>
      <c r="J289" s="37"/>
      <c r="K289" s="38"/>
      <c r="L289" s="29"/>
      <c r="M289" s="29"/>
      <c r="N289" s="29"/>
      <c r="O289" s="39"/>
      <c r="P289" s="40">
        <f t="shared" si="16"/>
        <v>0</v>
      </c>
      <c r="Q289" s="40">
        <f t="shared" si="17"/>
        <v>0</v>
      </c>
      <c r="R289" s="40">
        <f t="shared" si="18"/>
        <v>0</v>
      </c>
      <c r="S289" s="41"/>
      <c r="T289" s="41"/>
      <c r="U289" s="41"/>
      <c r="V289" s="41"/>
      <c r="W289" s="41"/>
      <c r="X289" s="41"/>
      <c r="Y289" s="33">
        <f t="shared" si="19"/>
        <v>0</v>
      </c>
    </row>
    <row r="290" spans="4:25" x14ac:dyDescent="0.25">
      <c r="D290" s="69"/>
      <c r="E290" s="34"/>
      <c r="F290" s="34"/>
      <c r="H290" s="35"/>
      <c r="I290" s="36"/>
      <c r="J290" s="37"/>
      <c r="K290" s="38"/>
      <c r="L290" s="29"/>
      <c r="M290" s="29"/>
      <c r="N290" s="29"/>
      <c r="O290" s="39"/>
      <c r="P290" s="40">
        <f t="shared" si="16"/>
        <v>0</v>
      </c>
      <c r="Q290" s="40">
        <f t="shared" si="17"/>
        <v>0</v>
      </c>
      <c r="R290" s="40">
        <f t="shared" si="18"/>
        <v>0</v>
      </c>
      <c r="S290" s="41"/>
      <c r="T290" s="41"/>
      <c r="U290" s="41"/>
      <c r="V290" s="41"/>
      <c r="W290" s="41"/>
      <c r="X290" s="41"/>
      <c r="Y290" s="33">
        <f t="shared" si="19"/>
        <v>0</v>
      </c>
    </row>
    <row r="291" spans="4:25" x14ac:dyDescent="0.25">
      <c r="D291" s="69"/>
      <c r="E291" s="34"/>
      <c r="F291" s="34"/>
      <c r="H291" s="35"/>
      <c r="I291" s="36"/>
      <c r="J291" s="37"/>
      <c r="K291" s="38"/>
      <c r="L291" s="29"/>
      <c r="M291" s="29"/>
      <c r="N291" s="29"/>
      <c r="O291" s="39"/>
      <c r="P291" s="40">
        <f t="shared" si="16"/>
        <v>0</v>
      </c>
      <c r="Q291" s="40">
        <f t="shared" si="17"/>
        <v>0</v>
      </c>
      <c r="R291" s="40">
        <f t="shared" si="18"/>
        <v>0</v>
      </c>
      <c r="S291" s="41"/>
      <c r="T291" s="41"/>
      <c r="U291" s="41"/>
      <c r="V291" s="41"/>
      <c r="W291" s="41"/>
      <c r="X291" s="41"/>
      <c r="Y291" s="33">
        <f t="shared" si="19"/>
        <v>0</v>
      </c>
    </row>
    <row r="292" spans="4:25" x14ac:dyDescent="0.25">
      <c r="D292" s="69"/>
      <c r="E292" s="34"/>
      <c r="F292" s="34"/>
      <c r="H292" s="35"/>
      <c r="I292" s="36"/>
      <c r="J292" s="37"/>
      <c r="K292" s="38"/>
      <c r="L292" s="29"/>
      <c r="M292" s="29"/>
      <c r="N292" s="29"/>
      <c r="O292" s="39"/>
      <c r="P292" s="40">
        <f t="shared" si="16"/>
        <v>0</v>
      </c>
      <c r="Q292" s="40">
        <f t="shared" si="17"/>
        <v>0</v>
      </c>
      <c r="R292" s="40">
        <f t="shared" si="18"/>
        <v>0</v>
      </c>
      <c r="S292" s="41"/>
      <c r="T292" s="41"/>
      <c r="U292" s="41"/>
      <c r="V292" s="41"/>
      <c r="W292" s="41"/>
      <c r="X292" s="41"/>
      <c r="Y292" s="33">
        <f t="shared" si="19"/>
        <v>0</v>
      </c>
    </row>
    <row r="293" spans="4:25" x14ac:dyDescent="0.25">
      <c r="D293" s="69"/>
      <c r="E293" s="34"/>
      <c r="F293" s="34"/>
      <c r="H293" s="35"/>
      <c r="I293" s="36"/>
      <c r="J293" s="37"/>
      <c r="K293" s="38"/>
      <c r="L293" s="29"/>
      <c r="M293" s="29"/>
      <c r="N293" s="29"/>
      <c r="O293" s="39"/>
      <c r="P293" s="40">
        <f t="shared" si="16"/>
        <v>0</v>
      </c>
      <c r="Q293" s="40">
        <f t="shared" si="17"/>
        <v>0</v>
      </c>
      <c r="R293" s="40">
        <f t="shared" si="18"/>
        <v>0</v>
      </c>
      <c r="S293" s="41"/>
      <c r="T293" s="41"/>
      <c r="U293" s="41"/>
      <c r="V293" s="41"/>
      <c r="W293" s="41"/>
      <c r="X293" s="41"/>
      <c r="Y293" s="33">
        <f t="shared" si="19"/>
        <v>0</v>
      </c>
    </row>
    <row r="294" spans="4:25" x14ac:dyDescent="0.25">
      <c r="D294" s="69"/>
      <c r="E294" s="34"/>
      <c r="F294" s="34"/>
      <c r="H294" s="35"/>
      <c r="I294" s="36"/>
      <c r="J294" s="37"/>
      <c r="K294" s="38"/>
      <c r="L294" s="29"/>
      <c r="M294" s="29"/>
      <c r="N294" s="29"/>
      <c r="O294" s="39"/>
      <c r="P294" s="40">
        <f t="shared" si="16"/>
        <v>0</v>
      </c>
      <c r="Q294" s="40">
        <f t="shared" si="17"/>
        <v>0</v>
      </c>
      <c r="R294" s="40">
        <f t="shared" si="18"/>
        <v>0</v>
      </c>
      <c r="S294" s="41"/>
      <c r="T294" s="41"/>
      <c r="U294" s="41"/>
      <c r="V294" s="41"/>
      <c r="W294" s="41"/>
      <c r="X294" s="41"/>
      <c r="Y294" s="33">
        <f t="shared" si="19"/>
        <v>0</v>
      </c>
    </row>
    <row r="295" spans="4:25" x14ac:dyDescent="0.25">
      <c r="D295" s="69"/>
      <c r="E295" s="34"/>
      <c r="F295" s="34"/>
      <c r="H295" s="35"/>
      <c r="I295" s="36"/>
      <c r="J295" s="37"/>
      <c r="K295" s="38"/>
      <c r="L295" s="29"/>
      <c r="M295" s="29"/>
      <c r="N295" s="29"/>
      <c r="O295" s="39"/>
      <c r="P295" s="40">
        <f t="shared" si="16"/>
        <v>0</v>
      </c>
      <c r="Q295" s="40">
        <f t="shared" si="17"/>
        <v>0</v>
      </c>
      <c r="R295" s="40">
        <f t="shared" si="18"/>
        <v>0</v>
      </c>
      <c r="S295" s="41"/>
      <c r="T295" s="41"/>
      <c r="U295" s="41"/>
      <c r="V295" s="41"/>
      <c r="W295" s="41"/>
      <c r="X295" s="41"/>
      <c r="Y295" s="33">
        <f t="shared" si="19"/>
        <v>0</v>
      </c>
    </row>
    <row r="296" spans="4:25" x14ac:dyDescent="0.25">
      <c r="D296" s="69"/>
      <c r="E296" s="34"/>
      <c r="F296" s="34"/>
      <c r="H296" s="35"/>
      <c r="I296" s="36"/>
      <c r="J296" s="37"/>
      <c r="K296" s="38"/>
      <c r="L296" s="29"/>
      <c r="M296" s="29"/>
      <c r="N296" s="29"/>
      <c r="O296" s="39"/>
      <c r="P296" s="40">
        <f t="shared" si="16"/>
        <v>0</v>
      </c>
      <c r="Q296" s="40">
        <f t="shared" si="17"/>
        <v>0</v>
      </c>
      <c r="R296" s="40">
        <f t="shared" si="18"/>
        <v>0</v>
      </c>
      <c r="S296" s="41"/>
      <c r="T296" s="41"/>
      <c r="U296" s="41"/>
      <c r="V296" s="41"/>
      <c r="W296" s="41"/>
      <c r="X296" s="41"/>
      <c r="Y296" s="33">
        <f t="shared" si="19"/>
        <v>0</v>
      </c>
    </row>
    <row r="297" spans="4:25" x14ac:dyDescent="0.25">
      <c r="D297" s="69"/>
      <c r="E297" s="34"/>
      <c r="F297" s="34"/>
      <c r="H297" s="35"/>
      <c r="I297" s="36"/>
      <c r="J297" s="37"/>
      <c r="K297" s="38"/>
      <c r="L297" s="29"/>
      <c r="M297" s="29"/>
      <c r="N297" s="29"/>
      <c r="O297" s="39"/>
      <c r="P297" s="40">
        <f t="shared" si="16"/>
        <v>0</v>
      </c>
      <c r="Q297" s="40">
        <f t="shared" si="17"/>
        <v>0</v>
      </c>
      <c r="R297" s="40">
        <f t="shared" si="18"/>
        <v>0</v>
      </c>
      <c r="S297" s="41"/>
      <c r="T297" s="41"/>
      <c r="U297" s="41"/>
      <c r="V297" s="41"/>
      <c r="W297" s="41"/>
      <c r="X297" s="41"/>
      <c r="Y297" s="33">
        <f t="shared" si="19"/>
        <v>0</v>
      </c>
    </row>
    <row r="298" spans="4:25" x14ac:dyDescent="0.25">
      <c r="D298" s="69"/>
      <c r="E298" s="34"/>
      <c r="F298" s="34"/>
      <c r="H298" s="35"/>
      <c r="I298" s="36"/>
      <c r="J298" s="37"/>
      <c r="K298" s="38"/>
      <c r="L298" s="29"/>
      <c r="M298" s="29"/>
      <c r="N298" s="29"/>
      <c r="O298" s="39"/>
      <c r="P298" s="40">
        <f t="shared" si="16"/>
        <v>0</v>
      </c>
      <c r="Q298" s="40">
        <f t="shared" si="17"/>
        <v>0</v>
      </c>
      <c r="R298" s="40">
        <f t="shared" si="18"/>
        <v>0</v>
      </c>
      <c r="S298" s="41"/>
      <c r="T298" s="41"/>
      <c r="U298" s="41"/>
      <c r="V298" s="41"/>
      <c r="W298" s="41"/>
      <c r="X298" s="41"/>
      <c r="Y298" s="33">
        <f t="shared" si="19"/>
        <v>0</v>
      </c>
    </row>
    <row r="299" spans="4:25" x14ac:dyDescent="0.25">
      <c r="D299" s="69"/>
      <c r="E299" s="34"/>
      <c r="F299" s="34"/>
      <c r="H299" s="35"/>
      <c r="I299" s="36"/>
      <c r="J299" s="37"/>
      <c r="K299" s="38"/>
      <c r="L299" s="29"/>
      <c r="M299" s="29"/>
      <c r="N299" s="29"/>
      <c r="O299" s="39"/>
      <c r="P299" s="40">
        <f t="shared" si="16"/>
        <v>0</v>
      </c>
      <c r="Q299" s="40">
        <f t="shared" si="17"/>
        <v>0</v>
      </c>
      <c r="R299" s="40">
        <f t="shared" si="18"/>
        <v>0</v>
      </c>
      <c r="S299" s="41"/>
      <c r="T299" s="41"/>
      <c r="U299" s="41"/>
      <c r="V299" s="41"/>
      <c r="W299" s="41"/>
      <c r="X299" s="41"/>
      <c r="Y299" s="33">
        <f t="shared" si="19"/>
        <v>0</v>
      </c>
    </row>
    <row r="300" spans="4:25" x14ac:dyDescent="0.25">
      <c r="D300" s="69"/>
      <c r="E300" s="34"/>
      <c r="F300" s="34"/>
      <c r="H300" s="35"/>
      <c r="I300" s="36"/>
      <c r="J300" s="37"/>
      <c r="K300" s="38"/>
      <c r="L300" s="29"/>
      <c r="M300" s="29"/>
      <c r="N300" s="29"/>
      <c r="O300" s="39"/>
      <c r="P300" s="40">
        <f t="shared" si="16"/>
        <v>0</v>
      </c>
      <c r="Q300" s="40">
        <f t="shared" si="17"/>
        <v>0</v>
      </c>
      <c r="R300" s="40">
        <f t="shared" si="18"/>
        <v>0</v>
      </c>
      <c r="S300" s="41"/>
      <c r="T300" s="41"/>
      <c r="U300" s="41"/>
      <c r="V300" s="41"/>
      <c r="W300" s="41"/>
      <c r="X300" s="41"/>
      <c r="Y300" s="33">
        <f t="shared" si="19"/>
        <v>0</v>
      </c>
    </row>
    <row r="301" spans="4:25" x14ac:dyDescent="0.25">
      <c r="D301" s="69"/>
      <c r="E301" s="34"/>
      <c r="F301" s="34"/>
      <c r="H301" s="35"/>
      <c r="I301" s="36"/>
      <c r="J301" s="37"/>
      <c r="K301" s="38"/>
      <c r="L301" s="29"/>
      <c r="M301" s="29"/>
      <c r="N301" s="29"/>
      <c r="O301" s="39"/>
      <c r="P301" s="40">
        <f t="shared" si="16"/>
        <v>0</v>
      </c>
      <c r="Q301" s="40">
        <f t="shared" si="17"/>
        <v>0</v>
      </c>
      <c r="R301" s="40">
        <f t="shared" si="18"/>
        <v>0</v>
      </c>
      <c r="S301" s="41"/>
      <c r="T301" s="41"/>
      <c r="U301" s="41"/>
      <c r="V301" s="41"/>
      <c r="W301" s="41"/>
      <c r="X301" s="41"/>
      <c r="Y301" s="33">
        <f t="shared" si="19"/>
        <v>0</v>
      </c>
    </row>
    <row r="302" spans="4:25" x14ac:dyDescent="0.25">
      <c r="D302" s="69"/>
      <c r="E302" s="34"/>
      <c r="F302" s="34"/>
      <c r="H302" s="35"/>
      <c r="I302" s="36"/>
      <c r="J302" s="37"/>
      <c r="K302" s="38"/>
      <c r="L302" s="29"/>
      <c r="M302" s="29"/>
      <c r="N302" s="29"/>
      <c r="O302" s="39"/>
      <c r="P302" s="40">
        <f t="shared" si="16"/>
        <v>0</v>
      </c>
      <c r="Q302" s="40">
        <f t="shared" si="17"/>
        <v>0</v>
      </c>
      <c r="R302" s="40">
        <f t="shared" si="18"/>
        <v>0</v>
      </c>
      <c r="S302" s="41"/>
      <c r="T302" s="41"/>
      <c r="U302" s="41"/>
      <c r="V302" s="41"/>
      <c r="W302" s="41"/>
      <c r="X302" s="41"/>
      <c r="Y302" s="33">
        <f t="shared" si="19"/>
        <v>0</v>
      </c>
    </row>
    <row r="303" spans="4:25" ht="15.6" x14ac:dyDescent="0.3">
      <c r="D303" s="65"/>
      <c r="E303" s="34"/>
      <c r="F303" s="34"/>
      <c r="H303" s="35"/>
      <c r="I303" s="36"/>
      <c r="J303" s="37"/>
      <c r="K303" s="38"/>
      <c r="L303" s="29"/>
      <c r="M303" s="29"/>
      <c r="N303" s="29"/>
      <c r="O303" s="39"/>
      <c r="P303" s="40"/>
      <c r="Q303" s="40"/>
      <c r="R303" s="40"/>
      <c r="S303" s="41"/>
      <c r="T303" s="41"/>
      <c r="U303" s="41"/>
      <c r="V303" s="41"/>
      <c r="W303" s="41"/>
      <c r="X303" s="41"/>
      <c r="Y303" s="33"/>
    </row>
    <row r="304" spans="4:25" x14ac:dyDescent="0.25">
      <c r="E304" s="34"/>
      <c r="F304" s="34"/>
      <c r="H304" s="35"/>
      <c r="I304" s="36"/>
      <c r="J304" s="37"/>
      <c r="K304" s="38"/>
      <c r="L304" s="29"/>
      <c r="M304" s="29"/>
      <c r="N304" s="29"/>
      <c r="O304" s="39"/>
      <c r="P304" s="40"/>
      <c r="Q304" s="40"/>
      <c r="R304" s="40"/>
      <c r="S304" s="41"/>
      <c r="T304" s="41"/>
      <c r="U304" s="41"/>
      <c r="V304" s="41"/>
      <c r="W304" s="41"/>
      <c r="X304" s="40"/>
      <c r="Y304" s="33"/>
    </row>
    <row r="305" spans="8:25" ht="15.6" x14ac:dyDescent="0.3">
      <c r="H305" s="35"/>
      <c r="I305" s="36"/>
      <c r="J305" s="37"/>
      <c r="K305" s="42" t="s">
        <v>99</v>
      </c>
      <c r="L305" s="59">
        <f>SUM(L3:L302)</f>
        <v>0</v>
      </c>
      <c r="M305" s="59">
        <f t="shared" ref="M305:Y305" si="20">SUM(M3:M302)</f>
        <v>0</v>
      </c>
      <c r="N305" s="59">
        <f t="shared" si="20"/>
        <v>0</v>
      </c>
      <c r="O305" s="43"/>
      <c r="P305" s="59">
        <f t="shared" si="20"/>
        <v>0</v>
      </c>
      <c r="Q305" s="59">
        <f t="shared" si="20"/>
        <v>0</v>
      </c>
      <c r="R305" s="59">
        <f t="shared" si="20"/>
        <v>0</v>
      </c>
      <c r="S305" s="59">
        <f t="shared" si="20"/>
        <v>0</v>
      </c>
      <c r="T305" s="59">
        <f t="shared" si="20"/>
        <v>0</v>
      </c>
      <c r="U305" s="59">
        <f t="shared" si="20"/>
        <v>0</v>
      </c>
      <c r="V305" s="59">
        <f t="shared" si="20"/>
        <v>0</v>
      </c>
      <c r="W305" s="59">
        <f t="shared" si="20"/>
        <v>0</v>
      </c>
      <c r="X305" s="59">
        <f t="shared" si="20"/>
        <v>0</v>
      </c>
      <c r="Y305" s="59">
        <f t="shared" si="20"/>
        <v>0</v>
      </c>
    </row>
    <row r="306" spans="8:25" x14ac:dyDescent="0.25">
      <c r="L306" s="29"/>
      <c r="M306" s="29"/>
      <c r="N306" s="29"/>
    </row>
  </sheetData>
  <mergeCells count="1">
    <mergeCell ref="S1:X1"/>
  </mergeCells>
  <phoneticPr fontId="10" type="noConversion"/>
  <pageMargins left="0.7" right="0.7" top="0.75" bottom="0.75" header="0.3" footer="0.3"/>
  <pageSetup scale="37" fitToHeight="0" orientation="landscape" r:id="rId1"/>
  <headerFooter>
    <oddHeader>&amp;L&amp;G&amp;C&amp;"Arial,Bold"&amp;12Base and Test Support Services (BTSS)
Solicitation No. W91151-19-R-0003&amp;R&amp;"Arial,Bold"&amp;12Volume IV - Factor 3 - Cost
&amp;A</oddHeader>
    <oddFooter>&amp;C&amp;"Arial,Italic"&amp;12Use or disclosure of data contained on this sheet is subject
 to the restriction on the cover page of this proposal.</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C4801-2BE3-4EAA-A0C6-AD8517E59132}">
  <sheetPr>
    <tabColor rgb="FF0070C0"/>
  </sheetPr>
  <dimension ref="A1:Y306"/>
  <sheetViews>
    <sheetView zoomScale="85" zoomScaleNormal="85" workbookViewId="0">
      <pane ySplit="2" topLeftCell="A3" activePane="bottomLeft" state="frozen"/>
      <selection pane="bottomLeft" activeCell="J1" sqref="J1"/>
    </sheetView>
  </sheetViews>
  <sheetFormatPr defaultColWidth="9.109375" defaultRowHeight="15" x14ac:dyDescent="0.25"/>
  <cols>
    <col min="1" max="1" width="18.44140625" style="27" customWidth="1"/>
    <col min="2" max="2" width="18.109375" style="27" customWidth="1"/>
    <col min="3" max="3" width="14.33203125" style="34" bestFit="1" customWidth="1"/>
    <col min="4" max="4" width="56" style="27" bestFit="1" customWidth="1"/>
    <col min="5" max="5" width="15.5546875" style="27" customWidth="1"/>
    <col min="6" max="6" width="12.88671875" style="27" bestFit="1" customWidth="1"/>
    <col min="7" max="7" width="15.109375" style="28" bestFit="1" customWidth="1"/>
    <col min="8" max="8" width="23.109375" style="29" bestFit="1" customWidth="1"/>
    <col min="9" max="9" width="18.33203125" style="30" bestFit="1" customWidth="1"/>
    <col min="10" max="10" width="20.33203125" style="31" bestFit="1" customWidth="1"/>
    <col min="11" max="11" width="24.109375" style="28" customWidth="1"/>
    <col min="12" max="13" width="19.44140625" style="27" bestFit="1" customWidth="1"/>
    <col min="14" max="14" width="12.33203125" style="27" bestFit="1" customWidth="1"/>
    <col min="15" max="15" width="19.44140625" style="27" bestFit="1" customWidth="1"/>
    <col min="16" max="16" width="19.5546875" style="27" bestFit="1" customWidth="1"/>
    <col min="17" max="17" width="20.109375" style="27" bestFit="1" customWidth="1"/>
    <col min="18" max="18" width="22.6640625" style="27" bestFit="1" customWidth="1"/>
    <col min="19" max="19" width="15" style="27" customWidth="1"/>
    <col min="20" max="20" width="16.6640625" style="27" bestFit="1" customWidth="1"/>
    <col min="21" max="21" width="18.44140625" style="27" bestFit="1" customWidth="1"/>
    <col min="22" max="23" width="18.44140625" style="27" customWidth="1"/>
    <col min="24" max="24" width="15.44140625" style="33" bestFit="1" customWidth="1"/>
    <col min="25" max="25" width="19.44140625" style="27" bestFit="1" customWidth="1"/>
    <col min="26" max="16384" width="9.109375" style="27"/>
  </cols>
  <sheetData>
    <row r="1" spans="1:25" ht="83.25" customHeight="1" thickBot="1" x14ac:dyDescent="0.3">
      <c r="C1" s="66" t="s">
        <v>107</v>
      </c>
      <c r="D1" s="63" t="s">
        <v>102</v>
      </c>
      <c r="J1" s="64" t="s">
        <v>95</v>
      </c>
      <c r="L1" s="32"/>
      <c r="M1" s="32"/>
      <c r="N1" s="32"/>
      <c r="O1" s="32"/>
      <c r="P1" s="32"/>
      <c r="Q1" s="32"/>
      <c r="R1" s="32"/>
      <c r="S1" s="93" t="s">
        <v>116</v>
      </c>
      <c r="T1" s="94"/>
      <c r="U1" s="94"/>
      <c r="V1" s="94"/>
      <c r="W1" s="94"/>
      <c r="X1" s="95"/>
    </row>
    <row r="2" spans="1:25" s="58" customFormat="1" ht="31.2" x14ac:dyDescent="0.3">
      <c r="A2" s="53" t="s">
        <v>89</v>
      </c>
      <c r="B2" s="62" t="s">
        <v>133</v>
      </c>
      <c r="C2" s="62" t="s">
        <v>61</v>
      </c>
      <c r="D2" s="53" t="s">
        <v>10</v>
      </c>
      <c r="E2" s="53" t="s">
        <v>94</v>
      </c>
      <c r="F2" s="53" t="s">
        <v>62</v>
      </c>
      <c r="G2" s="53" t="s">
        <v>63</v>
      </c>
      <c r="H2" s="57" t="s">
        <v>64</v>
      </c>
      <c r="I2" s="57" t="s">
        <v>65</v>
      </c>
      <c r="J2" s="60" t="s">
        <v>88</v>
      </c>
      <c r="K2" s="53" t="s">
        <v>93</v>
      </c>
      <c r="L2" s="53" t="s">
        <v>66</v>
      </c>
      <c r="M2" s="53" t="s">
        <v>67</v>
      </c>
      <c r="N2" s="53" t="s">
        <v>1</v>
      </c>
      <c r="O2" s="53" t="s">
        <v>7</v>
      </c>
      <c r="P2" s="53" t="s">
        <v>68</v>
      </c>
      <c r="Q2" s="53" t="s">
        <v>69</v>
      </c>
      <c r="R2" s="53" t="s">
        <v>70</v>
      </c>
      <c r="S2" s="55" t="s">
        <v>90</v>
      </c>
      <c r="T2" s="55" t="s">
        <v>91</v>
      </c>
      <c r="U2" s="55" t="s">
        <v>92</v>
      </c>
      <c r="V2" s="55" t="s">
        <v>119</v>
      </c>
      <c r="W2" s="55" t="s">
        <v>118</v>
      </c>
      <c r="X2" s="56" t="s">
        <v>101</v>
      </c>
      <c r="Y2" s="53" t="s">
        <v>71</v>
      </c>
    </row>
    <row r="3" spans="1:25" x14ac:dyDescent="0.25">
      <c r="C3" s="34" t="s">
        <v>76</v>
      </c>
      <c r="D3" s="54" t="s">
        <v>23</v>
      </c>
      <c r="E3" s="34"/>
      <c r="F3" s="34"/>
      <c r="H3" s="35"/>
      <c r="I3" s="36"/>
      <c r="J3" s="37"/>
      <c r="K3" s="38"/>
      <c r="L3" s="29"/>
      <c r="M3" s="29"/>
      <c r="N3" s="29"/>
      <c r="O3" s="39"/>
      <c r="P3" s="40">
        <f t="shared" ref="P3:P66" si="0">$L3*$O3</f>
        <v>0</v>
      </c>
      <c r="Q3" s="40">
        <f>IF(E3="NE",(M3*O3*1.5),(M3*O3))</f>
        <v>0</v>
      </c>
      <c r="R3" s="40">
        <f>P3+Q3</f>
        <v>0</v>
      </c>
      <c r="S3" s="41"/>
      <c r="T3" s="41"/>
      <c r="U3" s="41"/>
      <c r="V3" s="41"/>
      <c r="W3" s="41"/>
      <c r="X3" s="41"/>
      <c r="Y3" s="33">
        <f>SUM(R3:X3)</f>
        <v>0</v>
      </c>
    </row>
    <row r="4" spans="1:25" x14ac:dyDescent="0.25">
      <c r="C4" s="34" t="s">
        <v>76</v>
      </c>
      <c r="D4" s="54" t="s">
        <v>24</v>
      </c>
      <c r="E4" s="34"/>
      <c r="F4" s="34"/>
      <c r="H4" s="35"/>
      <c r="I4" s="36"/>
      <c r="J4" s="37"/>
      <c r="K4" s="38"/>
      <c r="L4" s="29"/>
      <c r="M4" s="29"/>
      <c r="N4" s="29"/>
      <c r="O4" s="39"/>
      <c r="P4" s="40">
        <f t="shared" si="0"/>
        <v>0</v>
      </c>
      <c r="Q4" s="40">
        <f t="shared" ref="Q4:Q67" si="1">IF(E4="NE",(M4*O4*1.5),(M4*O4))</f>
        <v>0</v>
      </c>
      <c r="R4" s="40">
        <f t="shared" ref="R4:R67" si="2">P4+Q4</f>
        <v>0</v>
      </c>
      <c r="S4" s="41"/>
      <c r="T4" s="41"/>
      <c r="U4" s="41"/>
      <c r="V4" s="41"/>
      <c r="W4" s="41"/>
      <c r="X4" s="41"/>
      <c r="Y4" s="33">
        <f t="shared" ref="Y4:Y67" si="3">SUM(R4:X4)</f>
        <v>0</v>
      </c>
    </row>
    <row r="5" spans="1:25" x14ac:dyDescent="0.25">
      <c r="C5" s="34" t="s">
        <v>76</v>
      </c>
      <c r="D5" s="54" t="s">
        <v>25</v>
      </c>
      <c r="E5" s="34"/>
      <c r="F5" s="34"/>
      <c r="H5" s="35"/>
      <c r="I5" s="36"/>
      <c r="J5" s="37"/>
      <c r="K5" s="38"/>
      <c r="L5" s="29"/>
      <c r="M5" s="29"/>
      <c r="N5" s="29"/>
      <c r="O5" s="39"/>
      <c r="P5" s="40">
        <f t="shared" si="0"/>
        <v>0</v>
      </c>
      <c r="Q5" s="40">
        <f t="shared" si="1"/>
        <v>0</v>
      </c>
      <c r="R5" s="40">
        <f t="shared" si="2"/>
        <v>0</v>
      </c>
      <c r="S5" s="41"/>
      <c r="T5" s="41"/>
      <c r="U5" s="41"/>
      <c r="V5" s="41"/>
      <c r="W5" s="41"/>
      <c r="X5" s="41"/>
      <c r="Y5" s="33">
        <f t="shared" si="3"/>
        <v>0</v>
      </c>
    </row>
    <row r="6" spans="1:25" x14ac:dyDescent="0.25">
      <c r="C6" s="34" t="s">
        <v>76</v>
      </c>
      <c r="D6" s="54" t="s">
        <v>26</v>
      </c>
      <c r="E6" s="34"/>
      <c r="F6" s="34"/>
      <c r="H6" s="35"/>
      <c r="I6" s="36"/>
      <c r="J6" s="37"/>
      <c r="K6" s="38"/>
      <c r="L6" s="29"/>
      <c r="M6" s="29"/>
      <c r="N6" s="29"/>
      <c r="O6" s="39"/>
      <c r="P6" s="40">
        <f t="shared" si="0"/>
        <v>0</v>
      </c>
      <c r="Q6" s="40">
        <f t="shared" si="1"/>
        <v>0</v>
      </c>
      <c r="R6" s="40">
        <f t="shared" si="2"/>
        <v>0</v>
      </c>
      <c r="S6" s="41"/>
      <c r="T6" s="41"/>
      <c r="U6" s="41"/>
      <c r="V6" s="41"/>
      <c r="W6" s="41"/>
      <c r="X6" s="41"/>
      <c r="Y6" s="33">
        <f t="shared" si="3"/>
        <v>0</v>
      </c>
    </row>
    <row r="7" spans="1:25" x14ac:dyDescent="0.25">
      <c r="C7" s="34" t="s">
        <v>76</v>
      </c>
      <c r="D7" s="54" t="s">
        <v>27</v>
      </c>
      <c r="E7" s="34"/>
      <c r="F7" s="34"/>
      <c r="H7" s="35"/>
      <c r="I7" s="36"/>
      <c r="J7" s="37"/>
      <c r="K7" s="38"/>
      <c r="L7" s="29"/>
      <c r="M7" s="29"/>
      <c r="N7" s="29"/>
      <c r="O7" s="39"/>
      <c r="P7" s="40">
        <f t="shared" si="0"/>
        <v>0</v>
      </c>
      <c r="Q7" s="40">
        <f t="shared" si="1"/>
        <v>0</v>
      </c>
      <c r="R7" s="40">
        <f t="shared" si="2"/>
        <v>0</v>
      </c>
      <c r="S7" s="41"/>
      <c r="T7" s="41"/>
      <c r="U7" s="41"/>
      <c r="V7" s="41"/>
      <c r="W7" s="41"/>
      <c r="X7" s="41"/>
      <c r="Y7" s="33">
        <f t="shared" si="3"/>
        <v>0</v>
      </c>
    </row>
    <row r="8" spans="1:25" x14ac:dyDescent="0.25">
      <c r="C8" s="34" t="s">
        <v>76</v>
      </c>
      <c r="D8" s="54" t="s">
        <v>28</v>
      </c>
      <c r="E8" s="34"/>
      <c r="F8" s="34"/>
      <c r="H8" s="35"/>
      <c r="I8" s="36"/>
      <c r="J8" s="37"/>
      <c r="K8" s="38"/>
      <c r="L8" s="29"/>
      <c r="M8" s="29"/>
      <c r="N8" s="29"/>
      <c r="O8" s="39"/>
      <c r="P8" s="40">
        <f t="shared" si="0"/>
        <v>0</v>
      </c>
      <c r="Q8" s="40">
        <f t="shared" si="1"/>
        <v>0</v>
      </c>
      <c r="R8" s="40">
        <f t="shared" si="2"/>
        <v>0</v>
      </c>
      <c r="S8" s="41"/>
      <c r="T8" s="41"/>
      <c r="U8" s="41"/>
      <c r="V8" s="41"/>
      <c r="W8" s="41"/>
      <c r="X8" s="41"/>
      <c r="Y8" s="33">
        <f t="shared" si="3"/>
        <v>0</v>
      </c>
    </row>
    <row r="9" spans="1:25" x14ac:dyDescent="0.25">
      <c r="C9" s="34" t="s">
        <v>76</v>
      </c>
      <c r="D9" s="54" t="s">
        <v>29</v>
      </c>
      <c r="E9" s="34"/>
      <c r="F9" s="34"/>
      <c r="H9" s="35"/>
      <c r="I9" s="36"/>
      <c r="J9" s="37"/>
      <c r="K9" s="38"/>
      <c r="L9" s="29"/>
      <c r="M9" s="29"/>
      <c r="N9" s="29"/>
      <c r="O9" s="39"/>
      <c r="P9" s="40">
        <f t="shared" si="0"/>
        <v>0</v>
      </c>
      <c r="Q9" s="40">
        <f t="shared" si="1"/>
        <v>0</v>
      </c>
      <c r="R9" s="40">
        <f t="shared" si="2"/>
        <v>0</v>
      </c>
      <c r="S9" s="41"/>
      <c r="T9" s="41"/>
      <c r="U9" s="41"/>
      <c r="V9" s="41"/>
      <c r="W9" s="41"/>
      <c r="X9" s="41"/>
      <c r="Y9" s="33">
        <f t="shared" si="3"/>
        <v>0</v>
      </c>
    </row>
    <row r="10" spans="1:25" x14ac:dyDescent="0.25">
      <c r="C10" s="34" t="s">
        <v>76</v>
      </c>
      <c r="D10" s="54" t="s">
        <v>17</v>
      </c>
      <c r="E10" s="34"/>
      <c r="F10" s="34"/>
      <c r="H10" s="35"/>
      <c r="I10" s="36"/>
      <c r="J10" s="37"/>
      <c r="K10" s="38"/>
      <c r="L10" s="29"/>
      <c r="M10" s="29"/>
      <c r="N10" s="29"/>
      <c r="O10" s="39"/>
      <c r="P10" s="40">
        <f t="shared" si="0"/>
        <v>0</v>
      </c>
      <c r="Q10" s="40">
        <f t="shared" si="1"/>
        <v>0</v>
      </c>
      <c r="R10" s="40">
        <f t="shared" si="2"/>
        <v>0</v>
      </c>
      <c r="S10" s="41"/>
      <c r="T10" s="41"/>
      <c r="U10" s="41"/>
      <c r="V10" s="41"/>
      <c r="W10" s="41"/>
      <c r="X10" s="41"/>
      <c r="Y10" s="33">
        <f t="shared" si="3"/>
        <v>0</v>
      </c>
    </row>
    <row r="11" spans="1:25" x14ac:dyDescent="0.25">
      <c r="C11" s="34" t="s">
        <v>76</v>
      </c>
      <c r="D11" s="54" t="s">
        <v>30</v>
      </c>
      <c r="E11" s="34"/>
      <c r="F11" s="34"/>
      <c r="H11" s="35"/>
      <c r="I11" s="36"/>
      <c r="J11" s="37"/>
      <c r="K11" s="38"/>
      <c r="L11" s="29"/>
      <c r="M11" s="29"/>
      <c r="N11" s="29"/>
      <c r="O11" s="39"/>
      <c r="P11" s="40">
        <f t="shared" si="0"/>
        <v>0</v>
      </c>
      <c r="Q11" s="40">
        <f t="shared" si="1"/>
        <v>0</v>
      </c>
      <c r="R11" s="40">
        <f t="shared" si="2"/>
        <v>0</v>
      </c>
      <c r="S11" s="41"/>
      <c r="T11" s="41"/>
      <c r="U11" s="41"/>
      <c r="V11" s="41"/>
      <c r="W11" s="41"/>
      <c r="X11" s="41"/>
      <c r="Y11" s="33">
        <f t="shared" si="3"/>
        <v>0</v>
      </c>
    </row>
    <row r="12" spans="1:25" x14ac:dyDescent="0.25">
      <c r="C12" s="34" t="s">
        <v>76</v>
      </c>
      <c r="D12" s="54" t="s">
        <v>31</v>
      </c>
      <c r="E12" s="34"/>
      <c r="F12" s="34"/>
      <c r="H12" s="35"/>
      <c r="I12" s="36"/>
      <c r="J12" s="37"/>
      <c r="K12" s="38"/>
      <c r="L12" s="29"/>
      <c r="M12" s="29"/>
      <c r="N12" s="29"/>
      <c r="O12" s="39"/>
      <c r="P12" s="40">
        <f t="shared" si="0"/>
        <v>0</v>
      </c>
      <c r="Q12" s="40">
        <f t="shared" si="1"/>
        <v>0</v>
      </c>
      <c r="R12" s="40">
        <f t="shared" si="2"/>
        <v>0</v>
      </c>
      <c r="S12" s="41"/>
      <c r="T12" s="41"/>
      <c r="U12" s="41"/>
      <c r="V12" s="41"/>
      <c r="W12" s="41"/>
      <c r="X12" s="41"/>
      <c r="Y12" s="33">
        <f t="shared" si="3"/>
        <v>0</v>
      </c>
    </row>
    <row r="13" spans="1:25" x14ac:dyDescent="0.25">
      <c r="C13" s="34" t="s">
        <v>76</v>
      </c>
      <c r="D13" s="54" t="s">
        <v>32</v>
      </c>
      <c r="E13" s="34"/>
      <c r="F13" s="34"/>
      <c r="H13" s="35"/>
      <c r="I13" s="36"/>
      <c r="J13" s="37"/>
      <c r="K13" s="38"/>
      <c r="L13" s="29"/>
      <c r="M13" s="29"/>
      <c r="N13" s="29"/>
      <c r="O13" s="39"/>
      <c r="P13" s="40">
        <f t="shared" si="0"/>
        <v>0</v>
      </c>
      <c r="Q13" s="40">
        <f t="shared" si="1"/>
        <v>0</v>
      </c>
      <c r="R13" s="40">
        <f t="shared" si="2"/>
        <v>0</v>
      </c>
      <c r="S13" s="41"/>
      <c r="T13" s="41"/>
      <c r="U13" s="41"/>
      <c r="V13" s="41"/>
      <c r="W13" s="41"/>
      <c r="X13" s="41"/>
      <c r="Y13" s="33">
        <f t="shared" si="3"/>
        <v>0</v>
      </c>
    </row>
    <row r="14" spans="1:25" x14ac:dyDescent="0.25">
      <c r="C14" s="34" t="s">
        <v>76</v>
      </c>
      <c r="D14" s="54" t="s">
        <v>33</v>
      </c>
      <c r="E14" s="34"/>
      <c r="F14" s="34"/>
      <c r="H14" s="35"/>
      <c r="I14" s="36"/>
      <c r="J14" s="37"/>
      <c r="K14" s="38"/>
      <c r="L14" s="29"/>
      <c r="M14" s="29"/>
      <c r="N14" s="29"/>
      <c r="O14" s="39"/>
      <c r="P14" s="40">
        <f t="shared" si="0"/>
        <v>0</v>
      </c>
      <c r="Q14" s="40">
        <f t="shared" si="1"/>
        <v>0</v>
      </c>
      <c r="R14" s="40">
        <f t="shared" si="2"/>
        <v>0</v>
      </c>
      <c r="S14" s="41"/>
      <c r="T14" s="41"/>
      <c r="U14" s="41"/>
      <c r="V14" s="41"/>
      <c r="W14" s="41"/>
      <c r="X14" s="41"/>
      <c r="Y14" s="33">
        <f t="shared" si="3"/>
        <v>0</v>
      </c>
    </row>
    <row r="15" spans="1:25" x14ac:dyDescent="0.25">
      <c r="C15" s="34" t="s">
        <v>76</v>
      </c>
      <c r="D15" s="54" t="s">
        <v>34</v>
      </c>
      <c r="E15" s="34"/>
      <c r="F15" s="34"/>
      <c r="H15" s="35"/>
      <c r="I15" s="36"/>
      <c r="J15" s="37"/>
      <c r="K15" s="38"/>
      <c r="L15" s="29"/>
      <c r="M15" s="29"/>
      <c r="N15" s="29"/>
      <c r="O15" s="39"/>
      <c r="P15" s="40">
        <f t="shared" si="0"/>
        <v>0</v>
      </c>
      <c r="Q15" s="40">
        <f t="shared" si="1"/>
        <v>0</v>
      </c>
      <c r="R15" s="40">
        <f t="shared" si="2"/>
        <v>0</v>
      </c>
      <c r="S15" s="41"/>
      <c r="T15" s="41"/>
      <c r="U15" s="41"/>
      <c r="V15" s="41"/>
      <c r="W15" s="41"/>
      <c r="X15" s="41"/>
      <c r="Y15" s="33">
        <f t="shared" si="3"/>
        <v>0</v>
      </c>
    </row>
    <row r="16" spans="1:25" x14ac:dyDescent="0.25">
      <c r="C16" s="34" t="s">
        <v>76</v>
      </c>
      <c r="D16" s="54" t="s">
        <v>35</v>
      </c>
      <c r="E16" s="34"/>
      <c r="F16" s="34"/>
      <c r="H16" s="35"/>
      <c r="I16" s="36"/>
      <c r="J16" s="37"/>
      <c r="K16" s="38"/>
      <c r="L16" s="29"/>
      <c r="M16" s="29"/>
      <c r="N16" s="29"/>
      <c r="O16" s="39"/>
      <c r="P16" s="40">
        <f t="shared" si="0"/>
        <v>0</v>
      </c>
      <c r="Q16" s="40">
        <f t="shared" si="1"/>
        <v>0</v>
      </c>
      <c r="R16" s="40">
        <f t="shared" si="2"/>
        <v>0</v>
      </c>
      <c r="S16" s="41"/>
      <c r="T16" s="41"/>
      <c r="U16" s="41"/>
      <c r="V16" s="41"/>
      <c r="W16" s="41"/>
      <c r="X16" s="41"/>
      <c r="Y16" s="33">
        <f t="shared" si="3"/>
        <v>0</v>
      </c>
    </row>
    <row r="17" spans="3:25" x14ac:dyDescent="0.25">
      <c r="C17" s="34" t="s">
        <v>76</v>
      </c>
      <c r="D17" s="54" t="s">
        <v>36</v>
      </c>
      <c r="E17" s="34"/>
      <c r="F17" s="34"/>
      <c r="H17" s="35"/>
      <c r="I17" s="36"/>
      <c r="J17" s="37"/>
      <c r="K17" s="38"/>
      <c r="L17" s="29"/>
      <c r="M17" s="29"/>
      <c r="N17" s="29"/>
      <c r="O17" s="39"/>
      <c r="P17" s="40">
        <f t="shared" si="0"/>
        <v>0</v>
      </c>
      <c r="Q17" s="40">
        <f t="shared" si="1"/>
        <v>0</v>
      </c>
      <c r="R17" s="40">
        <f t="shared" si="2"/>
        <v>0</v>
      </c>
      <c r="S17" s="41"/>
      <c r="T17" s="41"/>
      <c r="U17" s="41"/>
      <c r="V17" s="41"/>
      <c r="W17" s="41"/>
      <c r="X17" s="41"/>
      <c r="Y17" s="33">
        <f t="shared" si="3"/>
        <v>0</v>
      </c>
    </row>
    <row r="18" spans="3:25" x14ac:dyDescent="0.25">
      <c r="C18" s="34" t="s">
        <v>76</v>
      </c>
      <c r="D18" s="54" t="s">
        <v>37</v>
      </c>
      <c r="E18" s="34"/>
      <c r="F18" s="34"/>
      <c r="H18" s="35"/>
      <c r="I18" s="36"/>
      <c r="J18" s="37"/>
      <c r="K18" s="38"/>
      <c r="L18" s="29"/>
      <c r="M18" s="29"/>
      <c r="N18" s="29"/>
      <c r="O18" s="39"/>
      <c r="P18" s="40">
        <f t="shared" si="0"/>
        <v>0</v>
      </c>
      <c r="Q18" s="40">
        <f t="shared" si="1"/>
        <v>0</v>
      </c>
      <c r="R18" s="40">
        <f t="shared" si="2"/>
        <v>0</v>
      </c>
      <c r="S18" s="41"/>
      <c r="T18" s="41"/>
      <c r="U18" s="41"/>
      <c r="V18" s="41"/>
      <c r="W18" s="41"/>
      <c r="X18" s="41"/>
      <c r="Y18" s="33">
        <f t="shared" si="3"/>
        <v>0</v>
      </c>
    </row>
    <row r="19" spans="3:25" x14ac:dyDescent="0.25">
      <c r="C19" s="34" t="s">
        <v>76</v>
      </c>
      <c r="D19" s="54" t="s">
        <v>38</v>
      </c>
      <c r="E19" s="34"/>
      <c r="F19" s="34"/>
      <c r="H19" s="35"/>
      <c r="I19" s="36"/>
      <c r="J19" s="37"/>
      <c r="K19" s="38"/>
      <c r="L19" s="29"/>
      <c r="M19" s="29"/>
      <c r="N19" s="29"/>
      <c r="O19" s="39"/>
      <c r="P19" s="40">
        <f t="shared" si="0"/>
        <v>0</v>
      </c>
      <c r="Q19" s="40">
        <f t="shared" si="1"/>
        <v>0</v>
      </c>
      <c r="R19" s="40">
        <f t="shared" si="2"/>
        <v>0</v>
      </c>
      <c r="S19" s="41"/>
      <c r="T19" s="41"/>
      <c r="U19" s="41"/>
      <c r="V19" s="41"/>
      <c r="W19" s="41"/>
      <c r="X19" s="41"/>
      <c r="Y19" s="33">
        <f t="shared" si="3"/>
        <v>0</v>
      </c>
    </row>
    <row r="20" spans="3:25" x14ac:dyDescent="0.25">
      <c r="C20" s="34" t="s">
        <v>76</v>
      </c>
      <c r="D20" s="54" t="s">
        <v>39</v>
      </c>
      <c r="E20" s="34"/>
      <c r="F20" s="34"/>
      <c r="H20" s="35"/>
      <c r="I20" s="36"/>
      <c r="J20" s="37"/>
      <c r="K20" s="38"/>
      <c r="L20" s="29"/>
      <c r="M20" s="29"/>
      <c r="N20" s="29"/>
      <c r="O20" s="39"/>
      <c r="P20" s="40">
        <f t="shared" si="0"/>
        <v>0</v>
      </c>
      <c r="Q20" s="40">
        <f t="shared" si="1"/>
        <v>0</v>
      </c>
      <c r="R20" s="40">
        <f t="shared" si="2"/>
        <v>0</v>
      </c>
      <c r="S20" s="41"/>
      <c r="T20" s="41"/>
      <c r="U20" s="41"/>
      <c r="V20" s="41"/>
      <c r="W20" s="41"/>
      <c r="X20" s="41"/>
      <c r="Y20" s="33">
        <f t="shared" si="3"/>
        <v>0</v>
      </c>
    </row>
    <row r="21" spans="3:25" x14ac:dyDescent="0.25">
      <c r="C21" s="34" t="s">
        <v>76</v>
      </c>
      <c r="D21" s="54" t="s">
        <v>40</v>
      </c>
      <c r="E21" s="34"/>
      <c r="F21" s="34"/>
      <c r="H21" s="35"/>
      <c r="I21" s="36"/>
      <c r="J21" s="37"/>
      <c r="K21" s="38"/>
      <c r="L21" s="29"/>
      <c r="M21" s="29"/>
      <c r="N21" s="29"/>
      <c r="O21" s="39"/>
      <c r="P21" s="40">
        <f t="shared" si="0"/>
        <v>0</v>
      </c>
      <c r="Q21" s="40">
        <f t="shared" si="1"/>
        <v>0</v>
      </c>
      <c r="R21" s="40">
        <f t="shared" si="2"/>
        <v>0</v>
      </c>
      <c r="S21" s="41"/>
      <c r="T21" s="41"/>
      <c r="U21" s="41"/>
      <c r="V21" s="41"/>
      <c r="W21" s="41"/>
      <c r="X21" s="41"/>
      <c r="Y21" s="33">
        <f t="shared" si="3"/>
        <v>0</v>
      </c>
    </row>
    <row r="22" spans="3:25" x14ac:dyDescent="0.25">
      <c r="C22" s="34" t="s">
        <v>76</v>
      </c>
      <c r="D22" s="54" t="s">
        <v>41</v>
      </c>
      <c r="E22" s="34"/>
      <c r="F22" s="34"/>
      <c r="G22" s="38"/>
      <c r="H22" s="35"/>
      <c r="I22" s="36"/>
      <c r="J22" s="37"/>
      <c r="K22" s="38"/>
      <c r="L22" s="29"/>
      <c r="M22" s="29"/>
      <c r="N22" s="29"/>
      <c r="O22" s="39"/>
      <c r="P22" s="40">
        <f t="shared" si="0"/>
        <v>0</v>
      </c>
      <c r="Q22" s="40">
        <f t="shared" si="1"/>
        <v>0</v>
      </c>
      <c r="R22" s="40">
        <f t="shared" si="2"/>
        <v>0</v>
      </c>
      <c r="S22" s="41"/>
      <c r="T22" s="41"/>
      <c r="U22" s="41"/>
      <c r="V22" s="41"/>
      <c r="W22" s="41"/>
      <c r="X22" s="41"/>
      <c r="Y22" s="33">
        <f t="shared" si="3"/>
        <v>0</v>
      </c>
    </row>
    <row r="23" spans="3:25" x14ac:dyDescent="0.25">
      <c r="C23" s="34" t="s">
        <v>76</v>
      </c>
      <c r="D23" s="54" t="s">
        <v>42</v>
      </c>
      <c r="E23" s="34"/>
      <c r="F23" s="34"/>
      <c r="G23" s="38"/>
      <c r="H23" s="35"/>
      <c r="I23" s="36"/>
      <c r="J23" s="37"/>
      <c r="K23" s="38"/>
      <c r="L23" s="29"/>
      <c r="M23" s="29"/>
      <c r="N23" s="29"/>
      <c r="O23" s="39"/>
      <c r="P23" s="40">
        <f t="shared" si="0"/>
        <v>0</v>
      </c>
      <c r="Q23" s="40">
        <f t="shared" si="1"/>
        <v>0</v>
      </c>
      <c r="R23" s="40">
        <f t="shared" si="2"/>
        <v>0</v>
      </c>
      <c r="S23" s="41"/>
      <c r="T23" s="41"/>
      <c r="U23" s="41"/>
      <c r="V23" s="41"/>
      <c r="W23" s="41"/>
      <c r="X23" s="41"/>
      <c r="Y23" s="33">
        <f t="shared" si="3"/>
        <v>0</v>
      </c>
    </row>
    <row r="24" spans="3:25" x14ac:dyDescent="0.25">
      <c r="C24" s="34" t="s">
        <v>76</v>
      </c>
      <c r="D24" s="54" t="s">
        <v>43</v>
      </c>
      <c r="E24" s="34"/>
      <c r="F24" s="34"/>
      <c r="H24" s="35"/>
      <c r="I24" s="36"/>
      <c r="J24" s="37"/>
      <c r="K24" s="38"/>
      <c r="L24" s="29"/>
      <c r="M24" s="29"/>
      <c r="N24" s="29"/>
      <c r="O24" s="39"/>
      <c r="P24" s="40">
        <f t="shared" si="0"/>
        <v>0</v>
      </c>
      <c r="Q24" s="40">
        <f t="shared" si="1"/>
        <v>0</v>
      </c>
      <c r="R24" s="40">
        <f t="shared" si="2"/>
        <v>0</v>
      </c>
      <c r="S24" s="41"/>
      <c r="T24" s="41"/>
      <c r="U24" s="41"/>
      <c r="V24" s="41"/>
      <c r="W24" s="41"/>
      <c r="X24" s="41"/>
      <c r="Y24" s="33">
        <f t="shared" si="3"/>
        <v>0</v>
      </c>
    </row>
    <row r="25" spans="3:25" x14ac:dyDescent="0.25">
      <c r="C25" s="34" t="s">
        <v>76</v>
      </c>
      <c r="D25" s="54" t="s">
        <v>44</v>
      </c>
      <c r="E25" s="34"/>
      <c r="F25" s="34"/>
      <c r="H25" s="35"/>
      <c r="I25" s="36"/>
      <c r="J25" s="37"/>
      <c r="K25" s="38"/>
      <c r="L25" s="29"/>
      <c r="M25" s="29"/>
      <c r="N25" s="29"/>
      <c r="O25" s="39"/>
      <c r="P25" s="40">
        <f t="shared" si="0"/>
        <v>0</v>
      </c>
      <c r="Q25" s="40">
        <f t="shared" si="1"/>
        <v>0</v>
      </c>
      <c r="R25" s="40">
        <f t="shared" si="2"/>
        <v>0</v>
      </c>
      <c r="S25" s="41"/>
      <c r="T25" s="41"/>
      <c r="U25" s="41"/>
      <c r="V25" s="41"/>
      <c r="W25" s="41"/>
      <c r="X25" s="41"/>
      <c r="Y25" s="33">
        <f t="shared" si="3"/>
        <v>0</v>
      </c>
    </row>
    <row r="26" spans="3:25" x14ac:dyDescent="0.25">
      <c r="C26" s="34" t="s">
        <v>76</v>
      </c>
      <c r="D26" s="54" t="s">
        <v>45</v>
      </c>
      <c r="E26" s="34"/>
      <c r="F26" s="34"/>
      <c r="H26" s="35"/>
      <c r="I26" s="36"/>
      <c r="J26" s="37"/>
      <c r="K26" s="38"/>
      <c r="L26" s="29"/>
      <c r="M26" s="29"/>
      <c r="N26" s="29"/>
      <c r="O26" s="39"/>
      <c r="P26" s="40">
        <f t="shared" si="0"/>
        <v>0</v>
      </c>
      <c r="Q26" s="40">
        <f t="shared" si="1"/>
        <v>0</v>
      </c>
      <c r="R26" s="40">
        <f t="shared" si="2"/>
        <v>0</v>
      </c>
      <c r="S26" s="41"/>
      <c r="T26" s="41"/>
      <c r="U26" s="41"/>
      <c r="V26" s="41"/>
      <c r="W26" s="41"/>
      <c r="X26" s="41"/>
      <c r="Y26" s="33">
        <f t="shared" si="3"/>
        <v>0</v>
      </c>
    </row>
    <row r="27" spans="3:25" x14ac:dyDescent="0.25">
      <c r="C27" s="34" t="s">
        <v>76</v>
      </c>
      <c r="D27" s="54" t="s">
        <v>46</v>
      </c>
      <c r="E27" s="34"/>
      <c r="F27" s="34"/>
      <c r="H27" s="35"/>
      <c r="I27" s="36"/>
      <c r="J27" s="37"/>
      <c r="K27" s="38"/>
      <c r="L27" s="29"/>
      <c r="M27" s="29"/>
      <c r="N27" s="29"/>
      <c r="O27" s="39"/>
      <c r="P27" s="40">
        <f t="shared" si="0"/>
        <v>0</v>
      </c>
      <c r="Q27" s="40">
        <f t="shared" si="1"/>
        <v>0</v>
      </c>
      <c r="R27" s="40">
        <f t="shared" si="2"/>
        <v>0</v>
      </c>
      <c r="S27" s="41"/>
      <c r="T27" s="41"/>
      <c r="U27" s="41"/>
      <c r="V27" s="41"/>
      <c r="W27" s="41"/>
      <c r="X27" s="41"/>
      <c r="Y27" s="33">
        <f t="shared" si="3"/>
        <v>0</v>
      </c>
    </row>
    <row r="28" spans="3:25" x14ac:dyDescent="0.25">
      <c r="C28" s="34" t="s">
        <v>76</v>
      </c>
      <c r="D28" s="54" t="s">
        <v>47</v>
      </c>
      <c r="E28" s="34"/>
      <c r="F28" s="34"/>
      <c r="H28" s="35"/>
      <c r="I28" s="36"/>
      <c r="J28" s="37"/>
      <c r="K28" s="38"/>
      <c r="L28" s="29"/>
      <c r="M28" s="29"/>
      <c r="N28" s="29"/>
      <c r="O28" s="39"/>
      <c r="P28" s="40">
        <f t="shared" si="0"/>
        <v>0</v>
      </c>
      <c r="Q28" s="40">
        <f t="shared" si="1"/>
        <v>0</v>
      </c>
      <c r="R28" s="40">
        <f t="shared" si="2"/>
        <v>0</v>
      </c>
      <c r="S28" s="41"/>
      <c r="T28" s="41"/>
      <c r="U28" s="41"/>
      <c r="V28" s="41"/>
      <c r="W28" s="41"/>
      <c r="X28" s="41"/>
      <c r="Y28" s="33">
        <f t="shared" si="3"/>
        <v>0</v>
      </c>
    </row>
    <row r="29" spans="3:25" x14ac:dyDescent="0.25">
      <c r="C29" s="34" t="s">
        <v>76</v>
      </c>
      <c r="D29" s="54" t="s">
        <v>48</v>
      </c>
      <c r="E29" s="34"/>
      <c r="F29" s="34"/>
      <c r="H29" s="35"/>
      <c r="I29" s="36"/>
      <c r="J29" s="37"/>
      <c r="K29" s="38"/>
      <c r="L29" s="29"/>
      <c r="M29" s="29"/>
      <c r="N29" s="29"/>
      <c r="O29" s="39"/>
      <c r="P29" s="40">
        <f t="shared" si="0"/>
        <v>0</v>
      </c>
      <c r="Q29" s="40">
        <f t="shared" si="1"/>
        <v>0</v>
      </c>
      <c r="R29" s="40">
        <f t="shared" si="2"/>
        <v>0</v>
      </c>
      <c r="S29" s="41"/>
      <c r="T29" s="41"/>
      <c r="U29" s="41"/>
      <c r="V29" s="41"/>
      <c r="W29" s="41"/>
      <c r="X29" s="41"/>
      <c r="Y29" s="33">
        <f t="shared" si="3"/>
        <v>0</v>
      </c>
    </row>
    <row r="30" spans="3:25" x14ac:dyDescent="0.25">
      <c r="C30" s="34" t="s">
        <v>76</v>
      </c>
      <c r="D30" s="54" t="s">
        <v>49</v>
      </c>
      <c r="E30" s="34"/>
      <c r="F30" s="34"/>
      <c r="H30" s="35"/>
      <c r="I30" s="36"/>
      <c r="J30" s="37"/>
      <c r="K30" s="38"/>
      <c r="L30" s="29"/>
      <c r="M30" s="29"/>
      <c r="N30" s="29"/>
      <c r="O30" s="39"/>
      <c r="P30" s="40">
        <f t="shared" si="0"/>
        <v>0</v>
      </c>
      <c r="Q30" s="40">
        <f t="shared" si="1"/>
        <v>0</v>
      </c>
      <c r="R30" s="40">
        <f t="shared" si="2"/>
        <v>0</v>
      </c>
      <c r="S30" s="41"/>
      <c r="T30" s="41"/>
      <c r="U30" s="41"/>
      <c r="V30" s="41"/>
      <c r="W30" s="41"/>
      <c r="X30" s="41"/>
      <c r="Y30" s="33">
        <f t="shared" si="3"/>
        <v>0</v>
      </c>
    </row>
    <row r="31" spans="3:25" x14ac:dyDescent="0.25">
      <c r="C31" s="34" t="s">
        <v>76</v>
      </c>
      <c r="D31" s="54" t="s">
        <v>50</v>
      </c>
      <c r="E31" s="34"/>
      <c r="F31" s="34"/>
      <c r="H31" s="35"/>
      <c r="I31" s="36"/>
      <c r="J31" s="37"/>
      <c r="K31" s="38"/>
      <c r="L31" s="29"/>
      <c r="M31" s="29"/>
      <c r="N31" s="29"/>
      <c r="O31" s="39"/>
      <c r="P31" s="40">
        <f t="shared" si="0"/>
        <v>0</v>
      </c>
      <c r="Q31" s="40">
        <f t="shared" si="1"/>
        <v>0</v>
      </c>
      <c r="R31" s="40">
        <f t="shared" si="2"/>
        <v>0</v>
      </c>
      <c r="S31" s="41"/>
      <c r="T31" s="41"/>
      <c r="U31" s="41"/>
      <c r="V31" s="41"/>
      <c r="W31" s="41"/>
      <c r="X31" s="41"/>
      <c r="Y31" s="33">
        <f t="shared" si="3"/>
        <v>0</v>
      </c>
    </row>
    <row r="32" spans="3:25" x14ac:dyDescent="0.25">
      <c r="C32" s="34" t="s">
        <v>76</v>
      </c>
      <c r="D32" s="54" t="s">
        <v>51</v>
      </c>
      <c r="E32" s="34"/>
      <c r="F32" s="34"/>
      <c r="H32" s="35"/>
      <c r="I32" s="36"/>
      <c r="J32" s="37"/>
      <c r="K32" s="38"/>
      <c r="L32" s="29"/>
      <c r="M32" s="29"/>
      <c r="N32" s="29"/>
      <c r="O32" s="39"/>
      <c r="P32" s="40">
        <f t="shared" si="0"/>
        <v>0</v>
      </c>
      <c r="Q32" s="40">
        <f t="shared" si="1"/>
        <v>0</v>
      </c>
      <c r="R32" s="40">
        <f t="shared" si="2"/>
        <v>0</v>
      </c>
      <c r="S32" s="41"/>
      <c r="T32" s="41"/>
      <c r="U32" s="41"/>
      <c r="V32" s="41"/>
      <c r="W32" s="41"/>
      <c r="X32" s="41"/>
      <c r="Y32" s="33">
        <f t="shared" si="3"/>
        <v>0</v>
      </c>
    </row>
    <row r="33" spans="3:25" x14ac:dyDescent="0.25">
      <c r="C33" s="34" t="s">
        <v>76</v>
      </c>
      <c r="D33" s="54" t="s">
        <v>52</v>
      </c>
      <c r="E33" s="34"/>
      <c r="F33" s="34"/>
      <c r="H33" s="35"/>
      <c r="I33" s="36"/>
      <c r="J33" s="37"/>
      <c r="K33" s="38"/>
      <c r="L33" s="29"/>
      <c r="M33" s="29"/>
      <c r="N33" s="29"/>
      <c r="O33" s="39"/>
      <c r="P33" s="40">
        <f t="shared" si="0"/>
        <v>0</v>
      </c>
      <c r="Q33" s="40">
        <f t="shared" si="1"/>
        <v>0</v>
      </c>
      <c r="R33" s="40">
        <f t="shared" si="2"/>
        <v>0</v>
      </c>
      <c r="S33" s="41"/>
      <c r="T33" s="41"/>
      <c r="U33" s="41"/>
      <c r="V33" s="41"/>
      <c r="W33" s="41"/>
      <c r="X33" s="41"/>
      <c r="Y33" s="33">
        <f t="shared" si="3"/>
        <v>0</v>
      </c>
    </row>
    <row r="34" spans="3:25" x14ac:dyDescent="0.25">
      <c r="C34" s="34" t="s">
        <v>76</v>
      </c>
      <c r="D34" s="54" t="s">
        <v>14</v>
      </c>
      <c r="E34" s="34"/>
      <c r="F34" s="34"/>
      <c r="H34" s="35"/>
      <c r="I34" s="36"/>
      <c r="J34" s="37"/>
      <c r="K34" s="38"/>
      <c r="L34" s="29"/>
      <c r="M34" s="29"/>
      <c r="N34" s="29"/>
      <c r="O34" s="39"/>
      <c r="P34" s="40">
        <f t="shared" si="0"/>
        <v>0</v>
      </c>
      <c r="Q34" s="40">
        <f t="shared" si="1"/>
        <v>0</v>
      </c>
      <c r="R34" s="40">
        <f t="shared" si="2"/>
        <v>0</v>
      </c>
      <c r="S34" s="41"/>
      <c r="T34" s="41"/>
      <c r="U34" s="41"/>
      <c r="V34" s="41"/>
      <c r="W34" s="41"/>
      <c r="X34" s="41"/>
      <c r="Y34" s="33">
        <f t="shared" si="3"/>
        <v>0</v>
      </c>
    </row>
    <row r="35" spans="3:25" x14ac:dyDescent="0.25">
      <c r="C35" s="34" t="s">
        <v>76</v>
      </c>
      <c r="D35" s="54" t="s">
        <v>53</v>
      </c>
      <c r="E35" s="34"/>
      <c r="F35" s="34"/>
      <c r="H35" s="35"/>
      <c r="I35" s="36"/>
      <c r="J35" s="37"/>
      <c r="K35" s="38"/>
      <c r="L35" s="29"/>
      <c r="M35" s="29"/>
      <c r="N35" s="29"/>
      <c r="O35" s="39"/>
      <c r="P35" s="40">
        <f t="shared" si="0"/>
        <v>0</v>
      </c>
      <c r="Q35" s="40">
        <f t="shared" si="1"/>
        <v>0</v>
      </c>
      <c r="R35" s="40">
        <f t="shared" si="2"/>
        <v>0</v>
      </c>
      <c r="S35" s="41"/>
      <c r="T35" s="41"/>
      <c r="U35" s="41"/>
      <c r="V35" s="41"/>
      <c r="W35" s="41"/>
      <c r="X35" s="41"/>
      <c r="Y35" s="33">
        <f t="shared" si="3"/>
        <v>0</v>
      </c>
    </row>
    <row r="36" spans="3:25" x14ac:dyDescent="0.25">
      <c r="C36" s="34" t="s">
        <v>76</v>
      </c>
      <c r="D36" s="54" t="s">
        <v>54</v>
      </c>
      <c r="E36" s="34"/>
      <c r="F36" s="34"/>
      <c r="H36" s="35"/>
      <c r="I36" s="36"/>
      <c r="J36" s="37"/>
      <c r="K36" s="38"/>
      <c r="L36" s="29"/>
      <c r="M36" s="29"/>
      <c r="N36" s="29"/>
      <c r="O36" s="39"/>
      <c r="P36" s="40">
        <f t="shared" si="0"/>
        <v>0</v>
      </c>
      <c r="Q36" s="40">
        <f t="shared" si="1"/>
        <v>0</v>
      </c>
      <c r="R36" s="40">
        <f t="shared" si="2"/>
        <v>0</v>
      </c>
      <c r="S36" s="41"/>
      <c r="T36" s="41"/>
      <c r="U36" s="41"/>
      <c r="V36" s="41"/>
      <c r="W36" s="41"/>
      <c r="X36" s="41"/>
      <c r="Y36" s="33">
        <f t="shared" si="3"/>
        <v>0</v>
      </c>
    </row>
    <row r="37" spans="3:25" x14ac:dyDescent="0.25">
      <c r="C37" s="34" t="s">
        <v>76</v>
      </c>
      <c r="D37" s="54" t="s">
        <v>55</v>
      </c>
      <c r="E37" s="34"/>
      <c r="F37" s="34"/>
      <c r="H37" s="35"/>
      <c r="I37" s="36"/>
      <c r="J37" s="37"/>
      <c r="K37" s="38"/>
      <c r="L37" s="29"/>
      <c r="M37" s="29"/>
      <c r="N37" s="29"/>
      <c r="O37" s="39"/>
      <c r="P37" s="40">
        <f t="shared" si="0"/>
        <v>0</v>
      </c>
      <c r="Q37" s="40">
        <f t="shared" si="1"/>
        <v>0</v>
      </c>
      <c r="R37" s="40">
        <f t="shared" si="2"/>
        <v>0</v>
      </c>
      <c r="S37" s="41"/>
      <c r="T37" s="41"/>
      <c r="U37" s="41"/>
      <c r="V37" s="41"/>
      <c r="W37" s="41"/>
      <c r="X37" s="41"/>
      <c r="Y37" s="33">
        <f t="shared" si="3"/>
        <v>0</v>
      </c>
    </row>
    <row r="38" spans="3:25" x14ac:dyDescent="0.25">
      <c r="C38" s="34" t="s">
        <v>76</v>
      </c>
      <c r="D38" s="54" t="s">
        <v>56</v>
      </c>
      <c r="E38" s="34"/>
      <c r="F38" s="34"/>
      <c r="H38" s="35"/>
      <c r="I38" s="36"/>
      <c r="J38" s="37"/>
      <c r="K38" s="38"/>
      <c r="L38" s="29"/>
      <c r="M38" s="29"/>
      <c r="N38" s="29"/>
      <c r="O38" s="39"/>
      <c r="P38" s="40">
        <f t="shared" si="0"/>
        <v>0</v>
      </c>
      <c r="Q38" s="40">
        <f t="shared" si="1"/>
        <v>0</v>
      </c>
      <c r="R38" s="40">
        <f t="shared" si="2"/>
        <v>0</v>
      </c>
      <c r="S38" s="41"/>
      <c r="T38" s="41"/>
      <c r="U38" s="41"/>
      <c r="V38" s="41"/>
      <c r="W38" s="41"/>
      <c r="X38" s="41"/>
      <c r="Y38" s="33">
        <f t="shared" si="3"/>
        <v>0</v>
      </c>
    </row>
    <row r="39" spans="3:25" x14ac:dyDescent="0.25">
      <c r="D39" s="69"/>
      <c r="E39" s="34"/>
      <c r="F39" s="34"/>
      <c r="H39" s="35"/>
      <c r="I39" s="36"/>
      <c r="J39" s="37"/>
      <c r="K39" s="38"/>
      <c r="L39" s="29"/>
      <c r="M39" s="29"/>
      <c r="N39" s="29"/>
      <c r="O39" s="39"/>
      <c r="P39" s="40">
        <f t="shared" si="0"/>
        <v>0</v>
      </c>
      <c r="Q39" s="40">
        <f t="shared" si="1"/>
        <v>0</v>
      </c>
      <c r="R39" s="40">
        <f t="shared" si="2"/>
        <v>0</v>
      </c>
      <c r="S39" s="41"/>
      <c r="T39" s="41"/>
      <c r="U39" s="41"/>
      <c r="V39" s="41"/>
      <c r="W39" s="41"/>
      <c r="X39" s="41"/>
      <c r="Y39" s="33">
        <f t="shared" si="3"/>
        <v>0</v>
      </c>
    </row>
    <row r="40" spans="3:25" x14ac:dyDescent="0.25">
      <c r="D40" s="69"/>
      <c r="E40" s="34"/>
      <c r="F40" s="34"/>
      <c r="H40" s="35"/>
      <c r="I40" s="36"/>
      <c r="J40" s="37"/>
      <c r="K40" s="38"/>
      <c r="L40" s="29"/>
      <c r="M40" s="29"/>
      <c r="N40" s="29"/>
      <c r="O40" s="39"/>
      <c r="P40" s="40">
        <f t="shared" si="0"/>
        <v>0</v>
      </c>
      <c r="Q40" s="40">
        <f t="shared" si="1"/>
        <v>0</v>
      </c>
      <c r="R40" s="40">
        <f t="shared" si="2"/>
        <v>0</v>
      </c>
      <c r="S40" s="41"/>
      <c r="T40" s="41"/>
      <c r="U40" s="41"/>
      <c r="V40" s="41"/>
      <c r="W40" s="41"/>
      <c r="X40" s="41"/>
      <c r="Y40" s="33">
        <f t="shared" si="3"/>
        <v>0</v>
      </c>
    </row>
    <row r="41" spans="3:25" x14ac:dyDescent="0.25">
      <c r="D41" s="69"/>
      <c r="E41" s="34"/>
      <c r="F41" s="34"/>
      <c r="H41" s="35"/>
      <c r="I41" s="36"/>
      <c r="J41" s="37"/>
      <c r="K41" s="38"/>
      <c r="L41" s="29"/>
      <c r="M41" s="29"/>
      <c r="N41" s="29"/>
      <c r="O41" s="39"/>
      <c r="P41" s="40">
        <f t="shared" si="0"/>
        <v>0</v>
      </c>
      <c r="Q41" s="40">
        <f t="shared" si="1"/>
        <v>0</v>
      </c>
      <c r="R41" s="40">
        <f t="shared" si="2"/>
        <v>0</v>
      </c>
      <c r="S41" s="41"/>
      <c r="T41" s="41"/>
      <c r="U41" s="41"/>
      <c r="V41" s="41"/>
      <c r="W41" s="41"/>
      <c r="X41" s="41"/>
      <c r="Y41" s="33">
        <f t="shared" si="3"/>
        <v>0</v>
      </c>
    </row>
    <row r="42" spans="3:25" x14ac:dyDescent="0.25">
      <c r="D42" s="69"/>
      <c r="E42" s="34"/>
      <c r="F42" s="34"/>
      <c r="H42" s="35"/>
      <c r="I42" s="36"/>
      <c r="J42" s="37"/>
      <c r="K42" s="38"/>
      <c r="L42" s="29"/>
      <c r="M42" s="29"/>
      <c r="N42" s="29"/>
      <c r="O42" s="39"/>
      <c r="P42" s="40">
        <f t="shared" si="0"/>
        <v>0</v>
      </c>
      <c r="Q42" s="40">
        <f t="shared" si="1"/>
        <v>0</v>
      </c>
      <c r="R42" s="40">
        <f t="shared" si="2"/>
        <v>0</v>
      </c>
      <c r="S42" s="41"/>
      <c r="T42" s="41"/>
      <c r="U42" s="41"/>
      <c r="V42" s="41"/>
      <c r="W42" s="41"/>
      <c r="X42" s="41"/>
      <c r="Y42" s="33">
        <f t="shared" si="3"/>
        <v>0</v>
      </c>
    </row>
    <row r="43" spans="3:25" x14ac:dyDescent="0.25">
      <c r="D43" s="69"/>
      <c r="E43" s="34"/>
      <c r="F43" s="34"/>
      <c r="H43" s="35"/>
      <c r="I43" s="36"/>
      <c r="J43" s="37"/>
      <c r="K43" s="38"/>
      <c r="L43" s="29"/>
      <c r="M43" s="29"/>
      <c r="N43" s="29"/>
      <c r="O43" s="39"/>
      <c r="P43" s="40">
        <f t="shared" si="0"/>
        <v>0</v>
      </c>
      <c r="Q43" s="40">
        <f t="shared" si="1"/>
        <v>0</v>
      </c>
      <c r="R43" s="40">
        <f t="shared" si="2"/>
        <v>0</v>
      </c>
      <c r="S43" s="41"/>
      <c r="T43" s="41"/>
      <c r="U43" s="41"/>
      <c r="V43" s="41"/>
      <c r="W43" s="41"/>
      <c r="X43" s="41"/>
      <c r="Y43" s="33">
        <f t="shared" si="3"/>
        <v>0</v>
      </c>
    </row>
    <row r="44" spans="3:25" x14ac:dyDescent="0.25">
      <c r="D44" s="69"/>
      <c r="E44" s="34"/>
      <c r="F44" s="34"/>
      <c r="H44" s="35"/>
      <c r="I44" s="36"/>
      <c r="J44" s="37"/>
      <c r="K44" s="38"/>
      <c r="L44" s="29"/>
      <c r="M44" s="29"/>
      <c r="N44" s="29"/>
      <c r="O44" s="39"/>
      <c r="P44" s="40">
        <f t="shared" si="0"/>
        <v>0</v>
      </c>
      <c r="Q44" s="40">
        <f t="shared" si="1"/>
        <v>0</v>
      </c>
      <c r="R44" s="40">
        <f t="shared" si="2"/>
        <v>0</v>
      </c>
      <c r="S44" s="41"/>
      <c r="T44" s="41"/>
      <c r="U44" s="41"/>
      <c r="V44" s="41"/>
      <c r="W44" s="41"/>
      <c r="X44" s="41"/>
      <c r="Y44" s="33">
        <f t="shared" si="3"/>
        <v>0</v>
      </c>
    </row>
    <row r="45" spans="3:25" x14ac:dyDescent="0.25">
      <c r="D45" s="69"/>
      <c r="E45" s="34"/>
      <c r="F45" s="34"/>
      <c r="H45" s="35"/>
      <c r="I45" s="36"/>
      <c r="J45" s="37"/>
      <c r="K45" s="38"/>
      <c r="L45" s="29"/>
      <c r="M45" s="29"/>
      <c r="N45" s="29"/>
      <c r="O45" s="39"/>
      <c r="P45" s="40">
        <f t="shared" si="0"/>
        <v>0</v>
      </c>
      <c r="Q45" s="40">
        <f t="shared" si="1"/>
        <v>0</v>
      </c>
      <c r="R45" s="40">
        <f t="shared" si="2"/>
        <v>0</v>
      </c>
      <c r="S45" s="41"/>
      <c r="T45" s="41"/>
      <c r="U45" s="41"/>
      <c r="V45" s="41"/>
      <c r="W45" s="41"/>
      <c r="X45" s="41"/>
      <c r="Y45" s="33">
        <f t="shared" si="3"/>
        <v>0</v>
      </c>
    </row>
    <row r="46" spans="3:25" x14ac:dyDescent="0.25">
      <c r="D46" s="69"/>
      <c r="E46" s="34"/>
      <c r="F46" s="34"/>
      <c r="H46" s="35"/>
      <c r="I46" s="36"/>
      <c r="J46" s="37"/>
      <c r="K46" s="38"/>
      <c r="L46" s="29"/>
      <c r="M46" s="29"/>
      <c r="N46" s="29"/>
      <c r="O46" s="39"/>
      <c r="P46" s="40">
        <f t="shared" si="0"/>
        <v>0</v>
      </c>
      <c r="Q46" s="40">
        <f t="shared" si="1"/>
        <v>0</v>
      </c>
      <c r="R46" s="40">
        <f t="shared" si="2"/>
        <v>0</v>
      </c>
      <c r="S46" s="41"/>
      <c r="T46" s="41"/>
      <c r="U46" s="41"/>
      <c r="V46" s="41"/>
      <c r="W46" s="41"/>
      <c r="X46" s="41"/>
      <c r="Y46" s="33">
        <f t="shared" si="3"/>
        <v>0</v>
      </c>
    </row>
    <row r="47" spans="3:25" x14ac:dyDescent="0.25">
      <c r="D47" s="69"/>
      <c r="E47" s="34"/>
      <c r="F47" s="34"/>
      <c r="H47" s="35"/>
      <c r="I47" s="36"/>
      <c r="J47" s="37"/>
      <c r="K47" s="38"/>
      <c r="L47" s="29"/>
      <c r="M47" s="29"/>
      <c r="N47" s="29"/>
      <c r="O47" s="39"/>
      <c r="P47" s="40">
        <f t="shared" si="0"/>
        <v>0</v>
      </c>
      <c r="Q47" s="40">
        <f t="shared" si="1"/>
        <v>0</v>
      </c>
      <c r="R47" s="40">
        <f t="shared" si="2"/>
        <v>0</v>
      </c>
      <c r="S47" s="41"/>
      <c r="T47" s="41"/>
      <c r="U47" s="41"/>
      <c r="V47" s="41"/>
      <c r="W47" s="41"/>
      <c r="X47" s="41"/>
      <c r="Y47" s="33">
        <f t="shared" si="3"/>
        <v>0</v>
      </c>
    </row>
    <row r="48" spans="3:25" x14ac:dyDescent="0.25">
      <c r="D48" s="69"/>
      <c r="E48" s="34"/>
      <c r="F48" s="34"/>
      <c r="H48" s="35"/>
      <c r="I48" s="36"/>
      <c r="J48" s="37"/>
      <c r="K48" s="38"/>
      <c r="L48" s="29"/>
      <c r="M48" s="29"/>
      <c r="N48" s="29"/>
      <c r="O48" s="39"/>
      <c r="P48" s="40">
        <f t="shared" si="0"/>
        <v>0</v>
      </c>
      <c r="Q48" s="40">
        <f t="shared" si="1"/>
        <v>0</v>
      </c>
      <c r="R48" s="40">
        <f t="shared" si="2"/>
        <v>0</v>
      </c>
      <c r="S48" s="41"/>
      <c r="T48" s="41"/>
      <c r="U48" s="41"/>
      <c r="V48" s="41"/>
      <c r="W48" s="41"/>
      <c r="X48" s="41"/>
      <c r="Y48" s="33">
        <f t="shared" si="3"/>
        <v>0</v>
      </c>
    </row>
    <row r="49" spans="4:25" x14ac:dyDescent="0.25">
      <c r="D49" s="69"/>
      <c r="E49" s="34"/>
      <c r="F49" s="34"/>
      <c r="H49" s="35"/>
      <c r="I49" s="36"/>
      <c r="J49" s="37"/>
      <c r="K49" s="38"/>
      <c r="L49" s="29"/>
      <c r="M49" s="29"/>
      <c r="N49" s="29"/>
      <c r="O49" s="39"/>
      <c r="P49" s="40">
        <f t="shared" si="0"/>
        <v>0</v>
      </c>
      <c r="Q49" s="40">
        <f t="shared" si="1"/>
        <v>0</v>
      </c>
      <c r="R49" s="40">
        <f t="shared" si="2"/>
        <v>0</v>
      </c>
      <c r="S49" s="41"/>
      <c r="T49" s="41"/>
      <c r="U49" s="41"/>
      <c r="V49" s="41"/>
      <c r="W49" s="41"/>
      <c r="X49" s="41"/>
      <c r="Y49" s="33">
        <f t="shared" si="3"/>
        <v>0</v>
      </c>
    </row>
    <row r="50" spans="4:25" x14ac:dyDescent="0.25">
      <c r="D50" s="69"/>
      <c r="E50" s="34"/>
      <c r="F50" s="34"/>
      <c r="H50" s="35"/>
      <c r="I50" s="36"/>
      <c r="J50" s="37"/>
      <c r="K50" s="38"/>
      <c r="L50" s="29"/>
      <c r="M50" s="29"/>
      <c r="N50" s="29"/>
      <c r="O50" s="39"/>
      <c r="P50" s="40">
        <f t="shared" si="0"/>
        <v>0</v>
      </c>
      <c r="Q50" s="40">
        <f t="shared" si="1"/>
        <v>0</v>
      </c>
      <c r="R50" s="40">
        <f t="shared" si="2"/>
        <v>0</v>
      </c>
      <c r="S50" s="41"/>
      <c r="T50" s="41"/>
      <c r="U50" s="41"/>
      <c r="V50" s="41"/>
      <c r="W50" s="41"/>
      <c r="X50" s="41"/>
      <c r="Y50" s="33">
        <f t="shared" si="3"/>
        <v>0</v>
      </c>
    </row>
    <row r="51" spans="4:25" x14ac:dyDescent="0.25">
      <c r="D51" s="69"/>
      <c r="E51" s="34"/>
      <c r="F51" s="34"/>
      <c r="H51" s="35"/>
      <c r="I51" s="36"/>
      <c r="J51" s="37"/>
      <c r="K51" s="38"/>
      <c r="L51" s="29"/>
      <c r="M51" s="29"/>
      <c r="N51" s="29"/>
      <c r="O51" s="39"/>
      <c r="P51" s="40">
        <f t="shared" si="0"/>
        <v>0</v>
      </c>
      <c r="Q51" s="40">
        <f t="shared" si="1"/>
        <v>0</v>
      </c>
      <c r="R51" s="40">
        <f t="shared" si="2"/>
        <v>0</v>
      </c>
      <c r="S51" s="41"/>
      <c r="T51" s="41"/>
      <c r="U51" s="41"/>
      <c r="V51" s="41"/>
      <c r="W51" s="41"/>
      <c r="X51" s="41"/>
      <c r="Y51" s="33">
        <f t="shared" si="3"/>
        <v>0</v>
      </c>
    </row>
    <row r="52" spans="4:25" x14ac:dyDescent="0.25">
      <c r="D52" s="69"/>
      <c r="E52" s="34"/>
      <c r="F52" s="34"/>
      <c r="H52" s="35"/>
      <c r="I52" s="36"/>
      <c r="J52" s="37"/>
      <c r="K52" s="38"/>
      <c r="L52" s="29"/>
      <c r="M52" s="29"/>
      <c r="N52" s="29"/>
      <c r="O52" s="39"/>
      <c r="P52" s="40">
        <f t="shared" si="0"/>
        <v>0</v>
      </c>
      <c r="Q52" s="40">
        <f t="shared" si="1"/>
        <v>0</v>
      </c>
      <c r="R52" s="40">
        <f t="shared" si="2"/>
        <v>0</v>
      </c>
      <c r="S52" s="41"/>
      <c r="T52" s="41"/>
      <c r="U52" s="41"/>
      <c r="V52" s="41"/>
      <c r="W52" s="41"/>
      <c r="X52" s="41"/>
      <c r="Y52" s="33">
        <f t="shared" si="3"/>
        <v>0</v>
      </c>
    </row>
    <row r="53" spans="4:25" x14ac:dyDescent="0.25">
      <c r="D53" s="69"/>
      <c r="E53" s="34"/>
      <c r="F53" s="34"/>
      <c r="H53" s="35"/>
      <c r="I53" s="36"/>
      <c r="J53" s="37"/>
      <c r="K53" s="38"/>
      <c r="L53" s="29"/>
      <c r="M53" s="29"/>
      <c r="N53" s="29"/>
      <c r="O53" s="39"/>
      <c r="P53" s="40">
        <f t="shared" si="0"/>
        <v>0</v>
      </c>
      <c r="Q53" s="40">
        <f t="shared" si="1"/>
        <v>0</v>
      </c>
      <c r="R53" s="40">
        <f t="shared" si="2"/>
        <v>0</v>
      </c>
      <c r="S53" s="41"/>
      <c r="T53" s="41"/>
      <c r="U53" s="41"/>
      <c r="V53" s="41"/>
      <c r="W53" s="41"/>
      <c r="X53" s="41"/>
      <c r="Y53" s="33">
        <f t="shared" si="3"/>
        <v>0</v>
      </c>
    </row>
    <row r="54" spans="4:25" x14ac:dyDescent="0.25">
      <c r="D54" s="69"/>
      <c r="E54" s="34"/>
      <c r="F54" s="34"/>
      <c r="H54" s="35"/>
      <c r="I54" s="36"/>
      <c r="J54" s="37"/>
      <c r="K54" s="38"/>
      <c r="L54" s="29"/>
      <c r="M54" s="29"/>
      <c r="N54" s="29"/>
      <c r="O54" s="39"/>
      <c r="P54" s="40">
        <f t="shared" si="0"/>
        <v>0</v>
      </c>
      <c r="Q54" s="40">
        <f t="shared" si="1"/>
        <v>0</v>
      </c>
      <c r="R54" s="40">
        <f t="shared" si="2"/>
        <v>0</v>
      </c>
      <c r="S54" s="41"/>
      <c r="T54" s="41"/>
      <c r="U54" s="41"/>
      <c r="V54" s="41"/>
      <c r="W54" s="41"/>
      <c r="X54" s="41"/>
      <c r="Y54" s="33">
        <f t="shared" si="3"/>
        <v>0</v>
      </c>
    </row>
    <row r="55" spans="4:25" x14ac:dyDescent="0.25">
      <c r="D55" s="69"/>
      <c r="E55" s="34"/>
      <c r="F55" s="34"/>
      <c r="H55" s="35"/>
      <c r="I55" s="36"/>
      <c r="J55" s="37"/>
      <c r="K55" s="38"/>
      <c r="L55" s="29"/>
      <c r="M55" s="29"/>
      <c r="N55" s="29"/>
      <c r="O55" s="39"/>
      <c r="P55" s="40">
        <f t="shared" si="0"/>
        <v>0</v>
      </c>
      <c r="Q55" s="40">
        <f t="shared" si="1"/>
        <v>0</v>
      </c>
      <c r="R55" s="40">
        <f t="shared" si="2"/>
        <v>0</v>
      </c>
      <c r="S55" s="41"/>
      <c r="T55" s="41"/>
      <c r="U55" s="41"/>
      <c r="V55" s="41"/>
      <c r="W55" s="41"/>
      <c r="X55" s="41"/>
      <c r="Y55" s="33">
        <f t="shared" si="3"/>
        <v>0</v>
      </c>
    </row>
    <row r="56" spans="4:25" x14ac:dyDescent="0.25">
      <c r="D56" s="69"/>
      <c r="E56" s="34"/>
      <c r="F56" s="34"/>
      <c r="H56" s="35"/>
      <c r="I56" s="36"/>
      <c r="J56" s="37"/>
      <c r="K56" s="38"/>
      <c r="L56" s="29"/>
      <c r="M56" s="29"/>
      <c r="N56" s="29"/>
      <c r="O56" s="39"/>
      <c r="P56" s="40">
        <f t="shared" si="0"/>
        <v>0</v>
      </c>
      <c r="Q56" s="40">
        <f t="shared" si="1"/>
        <v>0</v>
      </c>
      <c r="R56" s="40">
        <f t="shared" si="2"/>
        <v>0</v>
      </c>
      <c r="S56" s="41"/>
      <c r="T56" s="41"/>
      <c r="U56" s="41"/>
      <c r="V56" s="41"/>
      <c r="W56" s="41"/>
      <c r="X56" s="41"/>
      <c r="Y56" s="33">
        <f t="shared" si="3"/>
        <v>0</v>
      </c>
    </row>
    <row r="57" spans="4:25" x14ac:dyDescent="0.25">
      <c r="D57" s="69"/>
      <c r="E57" s="34"/>
      <c r="F57" s="34"/>
      <c r="H57" s="35"/>
      <c r="I57" s="36"/>
      <c r="J57" s="37"/>
      <c r="K57" s="38"/>
      <c r="L57" s="29"/>
      <c r="M57" s="29"/>
      <c r="N57" s="29"/>
      <c r="O57" s="39"/>
      <c r="P57" s="40">
        <f t="shared" si="0"/>
        <v>0</v>
      </c>
      <c r="Q57" s="40">
        <f t="shared" si="1"/>
        <v>0</v>
      </c>
      <c r="R57" s="40">
        <f t="shared" si="2"/>
        <v>0</v>
      </c>
      <c r="S57" s="41"/>
      <c r="T57" s="41"/>
      <c r="U57" s="41"/>
      <c r="V57" s="41"/>
      <c r="W57" s="41"/>
      <c r="X57" s="41"/>
      <c r="Y57" s="33">
        <f t="shared" si="3"/>
        <v>0</v>
      </c>
    </row>
    <row r="58" spans="4:25" x14ac:dyDescent="0.25">
      <c r="D58" s="69"/>
      <c r="E58" s="34"/>
      <c r="F58" s="34"/>
      <c r="H58" s="35"/>
      <c r="I58" s="36"/>
      <c r="J58" s="37"/>
      <c r="K58" s="38"/>
      <c r="L58" s="29"/>
      <c r="M58" s="29"/>
      <c r="N58" s="29"/>
      <c r="O58" s="39"/>
      <c r="P58" s="40">
        <f t="shared" si="0"/>
        <v>0</v>
      </c>
      <c r="Q58" s="40">
        <f t="shared" si="1"/>
        <v>0</v>
      </c>
      <c r="R58" s="40">
        <f t="shared" si="2"/>
        <v>0</v>
      </c>
      <c r="S58" s="41"/>
      <c r="T58" s="41"/>
      <c r="U58" s="41"/>
      <c r="V58" s="41"/>
      <c r="W58" s="41"/>
      <c r="X58" s="41"/>
      <c r="Y58" s="33">
        <f t="shared" si="3"/>
        <v>0</v>
      </c>
    </row>
    <row r="59" spans="4:25" x14ac:dyDescent="0.25">
      <c r="D59" s="69"/>
      <c r="E59" s="34"/>
      <c r="F59" s="34"/>
      <c r="H59" s="35"/>
      <c r="I59" s="36"/>
      <c r="J59" s="37"/>
      <c r="K59" s="38"/>
      <c r="L59" s="29"/>
      <c r="M59" s="29"/>
      <c r="N59" s="29"/>
      <c r="O59" s="39"/>
      <c r="P59" s="40">
        <f t="shared" si="0"/>
        <v>0</v>
      </c>
      <c r="Q59" s="40">
        <f t="shared" si="1"/>
        <v>0</v>
      </c>
      <c r="R59" s="40">
        <f t="shared" si="2"/>
        <v>0</v>
      </c>
      <c r="S59" s="41"/>
      <c r="T59" s="41"/>
      <c r="U59" s="41"/>
      <c r="V59" s="41"/>
      <c r="W59" s="41"/>
      <c r="X59" s="41"/>
      <c r="Y59" s="33">
        <f t="shared" si="3"/>
        <v>0</v>
      </c>
    </row>
    <row r="60" spans="4:25" x14ac:dyDescent="0.25">
      <c r="D60" s="69"/>
      <c r="E60" s="34"/>
      <c r="F60" s="34"/>
      <c r="H60" s="35"/>
      <c r="I60" s="36"/>
      <c r="J60" s="37"/>
      <c r="K60" s="38"/>
      <c r="L60" s="29"/>
      <c r="M60" s="29"/>
      <c r="N60" s="29"/>
      <c r="O60" s="39"/>
      <c r="P60" s="40">
        <f t="shared" si="0"/>
        <v>0</v>
      </c>
      <c r="Q60" s="40">
        <f t="shared" si="1"/>
        <v>0</v>
      </c>
      <c r="R60" s="40">
        <f t="shared" si="2"/>
        <v>0</v>
      </c>
      <c r="S60" s="41"/>
      <c r="T60" s="41"/>
      <c r="U60" s="41"/>
      <c r="V60" s="41"/>
      <c r="W60" s="41"/>
      <c r="X60" s="41"/>
      <c r="Y60" s="33">
        <f t="shared" si="3"/>
        <v>0</v>
      </c>
    </row>
    <row r="61" spans="4:25" x14ac:dyDescent="0.25">
      <c r="D61" s="69"/>
      <c r="E61" s="34"/>
      <c r="F61" s="34"/>
      <c r="H61" s="35"/>
      <c r="I61" s="36"/>
      <c r="J61" s="37"/>
      <c r="K61" s="38"/>
      <c r="L61" s="29"/>
      <c r="M61" s="29"/>
      <c r="N61" s="29"/>
      <c r="O61" s="39"/>
      <c r="P61" s="40">
        <f t="shared" si="0"/>
        <v>0</v>
      </c>
      <c r="Q61" s="40">
        <f t="shared" si="1"/>
        <v>0</v>
      </c>
      <c r="R61" s="40">
        <f t="shared" si="2"/>
        <v>0</v>
      </c>
      <c r="S61" s="41"/>
      <c r="T61" s="41"/>
      <c r="U61" s="41"/>
      <c r="V61" s="41"/>
      <c r="W61" s="41"/>
      <c r="X61" s="41"/>
      <c r="Y61" s="33">
        <f t="shared" si="3"/>
        <v>0</v>
      </c>
    </row>
    <row r="62" spans="4:25" x14ac:dyDescent="0.25">
      <c r="D62" s="69"/>
      <c r="E62" s="34"/>
      <c r="F62" s="34"/>
      <c r="H62" s="35"/>
      <c r="I62" s="36"/>
      <c r="J62" s="37"/>
      <c r="K62" s="38"/>
      <c r="L62" s="29"/>
      <c r="M62" s="29"/>
      <c r="N62" s="29"/>
      <c r="O62" s="39"/>
      <c r="P62" s="40">
        <f t="shared" si="0"/>
        <v>0</v>
      </c>
      <c r="Q62" s="40">
        <f t="shared" si="1"/>
        <v>0</v>
      </c>
      <c r="R62" s="40">
        <f t="shared" si="2"/>
        <v>0</v>
      </c>
      <c r="S62" s="41"/>
      <c r="T62" s="41"/>
      <c r="U62" s="41"/>
      <c r="V62" s="41"/>
      <c r="W62" s="41"/>
      <c r="X62" s="41"/>
      <c r="Y62" s="33">
        <f t="shared" si="3"/>
        <v>0</v>
      </c>
    </row>
    <row r="63" spans="4:25" x14ac:dyDescent="0.25">
      <c r="D63" s="69"/>
      <c r="E63" s="34"/>
      <c r="F63" s="34"/>
      <c r="H63" s="35"/>
      <c r="I63" s="36"/>
      <c r="J63" s="37"/>
      <c r="K63" s="38"/>
      <c r="L63" s="29"/>
      <c r="M63" s="29"/>
      <c r="N63" s="29"/>
      <c r="O63" s="39"/>
      <c r="P63" s="40">
        <f t="shared" si="0"/>
        <v>0</v>
      </c>
      <c r="Q63" s="40">
        <f t="shared" si="1"/>
        <v>0</v>
      </c>
      <c r="R63" s="40">
        <f t="shared" si="2"/>
        <v>0</v>
      </c>
      <c r="S63" s="41"/>
      <c r="T63" s="41"/>
      <c r="U63" s="41"/>
      <c r="V63" s="41"/>
      <c r="W63" s="41"/>
      <c r="X63" s="41"/>
      <c r="Y63" s="33">
        <f t="shared" si="3"/>
        <v>0</v>
      </c>
    </row>
    <row r="64" spans="4:25" x14ac:dyDescent="0.25">
      <c r="D64" s="69"/>
      <c r="E64" s="34"/>
      <c r="F64" s="34"/>
      <c r="H64" s="35"/>
      <c r="I64" s="36"/>
      <c r="J64" s="37"/>
      <c r="K64" s="38"/>
      <c r="L64" s="29"/>
      <c r="M64" s="29"/>
      <c r="N64" s="29"/>
      <c r="O64" s="39"/>
      <c r="P64" s="40">
        <f t="shared" si="0"/>
        <v>0</v>
      </c>
      <c r="Q64" s="40">
        <f t="shared" si="1"/>
        <v>0</v>
      </c>
      <c r="R64" s="40">
        <f t="shared" si="2"/>
        <v>0</v>
      </c>
      <c r="S64" s="41"/>
      <c r="T64" s="41"/>
      <c r="U64" s="41"/>
      <c r="V64" s="41"/>
      <c r="W64" s="41"/>
      <c r="X64" s="41"/>
      <c r="Y64" s="33">
        <f t="shared" si="3"/>
        <v>0</v>
      </c>
    </row>
    <row r="65" spans="4:25" x14ac:dyDescent="0.25">
      <c r="D65" s="69"/>
      <c r="E65" s="34"/>
      <c r="F65" s="34"/>
      <c r="H65" s="35"/>
      <c r="I65" s="36"/>
      <c r="J65" s="37"/>
      <c r="K65" s="38"/>
      <c r="L65" s="29"/>
      <c r="M65" s="29"/>
      <c r="N65" s="29"/>
      <c r="O65" s="39"/>
      <c r="P65" s="40">
        <f t="shared" si="0"/>
        <v>0</v>
      </c>
      <c r="Q65" s="40">
        <f t="shared" si="1"/>
        <v>0</v>
      </c>
      <c r="R65" s="40">
        <f t="shared" si="2"/>
        <v>0</v>
      </c>
      <c r="S65" s="41"/>
      <c r="T65" s="41"/>
      <c r="U65" s="41"/>
      <c r="V65" s="41"/>
      <c r="W65" s="41"/>
      <c r="X65" s="41"/>
      <c r="Y65" s="33">
        <f t="shared" si="3"/>
        <v>0</v>
      </c>
    </row>
    <row r="66" spans="4:25" x14ac:dyDescent="0.25">
      <c r="D66" s="69"/>
      <c r="E66" s="34"/>
      <c r="F66" s="34"/>
      <c r="H66" s="35"/>
      <c r="I66" s="36"/>
      <c r="J66" s="37"/>
      <c r="K66" s="38"/>
      <c r="L66" s="29"/>
      <c r="M66" s="29"/>
      <c r="N66" s="29"/>
      <c r="O66" s="39"/>
      <c r="P66" s="40">
        <f t="shared" si="0"/>
        <v>0</v>
      </c>
      <c r="Q66" s="40">
        <f t="shared" si="1"/>
        <v>0</v>
      </c>
      <c r="R66" s="40">
        <f t="shared" si="2"/>
        <v>0</v>
      </c>
      <c r="S66" s="41"/>
      <c r="T66" s="41"/>
      <c r="U66" s="41"/>
      <c r="V66" s="41"/>
      <c r="W66" s="41"/>
      <c r="X66" s="41"/>
      <c r="Y66" s="33">
        <f t="shared" si="3"/>
        <v>0</v>
      </c>
    </row>
    <row r="67" spans="4:25" x14ac:dyDescent="0.25">
      <c r="D67" s="69"/>
      <c r="E67" s="34"/>
      <c r="F67" s="34"/>
      <c r="H67" s="35"/>
      <c r="I67" s="36"/>
      <c r="J67" s="37"/>
      <c r="K67" s="38"/>
      <c r="L67" s="29"/>
      <c r="M67" s="29"/>
      <c r="N67" s="29"/>
      <c r="O67" s="39"/>
      <c r="P67" s="40">
        <f t="shared" ref="P67:P130" si="4">$L67*$O67</f>
        <v>0</v>
      </c>
      <c r="Q67" s="40">
        <f t="shared" si="1"/>
        <v>0</v>
      </c>
      <c r="R67" s="40">
        <f t="shared" si="2"/>
        <v>0</v>
      </c>
      <c r="S67" s="41"/>
      <c r="T67" s="41"/>
      <c r="U67" s="41"/>
      <c r="V67" s="41"/>
      <c r="W67" s="41"/>
      <c r="X67" s="41"/>
      <c r="Y67" s="33">
        <f t="shared" si="3"/>
        <v>0</v>
      </c>
    </row>
    <row r="68" spans="4:25" x14ac:dyDescent="0.25">
      <c r="D68" s="69"/>
      <c r="E68" s="34"/>
      <c r="F68" s="34"/>
      <c r="H68" s="35"/>
      <c r="I68" s="36"/>
      <c r="J68" s="37"/>
      <c r="K68" s="38"/>
      <c r="L68" s="29"/>
      <c r="M68" s="29"/>
      <c r="N68" s="29"/>
      <c r="O68" s="39"/>
      <c r="P68" s="40">
        <f t="shared" si="4"/>
        <v>0</v>
      </c>
      <c r="Q68" s="40">
        <f t="shared" ref="Q68:Q131" si="5">IF(E68="NE",(M68*O68*1.5),(M68*O68))</f>
        <v>0</v>
      </c>
      <c r="R68" s="40">
        <f t="shared" ref="R68:R131" si="6">P68+Q68</f>
        <v>0</v>
      </c>
      <c r="S68" s="41"/>
      <c r="T68" s="41"/>
      <c r="U68" s="41"/>
      <c r="V68" s="41"/>
      <c r="W68" s="41"/>
      <c r="X68" s="41"/>
      <c r="Y68" s="33">
        <f t="shared" ref="Y68:Y131" si="7">SUM(R68:X68)</f>
        <v>0</v>
      </c>
    </row>
    <row r="69" spans="4:25" x14ac:dyDescent="0.25">
      <c r="D69" s="69"/>
      <c r="E69" s="34"/>
      <c r="F69" s="34"/>
      <c r="H69" s="35"/>
      <c r="I69" s="36"/>
      <c r="J69" s="37"/>
      <c r="K69" s="38"/>
      <c r="L69" s="29"/>
      <c r="M69" s="29"/>
      <c r="N69" s="29"/>
      <c r="O69" s="39"/>
      <c r="P69" s="40">
        <f t="shared" si="4"/>
        <v>0</v>
      </c>
      <c r="Q69" s="40">
        <f t="shared" si="5"/>
        <v>0</v>
      </c>
      <c r="R69" s="40">
        <f t="shared" si="6"/>
        <v>0</v>
      </c>
      <c r="S69" s="41"/>
      <c r="T69" s="41"/>
      <c r="U69" s="41"/>
      <c r="V69" s="41"/>
      <c r="W69" s="41"/>
      <c r="X69" s="41"/>
      <c r="Y69" s="33">
        <f t="shared" si="7"/>
        <v>0</v>
      </c>
    </row>
    <row r="70" spans="4:25" x14ac:dyDescent="0.25">
      <c r="D70" s="69"/>
      <c r="E70" s="34"/>
      <c r="F70" s="34"/>
      <c r="H70" s="35"/>
      <c r="I70" s="36"/>
      <c r="J70" s="37"/>
      <c r="K70" s="38"/>
      <c r="L70" s="29"/>
      <c r="M70" s="29"/>
      <c r="N70" s="29"/>
      <c r="O70" s="39"/>
      <c r="P70" s="40">
        <f t="shared" si="4"/>
        <v>0</v>
      </c>
      <c r="Q70" s="40">
        <f t="shared" si="5"/>
        <v>0</v>
      </c>
      <c r="R70" s="40">
        <f t="shared" si="6"/>
        <v>0</v>
      </c>
      <c r="S70" s="41"/>
      <c r="T70" s="41"/>
      <c r="U70" s="41"/>
      <c r="V70" s="41"/>
      <c r="W70" s="41"/>
      <c r="X70" s="41"/>
      <c r="Y70" s="33">
        <f t="shared" si="7"/>
        <v>0</v>
      </c>
    </row>
    <row r="71" spans="4:25" x14ac:dyDescent="0.25">
      <c r="D71" s="69"/>
      <c r="E71" s="34"/>
      <c r="F71" s="34"/>
      <c r="H71" s="35"/>
      <c r="I71" s="36"/>
      <c r="J71" s="37"/>
      <c r="K71" s="38"/>
      <c r="L71" s="29"/>
      <c r="M71" s="29"/>
      <c r="N71" s="29"/>
      <c r="O71" s="39"/>
      <c r="P71" s="40">
        <f t="shared" si="4"/>
        <v>0</v>
      </c>
      <c r="Q71" s="40">
        <f t="shared" si="5"/>
        <v>0</v>
      </c>
      <c r="R71" s="40">
        <f t="shared" si="6"/>
        <v>0</v>
      </c>
      <c r="S71" s="41"/>
      <c r="T71" s="41"/>
      <c r="U71" s="41"/>
      <c r="V71" s="41"/>
      <c r="W71" s="41"/>
      <c r="X71" s="41"/>
      <c r="Y71" s="33">
        <f t="shared" si="7"/>
        <v>0</v>
      </c>
    </row>
    <row r="72" spans="4:25" x14ac:dyDescent="0.25">
      <c r="D72" s="69"/>
      <c r="E72" s="34"/>
      <c r="F72" s="34"/>
      <c r="H72" s="35"/>
      <c r="I72" s="36"/>
      <c r="J72" s="37"/>
      <c r="K72" s="38"/>
      <c r="L72" s="29"/>
      <c r="M72" s="29"/>
      <c r="N72" s="29"/>
      <c r="O72" s="39"/>
      <c r="P72" s="40">
        <f t="shared" si="4"/>
        <v>0</v>
      </c>
      <c r="Q72" s="40">
        <f t="shared" si="5"/>
        <v>0</v>
      </c>
      <c r="R72" s="40">
        <f t="shared" si="6"/>
        <v>0</v>
      </c>
      <c r="S72" s="41"/>
      <c r="T72" s="41"/>
      <c r="U72" s="41"/>
      <c r="V72" s="41"/>
      <c r="W72" s="41"/>
      <c r="X72" s="41"/>
      <c r="Y72" s="33">
        <f t="shared" si="7"/>
        <v>0</v>
      </c>
    </row>
    <row r="73" spans="4:25" x14ac:dyDescent="0.25">
      <c r="D73" s="69"/>
      <c r="E73" s="34"/>
      <c r="F73" s="34"/>
      <c r="H73" s="35"/>
      <c r="I73" s="36"/>
      <c r="J73" s="37"/>
      <c r="K73" s="38"/>
      <c r="L73" s="29"/>
      <c r="M73" s="29"/>
      <c r="N73" s="29"/>
      <c r="O73" s="39"/>
      <c r="P73" s="40">
        <f t="shared" si="4"/>
        <v>0</v>
      </c>
      <c r="Q73" s="40">
        <f t="shared" si="5"/>
        <v>0</v>
      </c>
      <c r="R73" s="40">
        <f t="shared" si="6"/>
        <v>0</v>
      </c>
      <c r="S73" s="41"/>
      <c r="T73" s="41"/>
      <c r="U73" s="41"/>
      <c r="V73" s="41"/>
      <c r="W73" s="41"/>
      <c r="X73" s="41"/>
      <c r="Y73" s="33">
        <f t="shared" si="7"/>
        <v>0</v>
      </c>
    </row>
    <row r="74" spans="4:25" x14ac:dyDescent="0.25">
      <c r="D74" s="69"/>
      <c r="E74" s="34"/>
      <c r="F74" s="34"/>
      <c r="H74" s="35"/>
      <c r="I74" s="36"/>
      <c r="J74" s="37"/>
      <c r="K74" s="38"/>
      <c r="L74" s="29"/>
      <c r="M74" s="29"/>
      <c r="N74" s="29"/>
      <c r="O74" s="39"/>
      <c r="P74" s="40">
        <f t="shared" si="4"/>
        <v>0</v>
      </c>
      <c r="Q74" s="40">
        <f t="shared" si="5"/>
        <v>0</v>
      </c>
      <c r="R74" s="40">
        <f t="shared" si="6"/>
        <v>0</v>
      </c>
      <c r="S74" s="41"/>
      <c r="T74" s="41"/>
      <c r="U74" s="41"/>
      <c r="V74" s="41"/>
      <c r="W74" s="41"/>
      <c r="X74" s="41"/>
      <c r="Y74" s="33">
        <f t="shared" si="7"/>
        <v>0</v>
      </c>
    </row>
    <row r="75" spans="4:25" x14ac:dyDescent="0.25">
      <c r="D75" s="69"/>
      <c r="E75" s="34"/>
      <c r="F75" s="34"/>
      <c r="H75" s="35"/>
      <c r="I75" s="36"/>
      <c r="J75" s="37"/>
      <c r="K75" s="38"/>
      <c r="L75" s="29"/>
      <c r="M75" s="29"/>
      <c r="N75" s="29"/>
      <c r="O75" s="39"/>
      <c r="P75" s="40">
        <f t="shared" si="4"/>
        <v>0</v>
      </c>
      <c r="Q75" s="40">
        <f t="shared" si="5"/>
        <v>0</v>
      </c>
      <c r="R75" s="40">
        <f t="shared" si="6"/>
        <v>0</v>
      </c>
      <c r="S75" s="41"/>
      <c r="T75" s="41"/>
      <c r="U75" s="41"/>
      <c r="V75" s="41"/>
      <c r="W75" s="41"/>
      <c r="X75" s="41"/>
      <c r="Y75" s="33">
        <f t="shared" si="7"/>
        <v>0</v>
      </c>
    </row>
    <row r="76" spans="4:25" x14ac:dyDescent="0.25">
      <c r="D76" s="69"/>
      <c r="E76" s="34"/>
      <c r="F76" s="34"/>
      <c r="H76" s="35"/>
      <c r="I76" s="36"/>
      <c r="J76" s="37"/>
      <c r="K76" s="38"/>
      <c r="L76" s="29"/>
      <c r="M76" s="29"/>
      <c r="N76" s="29"/>
      <c r="O76" s="39"/>
      <c r="P76" s="40">
        <f t="shared" si="4"/>
        <v>0</v>
      </c>
      <c r="Q76" s="40">
        <f t="shared" si="5"/>
        <v>0</v>
      </c>
      <c r="R76" s="40">
        <f t="shared" si="6"/>
        <v>0</v>
      </c>
      <c r="S76" s="41"/>
      <c r="T76" s="41"/>
      <c r="U76" s="41"/>
      <c r="V76" s="41"/>
      <c r="W76" s="41"/>
      <c r="X76" s="41"/>
      <c r="Y76" s="33">
        <f t="shared" si="7"/>
        <v>0</v>
      </c>
    </row>
    <row r="77" spans="4:25" x14ac:dyDescent="0.25">
      <c r="D77" s="69"/>
      <c r="E77" s="34"/>
      <c r="F77" s="34"/>
      <c r="H77" s="35"/>
      <c r="I77" s="36"/>
      <c r="J77" s="37"/>
      <c r="K77" s="38"/>
      <c r="L77" s="29"/>
      <c r="M77" s="29"/>
      <c r="N77" s="29"/>
      <c r="O77" s="39"/>
      <c r="P77" s="40">
        <f t="shared" si="4"/>
        <v>0</v>
      </c>
      <c r="Q77" s="40">
        <f t="shared" si="5"/>
        <v>0</v>
      </c>
      <c r="R77" s="40">
        <f t="shared" si="6"/>
        <v>0</v>
      </c>
      <c r="S77" s="41"/>
      <c r="T77" s="41"/>
      <c r="U77" s="41"/>
      <c r="V77" s="41"/>
      <c r="W77" s="41"/>
      <c r="X77" s="41"/>
      <c r="Y77" s="33">
        <f t="shared" si="7"/>
        <v>0</v>
      </c>
    </row>
    <row r="78" spans="4:25" x14ac:dyDescent="0.25">
      <c r="D78" s="69"/>
      <c r="E78" s="34"/>
      <c r="F78" s="34"/>
      <c r="H78" s="35"/>
      <c r="I78" s="36"/>
      <c r="J78" s="37"/>
      <c r="K78" s="38"/>
      <c r="L78" s="29"/>
      <c r="M78" s="29"/>
      <c r="N78" s="29"/>
      <c r="O78" s="39"/>
      <c r="P78" s="40">
        <f t="shared" si="4"/>
        <v>0</v>
      </c>
      <c r="Q78" s="40">
        <f t="shared" si="5"/>
        <v>0</v>
      </c>
      <c r="R78" s="40">
        <f t="shared" si="6"/>
        <v>0</v>
      </c>
      <c r="S78" s="41"/>
      <c r="T78" s="41"/>
      <c r="U78" s="41"/>
      <c r="V78" s="41"/>
      <c r="W78" s="41"/>
      <c r="X78" s="41"/>
      <c r="Y78" s="33">
        <f t="shared" si="7"/>
        <v>0</v>
      </c>
    </row>
    <row r="79" spans="4:25" x14ac:dyDescent="0.25">
      <c r="D79" s="69"/>
      <c r="E79" s="34"/>
      <c r="F79" s="34"/>
      <c r="H79" s="35"/>
      <c r="I79" s="36"/>
      <c r="J79" s="37"/>
      <c r="K79" s="38"/>
      <c r="L79" s="29"/>
      <c r="M79" s="29"/>
      <c r="N79" s="29"/>
      <c r="O79" s="39"/>
      <c r="P79" s="40">
        <f t="shared" si="4"/>
        <v>0</v>
      </c>
      <c r="Q79" s="40">
        <f t="shared" si="5"/>
        <v>0</v>
      </c>
      <c r="R79" s="40">
        <f t="shared" si="6"/>
        <v>0</v>
      </c>
      <c r="S79" s="41"/>
      <c r="T79" s="41"/>
      <c r="U79" s="41"/>
      <c r="V79" s="41"/>
      <c r="W79" s="41"/>
      <c r="X79" s="41"/>
      <c r="Y79" s="33">
        <f t="shared" si="7"/>
        <v>0</v>
      </c>
    </row>
    <row r="80" spans="4:25" x14ac:dyDescent="0.25">
      <c r="D80" s="69"/>
      <c r="E80" s="34"/>
      <c r="F80" s="34"/>
      <c r="H80" s="35"/>
      <c r="I80" s="36"/>
      <c r="J80" s="37"/>
      <c r="K80" s="38"/>
      <c r="L80" s="29"/>
      <c r="M80" s="29"/>
      <c r="N80" s="29"/>
      <c r="O80" s="39"/>
      <c r="P80" s="40">
        <f t="shared" si="4"/>
        <v>0</v>
      </c>
      <c r="Q80" s="40">
        <f t="shared" si="5"/>
        <v>0</v>
      </c>
      <c r="R80" s="40">
        <f t="shared" si="6"/>
        <v>0</v>
      </c>
      <c r="S80" s="41"/>
      <c r="T80" s="41"/>
      <c r="U80" s="41"/>
      <c r="V80" s="41"/>
      <c r="W80" s="41"/>
      <c r="X80" s="41"/>
      <c r="Y80" s="33">
        <f t="shared" si="7"/>
        <v>0</v>
      </c>
    </row>
    <row r="81" spans="4:25" x14ac:dyDescent="0.25">
      <c r="D81" s="69"/>
      <c r="E81" s="34"/>
      <c r="F81" s="34"/>
      <c r="H81" s="35"/>
      <c r="I81" s="36"/>
      <c r="J81" s="37"/>
      <c r="K81" s="38"/>
      <c r="L81" s="29"/>
      <c r="M81" s="29"/>
      <c r="N81" s="29"/>
      <c r="O81" s="39"/>
      <c r="P81" s="40">
        <f t="shared" si="4"/>
        <v>0</v>
      </c>
      <c r="Q81" s="40">
        <f t="shared" si="5"/>
        <v>0</v>
      </c>
      <c r="R81" s="40">
        <f t="shared" si="6"/>
        <v>0</v>
      </c>
      <c r="S81" s="41"/>
      <c r="T81" s="41"/>
      <c r="U81" s="41"/>
      <c r="V81" s="41"/>
      <c r="W81" s="41"/>
      <c r="X81" s="41"/>
      <c r="Y81" s="33">
        <f t="shared" si="7"/>
        <v>0</v>
      </c>
    </row>
    <row r="82" spans="4:25" x14ac:dyDescent="0.25">
      <c r="D82" s="69"/>
      <c r="E82" s="34"/>
      <c r="F82" s="34"/>
      <c r="G82" s="38"/>
      <c r="H82" s="35"/>
      <c r="I82" s="36"/>
      <c r="J82" s="37"/>
      <c r="K82" s="38"/>
      <c r="L82" s="29"/>
      <c r="M82" s="29"/>
      <c r="N82" s="29"/>
      <c r="O82" s="39"/>
      <c r="P82" s="40">
        <f t="shared" si="4"/>
        <v>0</v>
      </c>
      <c r="Q82" s="40">
        <f t="shared" si="5"/>
        <v>0</v>
      </c>
      <c r="R82" s="40">
        <f t="shared" si="6"/>
        <v>0</v>
      </c>
      <c r="S82" s="41"/>
      <c r="T82" s="41"/>
      <c r="U82" s="41"/>
      <c r="V82" s="41"/>
      <c r="W82" s="41"/>
      <c r="X82" s="41"/>
      <c r="Y82" s="33">
        <f t="shared" si="7"/>
        <v>0</v>
      </c>
    </row>
    <row r="83" spans="4:25" x14ac:dyDescent="0.25">
      <c r="D83" s="69"/>
      <c r="E83" s="34"/>
      <c r="F83" s="34"/>
      <c r="G83" s="38"/>
      <c r="H83" s="35"/>
      <c r="I83" s="36"/>
      <c r="J83" s="37"/>
      <c r="K83" s="38"/>
      <c r="L83" s="29"/>
      <c r="M83" s="29"/>
      <c r="N83" s="29"/>
      <c r="O83" s="39"/>
      <c r="P83" s="40">
        <f t="shared" si="4"/>
        <v>0</v>
      </c>
      <c r="Q83" s="40">
        <f t="shared" si="5"/>
        <v>0</v>
      </c>
      <c r="R83" s="40">
        <f t="shared" si="6"/>
        <v>0</v>
      </c>
      <c r="S83" s="41"/>
      <c r="T83" s="41"/>
      <c r="U83" s="41"/>
      <c r="V83" s="41"/>
      <c r="W83" s="41"/>
      <c r="X83" s="41"/>
      <c r="Y83" s="33">
        <f t="shared" si="7"/>
        <v>0</v>
      </c>
    </row>
    <row r="84" spans="4:25" x14ac:dyDescent="0.25">
      <c r="D84" s="69"/>
      <c r="E84" s="34"/>
      <c r="F84" s="34"/>
      <c r="H84" s="35"/>
      <c r="I84" s="36"/>
      <c r="J84" s="37"/>
      <c r="K84" s="38"/>
      <c r="L84" s="29"/>
      <c r="M84" s="29"/>
      <c r="N84" s="29"/>
      <c r="O84" s="39"/>
      <c r="P84" s="40">
        <f t="shared" si="4"/>
        <v>0</v>
      </c>
      <c r="Q84" s="40">
        <f t="shared" si="5"/>
        <v>0</v>
      </c>
      <c r="R84" s="40">
        <f t="shared" si="6"/>
        <v>0</v>
      </c>
      <c r="S84" s="41"/>
      <c r="T84" s="41"/>
      <c r="U84" s="41"/>
      <c r="V84" s="41"/>
      <c r="W84" s="41"/>
      <c r="X84" s="41"/>
      <c r="Y84" s="33">
        <f t="shared" si="7"/>
        <v>0</v>
      </c>
    </row>
    <row r="85" spans="4:25" x14ac:dyDescent="0.25">
      <c r="D85" s="69"/>
      <c r="E85" s="34"/>
      <c r="F85" s="34"/>
      <c r="H85" s="35"/>
      <c r="I85" s="36"/>
      <c r="J85" s="37"/>
      <c r="K85" s="38"/>
      <c r="L85" s="29"/>
      <c r="M85" s="29"/>
      <c r="N85" s="29"/>
      <c r="O85" s="39"/>
      <c r="P85" s="40">
        <f t="shared" si="4"/>
        <v>0</v>
      </c>
      <c r="Q85" s="40">
        <f t="shared" si="5"/>
        <v>0</v>
      </c>
      <c r="R85" s="40">
        <f t="shared" si="6"/>
        <v>0</v>
      </c>
      <c r="S85" s="41"/>
      <c r="T85" s="41"/>
      <c r="U85" s="41"/>
      <c r="V85" s="41"/>
      <c r="W85" s="41"/>
      <c r="X85" s="41"/>
      <c r="Y85" s="33">
        <f t="shared" si="7"/>
        <v>0</v>
      </c>
    </row>
    <row r="86" spans="4:25" x14ac:dyDescent="0.25">
      <c r="D86" s="69"/>
      <c r="E86" s="34"/>
      <c r="F86" s="34"/>
      <c r="H86" s="35"/>
      <c r="I86" s="36"/>
      <c r="J86" s="37"/>
      <c r="K86" s="38"/>
      <c r="L86" s="29"/>
      <c r="M86" s="29"/>
      <c r="N86" s="29"/>
      <c r="O86" s="39"/>
      <c r="P86" s="40">
        <f t="shared" si="4"/>
        <v>0</v>
      </c>
      <c r="Q86" s="40">
        <f t="shared" si="5"/>
        <v>0</v>
      </c>
      <c r="R86" s="40">
        <f t="shared" si="6"/>
        <v>0</v>
      </c>
      <c r="S86" s="41"/>
      <c r="T86" s="41"/>
      <c r="U86" s="41"/>
      <c r="V86" s="41"/>
      <c r="W86" s="41"/>
      <c r="X86" s="41"/>
      <c r="Y86" s="33">
        <f t="shared" si="7"/>
        <v>0</v>
      </c>
    </row>
    <row r="87" spans="4:25" x14ac:dyDescent="0.25">
      <c r="D87" s="69"/>
      <c r="E87" s="34"/>
      <c r="F87" s="34"/>
      <c r="H87" s="35"/>
      <c r="I87" s="36"/>
      <c r="J87" s="37"/>
      <c r="K87" s="38"/>
      <c r="L87" s="29"/>
      <c r="M87" s="29"/>
      <c r="N87" s="29"/>
      <c r="O87" s="39"/>
      <c r="P87" s="40">
        <f t="shared" si="4"/>
        <v>0</v>
      </c>
      <c r="Q87" s="40">
        <f t="shared" si="5"/>
        <v>0</v>
      </c>
      <c r="R87" s="40">
        <f t="shared" si="6"/>
        <v>0</v>
      </c>
      <c r="S87" s="41"/>
      <c r="T87" s="41"/>
      <c r="U87" s="41"/>
      <c r="V87" s="41"/>
      <c r="W87" s="41"/>
      <c r="X87" s="41"/>
      <c r="Y87" s="33">
        <f t="shared" si="7"/>
        <v>0</v>
      </c>
    </row>
    <row r="88" spans="4:25" x14ac:dyDescent="0.25">
      <c r="D88" s="69"/>
      <c r="E88" s="34"/>
      <c r="F88" s="34"/>
      <c r="H88" s="35"/>
      <c r="I88" s="36"/>
      <c r="J88" s="37"/>
      <c r="K88" s="38"/>
      <c r="L88" s="29"/>
      <c r="M88" s="29"/>
      <c r="N88" s="29"/>
      <c r="O88" s="39"/>
      <c r="P88" s="40">
        <f t="shared" si="4"/>
        <v>0</v>
      </c>
      <c r="Q88" s="40">
        <f t="shared" si="5"/>
        <v>0</v>
      </c>
      <c r="R88" s="40">
        <f t="shared" si="6"/>
        <v>0</v>
      </c>
      <c r="S88" s="41"/>
      <c r="T88" s="41"/>
      <c r="U88" s="41"/>
      <c r="V88" s="41"/>
      <c r="W88" s="41"/>
      <c r="X88" s="41"/>
      <c r="Y88" s="33">
        <f t="shared" si="7"/>
        <v>0</v>
      </c>
    </row>
    <row r="89" spans="4:25" x14ac:dyDescent="0.25">
      <c r="D89" s="69"/>
      <c r="E89" s="34"/>
      <c r="F89" s="34"/>
      <c r="H89" s="35"/>
      <c r="I89" s="36"/>
      <c r="J89" s="37"/>
      <c r="K89" s="38"/>
      <c r="L89" s="29"/>
      <c r="M89" s="29"/>
      <c r="N89" s="29"/>
      <c r="O89" s="39"/>
      <c r="P89" s="40">
        <f t="shared" si="4"/>
        <v>0</v>
      </c>
      <c r="Q89" s="40">
        <f t="shared" si="5"/>
        <v>0</v>
      </c>
      <c r="R89" s="40">
        <f t="shared" si="6"/>
        <v>0</v>
      </c>
      <c r="S89" s="41"/>
      <c r="T89" s="41"/>
      <c r="U89" s="41"/>
      <c r="V89" s="41"/>
      <c r="W89" s="41"/>
      <c r="X89" s="41"/>
      <c r="Y89" s="33">
        <f t="shared" si="7"/>
        <v>0</v>
      </c>
    </row>
    <row r="90" spans="4:25" x14ac:dyDescent="0.25">
      <c r="D90" s="69"/>
      <c r="E90" s="34"/>
      <c r="F90" s="34"/>
      <c r="H90" s="35"/>
      <c r="I90" s="36"/>
      <c r="J90" s="37"/>
      <c r="K90" s="38"/>
      <c r="L90" s="29"/>
      <c r="M90" s="29"/>
      <c r="N90" s="29"/>
      <c r="O90" s="39"/>
      <c r="P90" s="40">
        <f t="shared" si="4"/>
        <v>0</v>
      </c>
      <c r="Q90" s="40">
        <f t="shared" si="5"/>
        <v>0</v>
      </c>
      <c r="R90" s="40">
        <f t="shared" si="6"/>
        <v>0</v>
      </c>
      <c r="S90" s="41"/>
      <c r="T90" s="41"/>
      <c r="U90" s="41"/>
      <c r="V90" s="41"/>
      <c r="W90" s="41"/>
      <c r="X90" s="41"/>
      <c r="Y90" s="33">
        <f t="shared" si="7"/>
        <v>0</v>
      </c>
    </row>
    <row r="91" spans="4:25" x14ac:dyDescent="0.25">
      <c r="D91" s="69"/>
      <c r="E91" s="34"/>
      <c r="F91" s="34"/>
      <c r="H91" s="35"/>
      <c r="I91" s="36"/>
      <c r="J91" s="37"/>
      <c r="K91" s="38"/>
      <c r="L91" s="29"/>
      <c r="M91" s="29"/>
      <c r="N91" s="29"/>
      <c r="O91" s="39"/>
      <c r="P91" s="40">
        <f t="shared" si="4"/>
        <v>0</v>
      </c>
      <c r="Q91" s="40">
        <f t="shared" si="5"/>
        <v>0</v>
      </c>
      <c r="R91" s="40">
        <f t="shared" si="6"/>
        <v>0</v>
      </c>
      <c r="S91" s="41"/>
      <c r="T91" s="41"/>
      <c r="U91" s="41"/>
      <c r="V91" s="41"/>
      <c r="W91" s="41"/>
      <c r="X91" s="41"/>
      <c r="Y91" s="33">
        <f t="shared" si="7"/>
        <v>0</v>
      </c>
    </row>
    <row r="92" spans="4:25" x14ac:dyDescent="0.25">
      <c r="D92" s="69"/>
      <c r="E92" s="34"/>
      <c r="F92" s="34"/>
      <c r="H92" s="35"/>
      <c r="I92" s="36"/>
      <c r="J92" s="37"/>
      <c r="K92" s="38"/>
      <c r="L92" s="29"/>
      <c r="M92" s="29"/>
      <c r="N92" s="29"/>
      <c r="O92" s="39"/>
      <c r="P92" s="40">
        <f t="shared" si="4"/>
        <v>0</v>
      </c>
      <c r="Q92" s="40">
        <f t="shared" si="5"/>
        <v>0</v>
      </c>
      <c r="R92" s="40">
        <f t="shared" si="6"/>
        <v>0</v>
      </c>
      <c r="S92" s="41"/>
      <c r="T92" s="41"/>
      <c r="U92" s="41"/>
      <c r="V92" s="41"/>
      <c r="W92" s="41"/>
      <c r="X92" s="41"/>
      <c r="Y92" s="33">
        <f t="shared" si="7"/>
        <v>0</v>
      </c>
    </row>
    <row r="93" spans="4:25" x14ac:dyDescent="0.25">
      <c r="D93" s="69"/>
      <c r="E93" s="34"/>
      <c r="F93" s="34"/>
      <c r="H93" s="35"/>
      <c r="I93" s="36"/>
      <c r="J93" s="37"/>
      <c r="K93" s="38"/>
      <c r="L93" s="29"/>
      <c r="M93" s="29"/>
      <c r="N93" s="29"/>
      <c r="O93" s="39"/>
      <c r="P93" s="40">
        <f t="shared" si="4"/>
        <v>0</v>
      </c>
      <c r="Q93" s="40">
        <f t="shared" si="5"/>
        <v>0</v>
      </c>
      <c r="R93" s="40">
        <f t="shared" si="6"/>
        <v>0</v>
      </c>
      <c r="S93" s="41"/>
      <c r="T93" s="41"/>
      <c r="U93" s="41"/>
      <c r="V93" s="41"/>
      <c r="W93" s="41"/>
      <c r="X93" s="41"/>
      <c r="Y93" s="33">
        <f t="shared" si="7"/>
        <v>0</v>
      </c>
    </row>
    <row r="94" spans="4:25" x14ac:dyDescent="0.25">
      <c r="D94" s="69"/>
      <c r="E94" s="34"/>
      <c r="F94" s="34"/>
      <c r="H94" s="35"/>
      <c r="I94" s="36"/>
      <c r="J94" s="37"/>
      <c r="K94" s="38"/>
      <c r="L94" s="29"/>
      <c r="M94" s="29"/>
      <c r="N94" s="29"/>
      <c r="O94" s="39"/>
      <c r="P94" s="40">
        <f t="shared" si="4"/>
        <v>0</v>
      </c>
      <c r="Q94" s="40">
        <f t="shared" si="5"/>
        <v>0</v>
      </c>
      <c r="R94" s="40">
        <f t="shared" si="6"/>
        <v>0</v>
      </c>
      <c r="S94" s="41"/>
      <c r="T94" s="41"/>
      <c r="U94" s="41"/>
      <c r="V94" s="41"/>
      <c r="W94" s="41"/>
      <c r="X94" s="41"/>
      <c r="Y94" s="33">
        <f t="shared" si="7"/>
        <v>0</v>
      </c>
    </row>
    <row r="95" spans="4:25" x14ac:dyDescent="0.25">
      <c r="D95" s="69"/>
      <c r="E95" s="34"/>
      <c r="F95" s="34"/>
      <c r="H95" s="35"/>
      <c r="I95" s="36"/>
      <c r="J95" s="37"/>
      <c r="K95" s="38"/>
      <c r="L95" s="29"/>
      <c r="M95" s="29"/>
      <c r="N95" s="29"/>
      <c r="O95" s="39"/>
      <c r="P95" s="40">
        <f t="shared" si="4"/>
        <v>0</v>
      </c>
      <c r="Q95" s="40">
        <f t="shared" si="5"/>
        <v>0</v>
      </c>
      <c r="R95" s="40">
        <f t="shared" si="6"/>
        <v>0</v>
      </c>
      <c r="S95" s="41"/>
      <c r="T95" s="41"/>
      <c r="U95" s="41"/>
      <c r="V95" s="41"/>
      <c r="W95" s="41"/>
      <c r="X95" s="41"/>
      <c r="Y95" s="33">
        <f t="shared" si="7"/>
        <v>0</v>
      </c>
    </row>
    <row r="96" spans="4:25" x14ac:dyDescent="0.25">
      <c r="D96" s="69"/>
      <c r="E96" s="34"/>
      <c r="F96" s="34"/>
      <c r="H96" s="35"/>
      <c r="I96" s="36"/>
      <c r="J96" s="37"/>
      <c r="K96" s="38"/>
      <c r="L96" s="29"/>
      <c r="M96" s="29"/>
      <c r="N96" s="29"/>
      <c r="O96" s="39"/>
      <c r="P96" s="40">
        <f t="shared" si="4"/>
        <v>0</v>
      </c>
      <c r="Q96" s="40">
        <f t="shared" si="5"/>
        <v>0</v>
      </c>
      <c r="R96" s="40">
        <f t="shared" si="6"/>
        <v>0</v>
      </c>
      <c r="S96" s="41"/>
      <c r="T96" s="41"/>
      <c r="U96" s="41"/>
      <c r="V96" s="41"/>
      <c r="W96" s="41"/>
      <c r="X96" s="41"/>
      <c r="Y96" s="33">
        <f t="shared" si="7"/>
        <v>0</v>
      </c>
    </row>
    <row r="97" spans="4:25" x14ac:dyDescent="0.25">
      <c r="D97" s="69"/>
      <c r="E97" s="34"/>
      <c r="F97" s="34"/>
      <c r="H97" s="35"/>
      <c r="I97" s="36"/>
      <c r="J97" s="37"/>
      <c r="K97" s="38"/>
      <c r="L97" s="29"/>
      <c r="M97" s="29"/>
      <c r="N97" s="29"/>
      <c r="O97" s="39"/>
      <c r="P97" s="40">
        <f t="shared" si="4"/>
        <v>0</v>
      </c>
      <c r="Q97" s="40">
        <f t="shared" si="5"/>
        <v>0</v>
      </c>
      <c r="R97" s="40">
        <f t="shared" si="6"/>
        <v>0</v>
      </c>
      <c r="S97" s="41"/>
      <c r="T97" s="41"/>
      <c r="U97" s="41"/>
      <c r="V97" s="41"/>
      <c r="W97" s="41"/>
      <c r="X97" s="41"/>
      <c r="Y97" s="33">
        <f t="shared" si="7"/>
        <v>0</v>
      </c>
    </row>
    <row r="98" spans="4:25" x14ac:dyDescent="0.25">
      <c r="D98" s="69"/>
      <c r="E98" s="34"/>
      <c r="F98" s="34"/>
      <c r="H98" s="35"/>
      <c r="I98" s="36"/>
      <c r="J98" s="37"/>
      <c r="K98" s="38"/>
      <c r="L98" s="29"/>
      <c r="M98" s="29"/>
      <c r="N98" s="29"/>
      <c r="O98" s="39"/>
      <c r="P98" s="40">
        <f t="shared" si="4"/>
        <v>0</v>
      </c>
      <c r="Q98" s="40">
        <f t="shared" si="5"/>
        <v>0</v>
      </c>
      <c r="R98" s="40">
        <f t="shared" si="6"/>
        <v>0</v>
      </c>
      <c r="S98" s="41"/>
      <c r="T98" s="41"/>
      <c r="U98" s="41"/>
      <c r="V98" s="41"/>
      <c r="W98" s="41"/>
      <c r="X98" s="41"/>
      <c r="Y98" s="33">
        <f t="shared" si="7"/>
        <v>0</v>
      </c>
    </row>
    <row r="99" spans="4:25" x14ac:dyDescent="0.25">
      <c r="D99" s="69"/>
      <c r="E99" s="34"/>
      <c r="F99" s="34"/>
      <c r="H99" s="35"/>
      <c r="I99" s="36"/>
      <c r="J99" s="37"/>
      <c r="K99" s="38"/>
      <c r="L99" s="29"/>
      <c r="M99" s="29"/>
      <c r="N99" s="29"/>
      <c r="O99" s="39"/>
      <c r="P99" s="40">
        <f t="shared" si="4"/>
        <v>0</v>
      </c>
      <c r="Q99" s="40">
        <f t="shared" si="5"/>
        <v>0</v>
      </c>
      <c r="R99" s="40">
        <f t="shared" si="6"/>
        <v>0</v>
      </c>
      <c r="S99" s="41"/>
      <c r="T99" s="41"/>
      <c r="U99" s="41"/>
      <c r="V99" s="41"/>
      <c r="W99" s="41"/>
      <c r="X99" s="41"/>
      <c r="Y99" s="33">
        <f t="shared" si="7"/>
        <v>0</v>
      </c>
    </row>
    <row r="100" spans="4:25" x14ac:dyDescent="0.25">
      <c r="D100" s="69"/>
      <c r="E100" s="34"/>
      <c r="F100" s="34"/>
      <c r="H100" s="35"/>
      <c r="I100" s="36"/>
      <c r="J100" s="37"/>
      <c r="K100" s="38"/>
      <c r="L100" s="29"/>
      <c r="M100" s="29"/>
      <c r="N100" s="29"/>
      <c r="O100" s="39"/>
      <c r="P100" s="40">
        <f t="shared" si="4"/>
        <v>0</v>
      </c>
      <c r="Q100" s="40">
        <f t="shared" si="5"/>
        <v>0</v>
      </c>
      <c r="R100" s="40">
        <f t="shared" si="6"/>
        <v>0</v>
      </c>
      <c r="S100" s="41"/>
      <c r="T100" s="41"/>
      <c r="U100" s="41"/>
      <c r="V100" s="41"/>
      <c r="W100" s="41"/>
      <c r="X100" s="41"/>
      <c r="Y100" s="33">
        <f t="shared" si="7"/>
        <v>0</v>
      </c>
    </row>
    <row r="101" spans="4:25" x14ac:dyDescent="0.25">
      <c r="D101" s="69"/>
      <c r="E101" s="34"/>
      <c r="F101" s="34"/>
      <c r="H101" s="35"/>
      <c r="I101" s="36"/>
      <c r="J101" s="37"/>
      <c r="K101" s="38"/>
      <c r="L101" s="29"/>
      <c r="M101" s="29"/>
      <c r="N101" s="29"/>
      <c r="O101" s="39"/>
      <c r="P101" s="40">
        <f t="shared" si="4"/>
        <v>0</v>
      </c>
      <c r="Q101" s="40">
        <f t="shared" si="5"/>
        <v>0</v>
      </c>
      <c r="R101" s="40">
        <f t="shared" si="6"/>
        <v>0</v>
      </c>
      <c r="S101" s="41"/>
      <c r="T101" s="41"/>
      <c r="U101" s="41"/>
      <c r="V101" s="41"/>
      <c r="W101" s="41"/>
      <c r="X101" s="41"/>
      <c r="Y101" s="33">
        <f t="shared" si="7"/>
        <v>0</v>
      </c>
    </row>
    <row r="102" spans="4:25" x14ac:dyDescent="0.25">
      <c r="D102" s="69"/>
      <c r="E102" s="34"/>
      <c r="F102" s="34"/>
      <c r="H102" s="35"/>
      <c r="I102" s="36"/>
      <c r="J102" s="37"/>
      <c r="K102" s="38"/>
      <c r="L102" s="29"/>
      <c r="M102" s="29"/>
      <c r="N102" s="29"/>
      <c r="O102" s="39"/>
      <c r="P102" s="40">
        <f t="shared" si="4"/>
        <v>0</v>
      </c>
      <c r="Q102" s="40">
        <f t="shared" si="5"/>
        <v>0</v>
      </c>
      <c r="R102" s="40">
        <f t="shared" si="6"/>
        <v>0</v>
      </c>
      <c r="S102" s="41"/>
      <c r="T102" s="41"/>
      <c r="U102" s="41"/>
      <c r="V102" s="41"/>
      <c r="W102" s="41"/>
      <c r="X102" s="41"/>
      <c r="Y102" s="33">
        <f t="shared" si="7"/>
        <v>0</v>
      </c>
    </row>
    <row r="103" spans="4:25" x14ac:dyDescent="0.25">
      <c r="D103" s="69"/>
      <c r="E103" s="34"/>
      <c r="F103" s="34"/>
      <c r="H103" s="35"/>
      <c r="I103" s="36"/>
      <c r="J103" s="37"/>
      <c r="K103" s="38"/>
      <c r="L103" s="29"/>
      <c r="M103" s="29"/>
      <c r="N103" s="29"/>
      <c r="O103" s="39"/>
      <c r="P103" s="40">
        <f t="shared" si="4"/>
        <v>0</v>
      </c>
      <c r="Q103" s="40">
        <f t="shared" si="5"/>
        <v>0</v>
      </c>
      <c r="R103" s="40">
        <f t="shared" si="6"/>
        <v>0</v>
      </c>
      <c r="S103" s="41"/>
      <c r="T103" s="41"/>
      <c r="U103" s="41"/>
      <c r="V103" s="41"/>
      <c r="W103" s="41"/>
      <c r="X103" s="41"/>
      <c r="Y103" s="33">
        <f t="shared" si="7"/>
        <v>0</v>
      </c>
    </row>
    <row r="104" spans="4:25" x14ac:dyDescent="0.25">
      <c r="D104" s="69"/>
      <c r="E104" s="34"/>
      <c r="F104" s="34"/>
      <c r="H104" s="35"/>
      <c r="I104" s="36"/>
      <c r="J104" s="37"/>
      <c r="K104" s="38"/>
      <c r="L104" s="29"/>
      <c r="M104" s="29"/>
      <c r="N104" s="29"/>
      <c r="O104" s="39"/>
      <c r="P104" s="40">
        <f t="shared" si="4"/>
        <v>0</v>
      </c>
      <c r="Q104" s="40">
        <f t="shared" si="5"/>
        <v>0</v>
      </c>
      <c r="R104" s="40">
        <f t="shared" si="6"/>
        <v>0</v>
      </c>
      <c r="S104" s="41"/>
      <c r="T104" s="41"/>
      <c r="U104" s="41"/>
      <c r="V104" s="41"/>
      <c r="W104" s="41"/>
      <c r="X104" s="41"/>
      <c r="Y104" s="33">
        <f t="shared" si="7"/>
        <v>0</v>
      </c>
    </row>
    <row r="105" spans="4:25" x14ac:dyDescent="0.25">
      <c r="D105" s="69"/>
      <c r="E105" s="34"/>
      <c r="F105" s="34"/>
      <c r="H105" s="35"/>
      <c r="I105" s="36"/>
      <c r="J105" s="37"/>
      <c r="K105" s="38"/>
      <c r="L105" s="29"/>
      <c r="M105" s="29"/>
      <c r="N105" s="29"/>
      <c r="O105" s="39"/>
      <c r="P105" s="40">
        <f t="shared" si="4"/>
        <v>0</v>
      </c>
      <c r="Q105" s="40">
        <f t="shared" si="5"/>
        <v>0</v>
      </c>
      <c r="R105" s="40">
        <f t="shared" si="6"/>
        <v>0</v>
      </c>
      <c r="S105" s="41"/>
      <c r="T105" s="41"/>
      <c r="U105" s="41"/>
      <c r="V105" s="41"/>
      <c r="W105" s="41"/>
      <c r="X105" s="41"/>
      <c r="Y105" s="33">
        <f t="shared" si="7"/>
        <v>0</v>
      </c>
    </row>
    <row r="106" spans="4:25" x14ac:dyDescent="0.25">
      <c r="D106" s="69"/>
      <c r="E106" s="34"/>
      <c r="F106" s="34"/>
      <c r="H106" s="35"/>
      <c r="I106" s="36"/>
      <c r="J106" s="37"/>
      <c r="K106" s="38"/>
      <c r="L106" s="29"/>
      <c r="M106" s="29"/>
      <c r="N106" s="29"/>
      <c r="O106" s="39"/>
      <c r="P106" s="40">
        <f t="shared" si="4"/>
        <v>0</v>
      </c>
      <c r="Q106" s="40">
        <f t="shared" si="5"/>
        <v>0</v>
      </c>
      <c r="R106" s="40">
        <f t="shared" si="6"/>
        <v>0</v>
      </c>
      <c r="S106" s="41"/>
      <c r="T106" s="41"/>
      <c r="U106" s="41"/>
      <c r="V106" s="41"/>
      <c r="W106" s="41"/>
      <c r="X106" s="41"/>
      <c r="Y106" s="33">
        <f t="shared" si="7"/>
        <v>0</v>
      </c>
    </row>
    <row r="107" spans="4:25" x14ac:dyDescent="0.25">
      <c r="D107" s="69"/>
      <c r="E107" s="34"/>
      <c r="F107" s="34"/>
      <c r="H107" s="35"/>
      <c r="I107" s="36"/>
      <c r="J107" s="37"/>
      <c r="K107" s="38"/>
      <c r="L107" s="29"/>
      <c r="M107" s="29"/>
      <c r="N107" s="29"/>
      <c r="O107" s="39"/>
      <c r="P107" s="40">
        <f t="shared" si="4"/>
        <v>0</v>
      </c>
      <c r="Q107" s="40">
        <f t="shared" si="5"/>
        <v>0</v>
      </c>
      <c r="R107" s="40">
        <f t="shared" si="6"/>
        <v>0</v>
      </c>
      <c r="S107" s="41"/>
      <c r="T107" s="41"/>
      <c r="U107" s="41"/>
      <c r="V107" s="41"/>
      <c r="W107" s="41"/>
      <c r="X107" s="41"/>
      <c r="Y107" s="33">
        <f t="shared" si="7"/>
        <v>0</v>
      </c>
    </row>
    <row r="108" spans="4:25" x14ac:dyDescent="0.25">
      <c r="D108" s="69"/>
      <c r="E108" s="34"/>
      <c r="F108" s="34"/>
      <c r="H108" s="35"/>
      <c r="I108" s="36"/>
      <c r="J108" s="37"/>
      <c r="K108" s="38"/>
      <c r="L108" s="29"/>
      <c r="M108" s="29"/>
      <c r="N108" s="29"/>
      <c r="O108" s="39"/>
      <c r="P108" s="40">
        <f t="shared" si="4"/>
        <v>0</v>
      </c>
      <c r="Q108" s="40">
        <f t="shared" si="5"/>
        <v>0</v>
      </c>
      <c r="R108" s="40">
        <f t="shared" si="6"/>
        <v>0</v>
      </c>
      <c r="S108" s="41"/>
      <c r="T108" s="41"/>
      <c r="U108" s="41"/>
      <c r="V108" s="41"/>
      <c r="W108" s="41"/>
      <c r="X108" s="41"/>
      <c r="Y108" s="33">
        <f t="shared" si="7"/>
        <v>0</v>
      </c>
    </row>
    <row r="109" spans="4:25" x14ac:dyDescent="0.25">
      <c r="D109" s="69"/>
      <c r="E109" s="34"/>
      <c r="F109" s="34"/>
      <c r="H109" s="35"/>
      <c r="I109" s="36"/>
      <c r="J109" s="37"/>
      <c r="K109" s="38"/>
      <c r="L109" s="29"/>
      <c r="M109" s="29"/>
      <c r="N109" s="29"/>
      <c r="O109" s="39"/>
      <c r="P109" s="40">
        <f t="shared" si="4"/>
        <v>0</v>
      </c>
      <c r="Q109" s="40">
        <f t="shared" si="5"/>
        <v>0</v>
      </c>
      <c r="R109" s="40">
        <f t="shared" si="6"/>
        <v>0</v>
      </c>
      <c r="S109" s="41"/>
      <c r="T109" s="41"/>
      <c r="U109" s="41"/>
      <c r="V109" s="41"/>
      <c r="W109" s="41"/>
      <c r="X109" s="41"/>
      <c r="Y109" s="33">
        <f t="shared" si="7"/>
        <v>0</v>
      </c>
    </row>
    <row r="110" spans="4:25" x14ac:dyDescent="0.25">
      <c r="D110" s="69"/>
      <c r="E110" s="34"/>
      <c r="F110" s="34"/>
      <c r="H110" s="35"/>
      <c r="I110" s="36"/>
      <c r="J110" s="37"/>
      <c r="K110" s="38"/>
      <c r="L110" s="29"/>
      <c r="M110" s="29"/>
      <c r="N110" s="29"/>
      <c r="O110" s="39"/>
      <c r="P110" s="40">
        <f t="shared" si="4"/>
        <v>0</v>
      </c>
      <c r="Q110" s="40">
        <f t="shared" si="5"/>
        <v>0</v>
      </c>
      <c r="R110" s="40">
        <f t="shared" si="6"/>
        <v>0</v>
      </c>
      <c r="S110" s="41"/>
      <c r="T110" s="41"/>
      <c r="U110" s="41"/>
      <c r="V110" s="41"/>
      <c r="W110" s="41"/>
      <c r="X110" s="41"/>
      <c r="Y110" s="33">
        <f t="shared" si="7"/>
        <v>0</v>
      </c>
    </row>
    <row r="111" spans="4:25" x14ac:dyDescent="0.25">
      <c r="D111" s="69"/>
      <c r="E111" s="34"/>
      <c r="F111" s="34"/>
      <c r="H111" s="35"/>
      <c r="I111" s="36"/>
      <c r="J111" s="37"/>
      <c r="K111" s="38"/>
      <c r="L111" s="29"/>
      <c r="M111" s="29"/>
      <c r="N111" s="29"/>
      <c r="O111" s="39"/>
      <c r="P111" s="40">
        <f t="shared" si="4"/>
        <v>0</v>
      </c>
      <c r="Q111" s="40">
        <f t="shared" si="5"/>
        <v>0</v>
      </c>
      <c r="R111" s="40">
        <f t="shared" si="6"/>
        <v>0</v>
      </c>
      <c r="S111" s="41"/>
      <c r="T111" s="41"/>
      <c r="U111" s="41"/>
      <c r="V111" s="41"/>
      <c r="W111" s="41"/>
      <c r="X111" s="41"/>
      <c r="Y111" s="33">
        <f t="shared" si="7"/>
        <v>0</v>
      </c>
    </row>
    <row r="112" spans="4:25" x14ac:dyDescent="0.25">
      <c r="D112" s="69"/>
      <c r="E112" s="34"/>
      <c r="F112" s="34"/>
      <c r="H112" s="35"/>
      <c r="I112" s="36"/>
      <c r="J112" s="37"/>
      <c r="K112" s="38"/>
      <c r="L112" s="29"/>
      <c r="M112" s="29"/>
      <c r="N112" s="29"/>
      <c r="O112" s="39"/>
      <c r="P112" s="40">
        <f t="shared" si="4"/>
        <v>0</v>
      </c>
      <c r="Q112" s="40">
        <f t="shared" si="5"/>
        <v>0</v>
      </c>
      <c r="R112" s="40">
        <f t="shared" si="6"/>
        <v>0</v>
      </c>
      <c r="S112" s="41"/>
      <c r="T112" s="41"/>
      <c r="U112" s="41"/>
      <c r="V112" s="41"/>
      <c r="W112" s="41"/>
      <c r="X112" s="41"/>
      <c r="Y112" s="33">
        <f t="shared" si="7"/>
        <v>0</v>
      </c>
    </row>
    <row r="113" spans="4:25" x14ac:dyDescent="0.25">
      <c r="D113" s="69"/>
      <c r="E113" s="34"/>
      <c r="F113" s="34"/>
      <c r="H113" s="35"/>
      <c r="I113" s="36"/>
      <c r="J113" s="37"/>
      <c r="K113" s="38"/>
      <c r="L113" s="29"/>
      <c r="M113" s="29"/>
      <c r="N113" s="29"/>
      <c r="O113" s="39"/>
      <c r="P113" s="40">
        <f t="shared" si="4"/>
        <v>0</v>
      </c>
      <c r="Q113" s="40">
        <f t="shared" si="5"/>
        <v>0</v>
      </c>
      <c r="R113" s="40">
        <f t="shared" si="6"/>
        <v>0</v>
      </c>
      <c r="S113" s="41"/>
      <c r="T113" s="41"/>
      <c r="U113" s="41"/>
      <c r="V113" s="41"/>
      <c r="W113" s="41"/>
      <c r="X113" s="41"/>
      <c r="Y113" s="33">
        <f t="shared" si="7"/>
        <v>0</v>
      </c>
    </row>
    <row r="114" spans="4:25" x14ac:dyDescent="0.25">
      <c r="D114" s="69"/>
      <c r="E114" s="34"/>
      <c r="F114" s="34"/>
      <c r="H114" s="35"/>
      <c r="I114" s="36"/>
      <c r="J114" s="37"/>
      <c r="K114" s="38"/>
      <c r="L114" s="29"/>
      <c r="M114" s="29"/>
      <c r="N114" s="29"/>
      <c r="O114" s="39"/>
      <c r="P114" s="40">
        <f t="shared" si="4"/>
        <v>0</v>
      </c>
      <c r="Q114" s="40">
        <f t="shared" si="5"/>
        <v>0</v>
      </c>
      <c r="R114" s="40">
        <f t="shared" si="6"/>
        <v>0</v>
      </c>
      <c r="S114" s="41"/>
      <c r="T114" s="41"/>
      <c r="U114" s="41"/>
      <c r="V114" s="41"/>
      <c r="W114" s="41"/>
      <c r="X114" s="41"/>
      <c r="Y114" s="33">
        <f t="shared" si="7"/>
        <v>0</v>
      </c>
    </row>
    <row r="115" spans="4:25" x14ac:dyDescent="0.25">
      <c r="D115" s="69"/>
      <c r="E115" s="34"/>
      <c r="F115" s="34"/>
      <c r="H115" s="35"/>
      <c r="I115" s="36"/>
      <c r="J115" s="37"/>
      <c r="K115" s="38"/>
      <c r="L115" s="29"/>
      <c r="M115" s="29"/>
      <c r="N115" s="29"/>
      <c r="O115" s="39"/>
      <c r="P115" s="40">
        <f t="shared" si="4"/>
        <v>0</v>
      </c>
      <c r="Q115" s="40">
        <f t="shared" si="5"/>
        <v>0</v>
      </c>
      <c r="R115" s="40">
        <f t="shared" si="6"/>
        <v>0</v>
      </c>
      <c r="S115" s="41"/>
      <c r="T115" s="41"/>
      <c r="U115" s="41"/>
      <c r="V115" s="41"/>
      <c r="W115" s="41"/>
      <c r="X115" s="41"/>
      <c r="Y115" s="33">
        <f t="shared" si="7"/>
        <v>0</v>
      </c>
    </row>
    <row r="116" spans="4:25" x14ac:dyDescent="0.25">
      <c r="D116" s="69"/>
      <c r="E116" s="34"/>
      <c r="F116" s="34"/>
      <c r="H116" s="35"/>
      <c r="I116" s="36"/>
      <c r="J116" s="37"/>
      <c r="K116" s="38"/>
      <c r="L116" s="29"/>
      <c r="M116" s="29"/>
      <c r="N116" s="29"/>
      <c r="O116" s="39"/>
      <c r="P116" s="40">
        <f t="shared" si="4"/>
        <v>0</v>
      </c>
      <c r="Q116" s="40">
        <f t="shared" si="5"/>
        <v>0</v>
      </c>
      <c r="R116" s="40">
        <f t="shared" si="6"/>
        <v>0</v>
      </c>
      <c r="S116" s="41"/>
      <c r="T116" s="41"/>
      <c r="U116" s="41"/>
      <c r="V116" s="41"/>
      <c r="W116" s="41"/>
      <c r="X116" s="41"/>
      <c r="Y116" s="33">
        <f t="shared" si="7"/>
        <v>0</v>
      </c>
    </row>
    <row r="117" spans="4:25" x14ac:dyDescent="0.25">
      <c r="D117" s="69"/>
      <c r="E117" s="34"/>
      <c r="F117" s="34"/>
      <c r="H117" s="35"/>
      <c r="I117" s="36"/>
      <c r="J117" s="37"/>
      <c r="K117" s="38"/>
      <c r="L117" s="29"/>
      <c r="M117" s="29"/>
      <c r="N117" s="29"/>
      <c r="O117" s="39"/>
      <c r="P117" s="40">
        <f t="shared" si="4"/>
        <v>0</v>
      </c>
      <c r="Q117" s="40">
        <f t="shared" si="5"/>
        <v>0</v>
      </c>
      <c r="R117" s="40">
        <f t="shared" si="6"/>
        <v>0</v>
      </c>
      <c r="S117" s="41"/>
      <c r="T117" s="41"/>
      <c r="U117" s="41"/>
      <c r="V117" s="41"/>
      <c r="W117" s="41"/>
      <c r="X117" s="41"/>
      <c r="Y117" s="33">
        <f t="shared" si="7"/>
        <v>0</v>
      </c>
    </row>
    <row r="118" spans="4:25" x14ac:dyDescent="0.25">
      <c r="D118" s="69"/>
      <c r="E118" s="34"/>
      <c r="F118" s="34"/>
      <c r="H118" s="35"/>
      <c r="I118" s="36"/>
      <c r="J118" s="37"/>
      <c r="K118" s="38"/>
      <c r="L118" s="29"/>
      <c r="M118" s="29"/>
      <c r="N118" s="29"/>
      <c r="O118" s="39"/>
      <c r="P118" s="40">
        <f t="shared" si="4"/>
        <v>0</v>
      </c>
      <c r="Q118" s="40">
        <f t="shared" si="5"/>
        <v>0</v>
      </c>
      <c r="R118" s="40">
        <f t="shared" si="6"/>
        <v>0</v>
      </c>
      <c r="S118" s="41"/>
      <c r="T118" s="41"/>
      <c r="U118" s="41"/>
      <c r="V118" s="41"/>
      <c r="W118" s="41"/>
      <c r="X118" s="41"/>
      <c r="Y118" s="33">
        <f t="shared" si="7"/>
        <v>0</v>
      </c>
    </row>
    <row r="119" spans="4:25" x14ac:dyDescent="0.25">
      <c r="D119" s="69"/>
      <c r="E119" s="34"/>
      <c r="F119" s="34"/>
      <c r="H119" s="35"/>
      <c r="I119" s="36"/>
      <c r="J119" s="37"/>
      <c r="K119" s="38"/>
      <c r="L119" s="29"/>
      <c r="M119" s="29"/>
      <c r="N119" s="29"/>
      <c r="O119" s="39"/>
      <c r="P119" s="40">
        <f t="shared" si="4"/>
        <v>0</v>
      </c>
      <c r="Q119" s="40">
        <f t="shared" si="5"/>
        <v>0</v>
      </c>
      <c r="R119" s="40">
        <f t="shared" si="6"/>
        <v>0</v>
      </c>
      <c r="S119" s="41"/>
      <c r="T119" s="41"/>
      <c r="U119" s="41"/>
      <c r="V119" s="41"/>
      <c r="W119" s="41"/>
      <c r="X119" s="41"/>
      <c r="Y119" s="33">
        <f t="shared" si="7"/>
        <v>0</v>
      </c>
    </row>
    <row r="120" spans="4:25" x14ac:dyDescent="0.25">
      <c r="D120" s="69"/>
      <c r="E120" s="34"/>
      <c r="F120" s="34"/>
      <c r="H120" s="35"/>
      <c r="I120" s="36"/>
      <c r="J120" s="37"/>
      <c r="K120" s="38"/>
      <c r="L120" s="29"/>
      <c r="M120" s="29"/>
      <c r="N120" s="29"/>
      <c r="O120" s="39"/>
      <c r="P120" s="40">
        <f t="shared" si="4"/>
        <v>0</v>
      </c>
      <c r="Q120" s="40">
        <f t="shared" si="5"/>
        <v>0</v>
      </c>
      <c r="R120" s="40">
        <f t="shared" si="6"/>
        <v>0</v>
      </c>
      <c r="S120" s="41"/>
      <c r="T120" s="41"/>
      <c r="U120" s="41"/>
      <c r="V120" s="41"/>
      <c r="W120" s="41"/>
      <c r="X120" s="41"/>
      <c r="Y120" s="33">
        <f t="shared" si="7"/>
        <v>0</v>
      </c>
    </row>
    <row r="121" spans="4:25" x14ac:dyDescent="0.25">
      <c r="D121" s="69"/>
      <c r="E121" s="34"/>
      <c r="F121" s="34"/>
      <c r="H121" s="35"/>
      <c r="I121" s="36"/>
      <c r="J121" s="37"/>
      <c r="K121" s="38"/>
      <c r="L121" s="29"/>
      <c r="M121" s="29"/>
      <c r="N121" s="29"/>
      <c r="O121" s="39"/>
      <c r="P121" s="40">
        <f t="shared" si="4"/>
        <v>0</v>
      </c>
      <c r="Q121" s="40">
        <f t="shared" si="5"/>
        <v>0</v>
      </c>
      <c r="R121" s="40">
        <f t="shared" si="6"/>
        <v>0</v>
      </c>
      <c r="S121" s="41"/>
      <c r="T121" s="41"/>
      <c r="U121" s="41"/>
      <c r="V121" s="41"/>
      <c r="W121" s="41"/>
      <c r="X121" s="41"/>
      <c r="Y121" s="33">
        <f t="shared" si="7"/>
        <v>0</v>
      </c>
    </row>
    <row r="122" spans="4:25" x14ac:dyDescent="0.25">
      <c r="D122" s="69"/>
      <c r="E122" s="34"/>
      <c r="F122" s="34"/>
      <c r="H122" s="35"/>
      <c r="I122" s="36"/>
      <c r="J122" s="37"/>
      <c r="K122" s="38"/>
      <c r="L122" s="29"/>
      <c r="M122" s="29"/>
      <c r="N122" s="29"/>
      <c r="O122" s="39"/>
      <c r="P122" s="40">
        <f t="shared" si="4"/>
        <v>0</v>
      </c>
      <c r="Q122" s="40">
        <f t="shared" si="5"/>
        <v>0</v>
      </c>
      <c r="R122" s="40">
        <f t="shared" si="6"/>
        <v>0</v>
      </c>
      <c r="S122" s="41"/>
      <c r="T122" s="41"/>
      <c r="U122" s="41"/>
      <c r="V122" s="41"/>
      <c r="W122" s="41"/>
      <c r="X122" s="41"/>
      <c r="Y122" s="33">
        <f t="shared" si="7"/>
        <v>0</v>
      </c>
    </row>
    <row r="123" spans="4:25" x14ac:dyDescent="0.25">
      <c r="D123" s="69"/>
      <c r="E123" s="34"/>
      <c r="F123" s="34"/>
      <c r="H123" s="35"/>
      <c r="I123" s="36"/>
      <c r="J123" s="37"/>
      <c r="K123" s="38"/>
      <c r="L123" s="29"/>
      <c r="M123" s="29"/>
      <c r="N123" s="29"/>
      <c r="O123" s="39"/>
      <c r="P123" s="40">
        <f t="shared" si="4"/>
        <v>0</v>
      </c>
      <c r="Q123" s="40">
        <f t="shared" si="5"/>
        <v>0</v>
      </c>
      <c r="R123" s="40">
        <f t="shared" si="6"/>
        <v>0</v>
      </c>
      <c r="S123" s="41"/>
      <c r="T123" s="41"/>
      <c r="U123" s="41"/>
      <c r="V123" s="41"/>
      <c r="W123" s="41"/>
      <c r="X123" s="41"/>
      <c r="Y123" s="33">
        <f t="shared" si="7"/>
        <v>0</v>
      </c>
    </row>
    <row r="124" spans="4:25" x14ac:dyDescent="0.25">
      <c r="D124" s="69"/>
      <c r="E124" s="34"/>
      <c r="F124" s="34"/>
      <c r="H124" s="35"/>
      <c r="I124" s="36"/>
      <c r="J124" s="37"/>
      <c r="K124" s="38"/>
      <c r="L124" s="29"/>
      <c r="M124" s="29"/>
      <c r="N124" s="29"/>
      <c r="O124" s="39"/>
      <c r="P124" s="40">
        <f t="shared" si="4"/>
        <v>0</v>
      </c>
      <c r="Q124" s="40">
        <f t="shared" si="5"/>
        <v>0</v>
      </c>
      <c r="R124" s="40">
        <f t="shared" si="6"/>
        <v>0</v>
      </c>
      <c r="S124" s="41"/>
      <c r="T124" s="41"/>
      <c r="U124" s="41"/>
      <c r="V124" s="41"/>
      <c r="W124" s="41"/>
      <c r="X124" s="41"/>
      <c r="Y124" s="33">
        <f t="shared" si="7"/>
        <v>0</v>
      </c>
    </row>
    <row r="125" spans="4:25" x14ac:dyDescent="0.25">
      <c r="D125" s="69"/>
      <c r="E125" s="34"/>
      <c r="F125" s="34"/>
      <c r="H125" s="35"/>
      <c r="I125" s="36"/>
      <c r="J125" s="37"/>
      <c r="K125" s="38"/>
      <c r="L125" s="29"/>
      <c r="M125" s="29"/>
      <c r="N125" s="29"/>
      <c r="O125" s="39"/>
      <c r="P125" s="40">
        <f t="shared" si="4"/>
        <v>0</v>
      </c>
      <c r="Q125" s="40">
        <f t="shared" si="5"/>
        <v>0</v>
      </c>
      <c r="R125" s="40">
        <f t="shared" si="6"/>
        <v>0</v>
      </c>
      <c r="S125" s="41"/>
      <c r="T125" s="41"/>
      <c r="U125" s="41"/>
      <c r="V125" s="41"/>
      <c r="W125" s="41"/>
      <c r="X125" s="41"/>
      <c r="Y125" s="33">
        <f t="shared" si="7"/>
        <v>0</v>
      </c>
    </row>
    <row r="126" spans="4:25" x14ac:dyDescent="0.25">
      <c r="D126" s="69"/>
      <c r="E126" s="34"/>
      <c r="F126" s="34"/>
      <c r="H126" s="35"/>
      <c r="I126" s="36"/>
      <c r="J126" s="37"/>
      <c r="K126" s="38"/>
      <c r="L126" s="29"/>
      <c r="M126" s="29"/>
      <c r="N126" s="29"/>
      <c r="O126" s="39"/>
      <c r="P126" s="40">
        <f t="shared" si="4"/>
        <v>0</v>
      </c>
      <c r="Q126" s="40">
        <f t="shared" si="5"/>
        <v>0</v>
      </c>
      <c r="R126" s="40">
        <f t="shared" si="6"/>
        <v>0</v>
      </c>
      <c r="S126" s="41"/>
      <c r="T126" s="41"/>
      <c r="U126" s="41"/>
      <c r="V126" s="41"/>
      <c r="W126" s="41"/>
      <c r="X126" s="41"/>
      <c r="Y126" s="33">
        <f t="shared" si="7"/>
        <v>0</v>
      </c>
    </row>
    <row r="127" spans="4:25" x14ac:dyDescent="0.25">
      <c r="D127" s="69"/>
      <c r="E127" s="34"/>
      <c r="F127" s="34"/>
      <c r="H127" s="35"/>
      <c r="I127" s="36"/>
      <c r="J127" s="37"/>
      <c r="K127" s="38"/>
      <c r="L127" s="29"/>
      <c r="M127" s="29"/>
      <c r="N127" s="29"/>
      <c r="O127" s="39"/>
      <c r="P127" s="40">
        <f t="shared" si="4"/>
        <v>0</v>
      </c>
      <c r="Q127" s="40">
        <f t="shared" si="5"/>
        <v>0</v>
      </c>
      <c r="R127" s="40">
        <f t="shared" si="6"/>
        <v>0</v>
      </c>
      <c r="S127" s="41"/>
      <c r="T127" s="41"/>
      <c r="U127" s="41"/>
      <c r="V127" s="41"/>
      <c r="W127" s="41"/>
      <c r="X127" s="41"/>
      <c r="Y127" s="33">
        <f t="shared" si="7"/>
        <v>0</v>
      </c>
    </row>
    <row r="128" spans="4:25" x14ac:dyDescent="0.25">
      <c r="D128" s="69"/>
      <c r="E128" s="34"/>
      <c r="F128" s="34"/>
      <c r="H128" s="35"/>
      <c r="I128" s="36"/>
      <c r="J128" s="37"/>
      <c r="K128" s="38"/>
      <c r="L128" s="29"/>
      <c r="M128" s="29"/>
      <c r="N128" s="29"/>
      <c r="O128" s="39"/>
      <c r="P128" s="40">
        <f t="shared" si="4"/>
        <v>0</v>
      </c>
      <c r="Q128" s="40">
        <f t="shared" si="5"/>
        <v>0</v>
      </c>
      <c r="R128" s="40">
        <f t="shared" si="6"/>
        <v>0</v>
      </c>
      <c r="S128" s="41"/>
      <c r="T128" s="41"/>
      <c r="U128" s="41"/>
      <c r="V128" s="41"/>
      <c r="W128" s="41"/>
      <c r="X128" s="41"/>
      <c r="Y128" s="33">
        <f t="shared" si="7"/>
        <v>0</v>
      </c>
    </row>
    <row r="129" spans="4:25" x14ac:dyDescent="0.25">
      <c r="D129" s="69"/>
      <c r="E129" s="34"/>
      <c r="F129" s="34"/>
      <c r="H129" s="35"/>
      <c r="I129" s="36"/>
      <c r="J129" s="37"/>
      <c r="K129" s="38"/>
      <c r="L129" s="29"/>
      <c r="M129" s="29"/>
      <c r="N129" s="29"/>
      <c r="O129" s="39"/>
      <c r="P129" s="40">
        <f t="shared" si="4"/>
        <v>0</v>
      </c>
      <c r="Q129" s="40">
        <f t="shared" si="5"/>
        <v>0</v>
      </c>
      <c r="R129" s="40">
        <f t="shared" si="6"/>
        <v>0</v>
      </c>
      <c r="S129" s="41"/>
      <c r="T129" s="41"/>
      <c r="U129" s="41"/>
      <c r="V129" s="41"/>
      <c r="W129" s="41"/>
      <c r="X129" s="41"/>
      <c r="Y129" s="33">
        <f t="shared" si="7"/>
        <v>0</v>
      </c>
    </row>
    <row r="130" spans="4:25" x14ac:dyDescent="0.25">
      <c r="D130" s="69"/>
      <c r="E130" s="34"/>
      <c r="F130" s="34"/>
      <c r="H130" s="35"/>
      <c r="I130" s="36"/>
      <c r="J130" s="37"/>
      <c r="K130" s="38"/>
      <c r="L130" s="29"/>
      <c r="M130" s="29"/>
      <c r="N130" s="29"/>
      <c r="O130" s="39"/>
      <c r="P130" s="40">
        <f t="shared" si="4"/>
        <v>0</v>
      </c>
      <c r="Q130" s="40">
        <f t="shared" si="5"/>
        <v>0</v>
      </c>
      <c r="R130" s="40">
        <f t="shared" si="6"/>
        <v>0</v>
      </c>
      <c r="S130" s="41"/>
      <c r="T130" s="41"/>
      <c r="U130" s="41"/>
      <c r="V130" s="41"/>
      <c r="W130" s="41"/>
      <c r="X130" s="41"/>
      <c r="Y130" s="33">
        <f t="shared" si="7"/>
        <v>0</v>
      </c>
    </row>
    <row r="131" spans="4:25" x14ac:dyDescent="0.25">
      <c r="D131" s="69"/>
      <c r="E131" s="34"/>
      <c r="F131" s="34"/>
      <c r="H131" s="35"/>
      <c r="I131" s="36"/>
      <c r="J131" s="37"/>
      <c r="K131" s="38"/>
      <c r="L131" s="29"/>
      <c r="M131" s="29"/>
      <c r="N131" s="29"/>
      <c r="O131" s="39"/>
      <c r="P131" s="40">
        <f t="shared" ref="P131:P194" si="8">$L131*$O131</f>
        <v>0</v>
      </c>
      <c r="Q131" s="40">
        <f t="shared" si="5"/>
        <v>0</v>
      </c>
      <c r="R131" s="40">
        <f t="shared" si="6"/>
        <v>0</v>
      </c>
      <c r="S131" s="41"/>
      <c r="T131" s="41"/>
      <c r="U131" s="41"/>
      <c r="V131" s="41"/>
      <c r="W131" s="41"/>
      <c r="X131" s="41"/>
      <c r="Y131" s="33">
        <f t="shared" si="7"/>
        <v>0</v>
      </c>
    </row>
    <row r="132" spans="4:25" x14ac:dyDescent="0.25">
      <c r="D132" s="69"/>
      <c r="E132" s="34"/>
      <c r="F132" s="34"/>
      <c r="H132" s="35"/>
      <c r="I132" s="36"/>
      <c r="J132" s="37"/>
      <c r="K132" s="38"/>
      <c r="L132" s="29"/>
      <c r="M132" s="29"/>
      <c r="N132" s="29"/>
      <c r="O132" s="39"/>
      <c r="P132" s="40">
        <f t="shared" si="8"/>
        <v>0</v>
      </c>
      <c r="Q132" s="40">
        <f t="shared" ref="Q132:Q195" si="9">IF(E132="NE",(M132*O132*1.5),(M132*O132))</f>
        <v>0</v>
      </c>
      <c r="R132" s="40">
        <f t="shared" ref="R132:R195" si="10">P132+Q132</f>
        <v>0</v>
      </c>
      <c r="S132" s="41"/>
      <c r="T132" s="41"/>
      <c r="U132" s="41"/>
      <c r="V132" s="41"/>
      <c r="W132" s="41"/>
      <c r="X132" s="41"/>
      <c r="Y132" s="33">
        <f t="shared" ref="Y132:Y195" si="11">SUM(R132:X132)</f>
        <v>0</v>
      </c>
    </row>
    <row r="133" spans="4:25" x14ac:dyDescent="0.25">
      <c r="D133" s="69"/>
      <c r="E133" s="34"/>
      <c r="F133" s="34"/>
      <c r="H133" s="35"/>
      <c r="I133" s="36"/>
      <c r="J133" s="37"/>
      <c r="K133" s="38"/>
      <c r="L133" s="29"/>
      <c r="M133" s="29"/>
      <c r="N133" s="29"/>
      <c r="O133" s="39"/>
      <c r="P133" s="40">
        <f t="shared" si="8"/>
        <v>0</v>
      </c>
      <c r="Q133" s="40">
        <f t="shared" si="9"/>
        <v>0</v>
      </c>
      <c r="R133" s="40">
        <f t="shared" si="10"/>
        <v>0</v>
      </c>
      <c r="S133" s="41"/>
      <c r="T133" s="41"/>
      <c r="U133" s="41"/>
      <c r="V133" s="41"/>
      <c r="W133" s="41"/>
      <c r="X133" s="41"/>
      <c r="Y133" s="33">
        <f t="shared" si="11"/>
        <v>0</v>
      </c>
    </row>
    <row r="134" spans="4:25" x14ac:dyDescent="0.25">
      <c r="D134" s="69"/>
      <c r="E134" s="34"/>
      <c r="F134" s="34"/>
      <c r="H134" s="35"/>
      <c r="I134" s="36"/>
      <c r="J134" s="37"/>
      <c r="K134" s="38"/>
      <c r="L134" s="29"/>
      <c r="M134" s="29"/>
      <c r="N134" s="29"/>
      <c r="O134" s="39"/>
      <c r="P134" s="40">
        <f t="shared" si="8"/>
        <v>0</v>
      </c>
      <c r="Q134" s="40">
        <f t="shared" si="9"/>
        <v>0</v>
      </c>
      <c r="R134" s="40">
        <f t="shared" si="10"/>
        <v>0</v>
      </c>
      <c r="S134" s="41"/>
      <c r="T134" s="41"/>
      <c r="U134" s="41"/>
      <c r="V134" s="41"/>
      <c r="W134" s="41"/>
      <c r="X134" s="41"/>
      <c r="Y134" s="33">
        <f t="shared" si="11"/>
        <v>0</v>
      </c>
    </row>
    <row r="135" spans="4:25" x14ac:dyDescent="0.25">
      <c r="D135" s="69"/>
      <c r="E135" s="34"/>
      <c r="F135" s="34"/>
      <c r="H135" s="35"/>
      <c r="I135" s="36"/>
      <c r="J135" s="37"/>
      <c r="K135" s="38"/>
      <c r="L135" s="29"/>
      <c r="M135" s="29"/>
      <c r="N135" s="29"/>
      <c r="O135" s="39"/>
      <c r="P135" s="40">
        <f t="shared" si="8"/>
        <v>0</v>
      </c>
      <c r="Q135" s="40">
        <f t="shared" si="9"/>
        <v>0</v>
      </c>
      <c r="R135" s="40">
        <f t="shared" si="10"/>
        <v>0</v>
      </c>
      <c r="S135" s="41"/>
      <c r="T135" s="41"/>
      <c r="U135" s="41"/>
      <c r="V135" s="41"/>
      <c r="W135" s="41"/>
      <c r="X135" s="41"/>
      <c r="Y135" s="33">
        <f t="shared" si="11"/>
        <v>0</v>
      </c>
    </row>
    <row r="136" spans="4:25" x14ac:dyDescent="0.25">
      <c r="D136" s="69"/>
      <c r="E136" s="34"/>
      <c r="F136" s="34"/>
      <c r="H136" s="35"/>
      <c r="I136" s="36"/>
      <c r="J136" s="37"/>
      <c r="K136" s="38"/>
      <c r="L136" s="29"/>
      <c r="M136" s="29"/>
      <c r="N136" s="29"/>
      <c r="O136" s="39"/>
      <c r="P136" s="40">
        <f t="shared" si="8"/>
        <v>0</v>
      </c>
      <c r="Q136" s="40">
        <f t="shared" si="9"/>
        <v>0</v>
      </c>
      <c r="R136" s="40">
        <f t="shared" si="10"/>
        <v>0</v>
      </c>
      <c r="S136" s="41"/>
      <c r="T136" s="41"/>
      <c r="U136" s="41"/>
      <c r="V136" s="41"/>
      <c r="W136" s="41"/>
      <c r="X136" s="41"/>
      <c r="Y136" s="33">
        <f t="shared" si="11"/>
        <v>0</v>
      </c>
    </row>
    <row r="137" spans="4:25" x14ac:dyDescent="0.25">
      <c r="D137" s="69"/>
      <c r="E137" s="34"/>
      <c r="F137" s="34"/>
      <c r="H137" s="35"/>
      <c r="I137" s="36"/>
      <c r="J137" s="37"/>
      <c r="K137" s="38"/>
      <c r="L137" s="29"/>
      <c r="M137" s="29"/>
      <c r="N137" s="29"/>
      <c r="O137" s="39"/>
      <c r="P137" s="40">
        <f t="shared" si="8"/>
        <v>0</v>
      </c>
      <c r="Q137" s="40">
        <f t="shared" si="9"/>
        <v>0</v>
      </c>
      <c r="R137" s="40">
        <f t="shared" si="10"/>
        <v>0</v>
      </c>
      <c r="S137" s="41"/>
      <c r="T137" s="41"/>
      <c r="U137" s="41"/>
      <c r="V137" s="41"/>
      <c r="W137" s="41"/>
      <c r="X137" s="41"/>
      <c r="Y137" s="33">
        <f t="shared" si="11"/>
        <v>0</v>
      </c>
    </row>
    <row r="138" spans="4:25" x14ac:dyDescent="0.25">
      <c r="D138" s="69"/>
      <c r="E138" s="34"/>
      <c r="F138" s="34"/>
      <c r="H138" s="35"/>
      <c r="I138" s="36"/>
      <c r="J138" s="37"/>
      <c r="K138" s="38"/>
      <c r="L138" s="29"/>
      <c r="M138" s="29"/>
      <c r="N138" s="29"/>
      <c r="O138" s="39"/>
      <c r="P138" s="40">
        <f t="shared" si="8"/>
        <v>0</v>
      </c>
      <c r="Q138" s="40">
        <f t="shared" si="9"/>
        <v>0</v>
      </c>
      <c r="R138" s="40">
        <f t="shared" si="10"/>
        <v>0</v>
      </c>
      <c r="S138" s="41"/>
      <c r="T138" s="41"/>
      <c r="U138" s="41"/>
      <c r="V138" s="41"/>
      <c r="W138" s="41"/>
      <c r="X138" s="41"/>
      <c r="Y138" s="33">
        <f t="shared" si="11"/>
        <v>0</v>
      </c>
    </row>
    <row r="139" spans="4:25" x14ac:dyDescent="0.25">
      <c r="D139" s="69"/>
      <c r="E139" s="34"/>
      <c r="F139" s="34"/>
      <c r="H139" s="35"/>
      <c r="I139" s="36"/>
      <c r="J139" s="37"/>
      <c r="K139" s="38"/>
      <c r="L139" s="29"/>
      <c r="M139" s="29"/>
      <c r="N139" s="29"/>
      <c r="O139" s="39"/>
      <c r="P139" s="40">
        <f t="shared" si="8"/>
        <v>0</v>
      </c>
      <c r="Q139" s="40">
        <f t="shared" si="9"/>
        <v>0</v>
      </c>
      <c r="R139" s="40">
        <f t="shared" si="10"/>
        <v>0</v>
      </c>
      <c r="S139" s="41"/>
      <c r="T139" s="41"/>
      <c r="U139" s="41"/>
      <c r="V139" s="41"/>
      <c r="W139" s="41"/>
      <c r="X139" s="41"/>
      <c r="Y139" s="33">
        <f t="shared" si="11"/>
        <v>0</v>
      </c>
    </row>
    <row r="140" spans="4:25" x14ac:dyDescent="0.25">
      <c r="D140" s="69"/>
      <c r="E140" s="34"/>
      <c r="F140" s="34"/>
      <c r="H140" s="35"/>
      <c r="I140" s="36"/>
      <c r="J140" s="37"/>
      <c r="K140" s="38"/>
      <c r="L140" s="29"/>
      <c r="M140" s="29"/>
      <c r="N140" s="29"/>
      <c r="O140" s="39"/>
      <c r="P140" s="40">
        <f t="shared" si="8"/>
        <v>0</v>
      </c>
      <c r="Q140" s="40">
        <f t="shared" si="9"/>
        <v>0</v>
      </c>
      <c r="R140" s="40">
        <f t="shared" si="10"/>
        <v>0</v>
      </c>
      <c r="S140" s="41"/>
      <c r="T140" s="41"/>
      <c r="U140" s="41"/>
      <c r="V140" s="41"/>
      <c r="W140" s="41"/>
      <c r="X140" s="41"/>
      <c r="Y140" s="33">
        <f t="shared" si="11"/>
        <v>0</v>
      </c>
    </row>
    <row r="141" spans="4:25" x14ac:dyDescent="0.25">
      <c r="D141" s="69"/>
      <c r="E141" s="34"/>
      <c r="F141" s="34"/>
      <c r="H141" s="35"/>
      <c r="I141" s="36"/>
      <c r="J141" s="37"/>
      <c r="K141" s="38"/>
      <c r="L141" s="29"/>
      <c r="M141" s="29"/>
      <c r="N141" s="29"/>
      <c r="O141" s="39"/>
      <c r="P141" s="40">
        <f t="shared" si="8"/>
        <v>0</v>
      </c>
      <c r="Q141" s="40">
        <f t="shared" si="9"/>
        <v>0</v>
      </c>
      <c r="R141" s="40">
        <f t="shared" si="10"/>
        <v>0</v>
      </c>
      <c r="S141" s="41"/>
      <c r="T141" s="41"/>
      <c r="U141" s="41"/>
      <c r="V141" s="41"/>
      <c r="W141" s="41"/>
      <c r="X141" s="41"/>
      <c r="Y141" s="33">
        <f t="shared" si="11"/>
        <v>0</v>
      </c>
    </row>
    <row r="142" spans="4:25" x14ac:dyDescent="0.25">
      <c r="D142" s="69"/>
      <c r="E142" s="34"/>
      <c r="F142" s="34"/>
      <c r="G142" s="38"/>
      <c r="H142" s="35"/>
      <c r="I142" s="36"/>
      <c r="J142" s="37"/>
      <c r="K142" s="38"/>
      <c r="L142" s="29"/>
      <c r="M142" s="29"/>
      <c r="N142" s="29"/>
      <c r="O142" s="39"/>
      <c r="P142" s="40">
        <f t="shared" si="8"/>
        <v>0</v>
      </c>
      <c r="Q142" s="40">
        <f t="shared" si="9"/>
        <v>0</v>
      </c>
      <c r="R142" s="40">
        <f t="shared" si="10"/>
        <v>0</v>
      </c>
      <c r="S142" s="41"/>
      <c r="T142" s="41"/>
      <c r="U142" s="41"/>
      <c r="V142" s="41"/>
      <c r="W142" s="41"/>
      <c r="X142" s="41"/>
      <c r="Y142" s="33">
        <f t="shared" si="11"/>
        <v>0</v>
      </c>
    </row>
    <row r="143" spans="4:25" x14ac:dyDescent="0.25">
      <c r="D143" s="69"/>
      <c r="E143" s="34"/>
      <c r="F143" s="34"/>
      <c r="G143" s="38"/>
      <c r="H143" s="35"/>
      <c r="I143" s="36"/>
      <c r="J143" s="37"/>
      <c r="K143" s="38"/>
      <c r="L143" s="29"/>
      <c r="M143" s="29"/>
      <c r="N143" s="29"/>
      <c r="O143" s="39"/>
      <c r="P143" s="40">
        <f t="shared" si="8"/>
        <v>0</v>
      </c>
      <c r="Q143" s="40">
        <f t="shared" si="9"/>
        <v>0</v>
      </c>
      <c r="R143" s="40">
        <f t="shared" si="10"/>
        <v>0</v>
      </c>
      <c r="S143" s="41"/>
      <c r="T143" s="41"/>
      <c r="U143" s="41"/>
      <c r="V143" s="41"/>
      <c r="W143" s="41"/>
      <c r="X143" s="41"/>
      <c r="Y143" s="33">
        <f t="shared" si="11"/>
        <v>0</v>
      </c>
    </row>
    <row r="144" spans="4:25" x14ac:dyDescent="0.25">
      <c r="D144" s="69"/>
      <c r="E144" s="34"/>
      <c r="F144" s="34"/>
      <c r="H144" s="35"/>
      <c r="I144" s="36"/>
      <c r="J144" s="37"/>
      <c r="K144" s="38"/>
      <c r="L144" s="29"/>
      <c r="M144" s="29"/>
      <c r="N144" s="29"/>
      <c r="O144" s="39"/>
      <c r="P144" s="40">
        <f t="shared" si="8"/>
        <v>0</v>
      </c>
      <c r="Q144" s="40">
        <f t="shared" si="9"/>
        <v>0</v>
      </c>
      <c r="R144" s="40">
        <f t="shared" si="10"/>
        <v>0</v>
      </c>
      <c r="S144" s="41"/>
      <c r="T144" s="41"/>
      <c r="U144" s="41"/>
      <c r="V144" s="41"/>
      <c r="W144" s="41"/>
      <c r="X144" s="41"/>
      <c r="Y144" s="33">
        <f t="shared" si="11"/>
        <v>0</v>
      </c>
    </row>
    <row r="145" spans="4:25" x14ac:dyDescent="0.25">
      <c r="D145" s="69"/>
      <c r="E145" s="34"/>
      <c r="F145" s="34"/>
      <c r="H145" s="35"/>
      <c r="I145" s="36"/>
      <c r="J145" s="37"/>
      <c r="K145" s="38"/>
      <c r="L145" s="29"/>
      <c r="M145" s="29"/>
      <c r="N145" s="29"/>
      <c r="O145" s="39"/>
      <c r="P145" s="40">
        <f t="shared" si="8"/>
        <v>0</v>
      </c>
      <c r="Q145" s="40">
        <f t="shared" si="9"/>
        <v>0</v>
      </c>
      <c r="R145" s="40">
        <f t="shared" si="10"/>
        <v>0</v>
      </c>
      <c r="S145" s="41"/>
      <c r="T145" s="41"/>
      <c r="U145" s="41"/>
      <c r="V145" s="41"/>
      <c r="W145" s="41"/>
      <c r="X145" s="41"/>
      <c r="Y145" s="33">
        <f t="shared" si="11"/>
        <v>0</v>
      </c>
    </row>
    <row r="146" spans="4:25" x14ac:dyDescent="0.25">
      <c r="D146" s="69"/>
      <c r="E146" s="34"/>
      <c r="F146" s="34"/>
      <c r="H146" s="35"/>
      <c r="I146" s="36"/>
      <c r="J146" s="37"/>
      <c r="K146" s="38"/>
      <c r="L146" s="29"/>
      <c r="M146" s="29"/>
      <c r="N146" s="29"/>
      <c r="O146" s="39"/>
      <c r="P146" s="40">
        <f t="shared" si="8"/>
        <v>0</v>
      </c>
      <c r="Q146" s="40">
        <f t="shared" si="9"/>
        <v>0</v>
      </c>
      <c r="R146" s="40">
        <f t="shared" si="10"/>
        <v>0</v>
      </c>
      <c r="S146" s="41"/>
      <c r="T146" s="41"/>
      <c r="U146" s="41"/>
      <c r="V146" s="41"/>
      <c r="W146" s="41"/>
      <c r="X146" s="41"/>
      <c r="Y146" s="33">
        <f t="shared" si="11"/>
        <v>0</v>
      </c>
    </row>
    <row r="147" spans="4:25" x14ac:dyDescent="0.25">
      <c r="D147" s="69"/>
      <c r="E147" s="34"/>
      <c r="F147" s="34"/>
      <c r="H147" s="35"/>
      <c r="I147" s="36"/>
      <c r="J147" s="37"/>
      <c r="K147" s="38"/>
      <c r="L147" s="29"/>
      <c r="M147" s="29"/>
      <c r="N147" s="29"/>
      <c r="O147" s="39"/>
      <c r="P147" s="40">
        <f t="shared" si="8"/>
        <v>0</v>
      </c>
      <c r="Q147" s="40">
        <f t="shared" si="9"/>
        <v>0</v>
      </c>
      <c r="R147" s="40">
        <f t="shared" si="10"/>
        <v>0</v>
      </c>
      <c r="S147" s="41"/>
      <c r="T147" s="41"/>
      <c r="U147" s="41"/>
      <c r="V147" s="41"/>
      <c r="W147" s="41"/>
      <c r="X147" s="41"/>
      <c r="Y147" s="33">
        <f t="shared" si="11"/>
        <v>0</v>
      </c>
    </row>
    <row r="148" spans="4:25" x14ac:dyDescent="0.25">
      <c r="D148" s="69"/>
      <c r="E148" s="34"/>
      <c r="F148" s="34"/>
      <c r="H148" s="35"/>
      <c r="I148" s="36"/>
      <c r="J148" s="37"/>
      <c r="K148" s="38"/>
      <c r="L148" s="29"/>
      <c r="M148" s="29"/>
      <c r="N148" s="29"/>
      <c r="O148" s="39"/>
      <c r="P148" s="40">
        <f t="shared" si="8"/>
        <v>0</v>
      </c>
      <c r="Q148" s="40">
        <f t="shared" si="9"/>
        <v>0</v>
      </c>
      <c r="R148" s="40">
        <f t="shared" si="10"/>
        <v>0</v>
      </c>
      <c r="S148" s="41"/>
      <c r="T148" s="41"/>
      <c r="U148" s="41"/>
      <c r="V148" s="41"/>
      <c r="W148" s="41"/>
      <c r="X148" s="41"/>
      <c r="Y148" s="33">
        <f t="shared" si="11"/>
        <v>0</v>
      </c>
    </row>
    <row r="149" spans="4:25" x14ac:dyDescent="0.25">
      <c r="D149" s="69"/>
      <c r="E149" s="34"/>
      <c r="F149" s="34"/>
      <c r="H149" s="35"/>
      <c r="I149" s="36"/>
      <c r="J149" s="37"/>
      <c r="K149" s="38"/>
      <c r="L149" s="29"/>
      <c r="M149" s="29"/>
      <c r="N149" s="29"/>
      <c r="O149" s="39"/>
      <c r="P149" s="40">
        <f t="shared" si="8"/>
        <v>0</v>
      </c>
      <c r="Q149" s="40">
        <f t="shared" si="9"/>
        <v>0</v>
      </c>
      <c r="R149" s="40">
        <f t="shared" si="10"/>
        <v>0</v>
      </c>
      <c r="S149" s="41"/>
      <c r="T149" s="41"/>
      <c r="U149" s="41"/>
      <c r="V149" s="41"/>
      <c r="W149" s="41"/>
      <c r="X149" s="41"/>
      <c r="Y149" s="33">
        <f t="shared" si="11"/>
        <v>0</v>
      </c>
    </row>
    <row r="150" spans="4:25" x14ac:dyDescent="0.25">
      <c r="D150" s="69"/>
      <c r="E150" s="34"/>
      <c r="F150" s="34"/>
      <c r="H150" s="35"/>
      <c r="I150" s="36"/>
      <c r="J150" s="37"/>
      <c r="K150" s="38"/>
      <c r="L150" s="29"/>
      <c r="M150" s="29"/>
      <c r="N150" s="29"/>
      <c r="O150" s="39"/>
      <c r="P150" s="40">
        <f t="shared" si="8"/>
        <v>0</v>
      </c>
      <c r="Q150" s="40">
        <f t="shared" si="9"/>
        <v>0</v>
      </c>
      <c r="R150" s="40">
        <f t="shared" si="10"/>
        <v>0</v>
      </c>
      <c r="S150" s="41"/>
      <c r="T150" s="41"/>
      <c r="U150" s="41"/>
      <c r="V150" s="41"/>
      <c r="W150" s="41"/>
      <c r="X150" s="41"/>
      <c r="Y150" s="33">
        <f t="shared" si="11"/>
        <v>0</v>
      </c>
    </row>
    <row r="151" spans="4:25" x14ac:dyDescent="0.25">
      <c r="D151" s="69"/>
      <c r="E151" s="34"/>
      <c r="F151" s="34"/>
      <c r="H151" s="35"/>
      <c r="I151" s="36"/>
      <c r="J151" s="37"/>
      <c r="K151" s="38"/>
      <c r="L151" s="29"/>
      <c r="M151" s="29"/>
      <c r="N151" s="29"/>
      <c r="O151" s="39"/>
      <c r="P151" s="40">
        <f t="shared" si="8"/>
        <v>0</v>
      </c>
      <c r="Q151" s="40">
        <f t="shared" si="9"/>
        <v>0</v>
      </c>
      <c r="R151" s="40">
        <f t="shared" si="10"/>
        <v>0</v>
      </c>
      <c r="S151" s="41"/>
      <c r="T151" s="41"/>
      <c r="U151" s="41"/>
      <c r="V151" s="41"/>
      <c r="W151" s="41"/>
      <c r="X151" s="41"/>
      <c r="Y151" s="33">
        <f t="shared" si="11"/>
        <v>0</v>
      </c>
    </row>
    <row r="152" spans="4:25" x14ac:dyDescent="0.25">
      <c r="D152" s="69"/>
      <c r="E152" s="34"/>
      <c r="F152" s="34"/>
      <c r="H152" s="35"/>
      <c r="I152" s="36"/>
      <c r="J152" s="37"/>
      <c r="K152" s="38"/>
      <c r="L152" s="29"/>
      <c r="M152" s="29"/>
      <c r="N152" s="29"/>
      <c r="O152" s="39"/>
      <c r="P152" s="40">
        <f t="shared" si="8"/>
        <v>0</v>
      </c>
      <c r="Q152" s="40">
        <f t="shared" si="9"/>
        <v>0</v>
      </c>
      <c r="R152" s="40">
        <f t="shared" si="10"/>
        <v>0</v>
      </c>
      <c r="S152" s="41"/>
      <c r="T152" s="41"/>
      <c r="U152" s="41"/>
      <c r="V152" s="41"/>
      <c r="W152" s="41"/>
      <c r="X152" s="41"/>
      <c r="Y152" s="33">
        <f t="shared" si="11"/>
        <v>0</v>
      </c>
    </row>
    <row r="153" spans="4:25" x14ac:dyDescent="0.25">
      <c r="D153" s="69"/>
      <c r="E153" s="34"/>
      <c r="F153" s="34"/>
      <c r="H153" s="35"/>
      <c r="I153" s="36"/>
      <c r="J153" s="37"/>
      <c r="K153" s="38"/>
      <c r="L153" s="29"/>
      <c r="M153" s="29"/>
      <c r="N153" s="29"/>
      <c r="O153" s="39"/>
      <c r="P153" s="40">
        <f t="shared" si="8"/>
        <v>0</v>
      </c>
      <c r="Q153" s="40">
        <f t="shared" si="9"/>
        <v>0</v>
      </c>
      <c r="R153" s="40">
        <f t="shared" si="10"/>
        <v>0</v>
      </c>
      <c r="S153" s="41"/>
      <c r="T153" s="41"/>
      <c r="U153" s="41"/>
      <c r="V153" s="41"/>
      <c r="W153" s="41"/>
      <c r="X153" s="41"/>
      <c r="Y153" s="33">
        <f t="shared" si="11"/>
        <v>0</v>
      </c>
    </row>
    <row r="154" spans="4:25" x14ac:dyDescent="0.25">
      <c r="D154" s="69"/>
      <c r="E154" s="34"/>
      <c r="F154" s="34"/>
      <c r="H154" s="35"/>
      <c r="I154" s="36"/>
      <c r="J154" s="37"/>
      <c r="K154" s="38"/>
      <c r="L154" s="29"/>
      <c r="M154" s="29"/>
      <c r="N154" s="29"/>
      <c r="O154" s="39"/>
      <c r="P154" s="40">
        <f t="shared" si="8"/>
        <v>0</v>
      </c>
      <c r="Q154" s="40">
        <f t="shared" si="9"/>
        <v>0</v>
      </c>
      <c r="R154" s="40">
        <f t="shared" si="10"/>
        <v>0</v>
      </c>
      <c r="S154" s="41"/>
      <c r="T154" s="41"/>
      <c r="U154" s="41"/>
      <c r="V154" s="41"/>
      <c r="W154" s="41"/>
      <c r="X154" s="41"/>
      <c r="Y154" s="33">
        <f t="shared" si="11"/>
        <v>0</v>
      </c>
    </row>
    <row r="155" spans="4:25" x14ac:dyDescent="0.25">
      <c r="D155" s="69"/>
      <c r="E155" s="34"/>
      <c r="F155" s="34"/>
      <c r="H155" s="35"/>
      <c r="I155" s="36"/>
      <c r="J155" s="37"/>
      <c r="K155" s="38"/>
      <c r="L155" s="29"/>
      <c r="M155" s="29"/>
      <c r="N155" s="29"/>
      <c r="O155" s="39"/>
      <c r="P155" s="40">
        <f t="shared" si="8"/>
        <v>0</v>
      </c>
      <c r="Q155" s="40">
        <f t="shared" si="9"/>
        <v>0</v>
      </c>
      <c r="R155" s="40">
        <f t="shared" si="10"/>
        <v>0</v>
      </c>
      <c r="S155" s="41"/>
      <c r="T155" s="41"/>
      <c r="U155" s="41"/>
      <c r="V155" s="41"/>
      <c r="W155" s="41"/>
      <c r="X155" s="41"/>
      <c r="Y155" s="33">
        <f t="shared" si="11"/>
        <v>0</v>
      </c>
    </row>
    <row r="156" spans="4:25" x14ac:dyDescent="0.25">
      <c r="D156" s="69"/>
      <c r="E156" s="34"/>
      <c r="F156" s="34"/>
      <c r="H156" s="35"/>
      <c r="I156" s="36"/>
      <c r="J156" s="37"/>
      <c r="K156" s="38"/>
      <c r="L156" s="29"/>
      <c r="M156" s="29"/>
      <c r="N156" s="29"/>
      <c r="O156" s="39"/>
      <c r="P156" s="40">
        <f t="shared" si="8"/>
        <v>0</v>
      </c>
      <c r="Q156" s="40">
        <f t="shared" si="9"/>
        <v>0</v>
      </c>
      <c r="R156" s="40">
        <f t="shared" si="10"/>
        <v>0</v>
      </c>
      <c r="S156" s="41"/>
      <c r="T156" s="41"/>
      <c r="U156" s="41"/>
      <c r="V156" s="41"/>
      <c r="W156" s="41"/>
      <c r="X156" s="41"/>
      <c r="Y156" s="33">
        <f t="shared" si="11"/>
        <v>0</v>
      </c>
    </row>
    <row r="157" spans="4:25" x14ac:dyDescent="0.25">
      <c r="D157" s="69"/>
      <c r="E157" s="34"/>
      <c r="F157" s="34"/>
      <c r="H157" s="35"/>
      <c r="I157" s="36"/>
      <c r="J157" s="37"/>
      <c r="K157" s="38"/>
      <c r="L157" s="29"/>
      <c r="M157" s="29"/>
      <c r="N157" s="29"/>
      <c r="O157" s="39"/>
      <c r="P157" s="40">
        <f t="shared" si="8"/>
        <v>0</v>
      </c>
      <c r="Q157" s="40">
        <f t="shared" si="9"/>
        <v>0</v>
      </c>
      <c r="R157" s="40">
        <f t="shared" si="10"/>
        <v>0</v>
      </c>
      <c r="S157" s="41"/>
      <c r="T157" s="41"/>
      <c r="U157" s="41"/>
      <c r="V157" s="41"/>
      <c r="W157" s="41"/>
      <c r="X157" s="41"/>
      <c r="Y157" s="33">
        <f t="shared" si="11"/>
        <v>0</v>
      </c>
    </row>
    <row r="158" spans="4:25" x14ac:dyDescent="0.25">
      <c r="D158" s="69"/>
      <c r="E158" s="34"/>
      <c r="F158" s="34"/>
      <c r="H158" s="35"/>
      <c r="I158" s="36"/>
      <c r="J158" s="37"/>
      <c r="K158" s="38"/>
      <c r="L158" s="29"/>
      <c r="M158" s="29"/>
      <c r="N158" s="29"/>
      <c r="O158" s="39"/>
      <c r="P158" s="40">
        <f t="shared" si="8"/>
        <v>0</v>
      </c>
      <c r="Q158" s="40">
        <f t="shared" si="9"/>
        <v>0</v>
      </c>
      <c r="R158" s="40">
        <f t="shared" si="10"/>
        <v>0</v>
      </c>
      <c r="S158" s="41"/>
      <c r="T158" s="41"/>
      <c r="U158" s="41"/>
      <c r="V158" s="41"/>
      <c r="W158" s="41"/>
      <c r="X158" s="41"/>
      <c r="Y158" s="33">
        <f t="shared" si="11"/>
        <v>0</v>
      </c>
    </row>
    <row r="159" spans="4:25" x14ac:dyDescent="0.25">
      <c r="D159" s="69"/>
      <c r="E159" s="34"/>
      <c r="F159" s="34"/>
      <c r="H159" s="35"/>
      <c r="I159" s="36"/>
      <c r="J159" s="37"/>
      <c r="K159" s="38"/>
      <c r="L159" s="29"/>
      <c r="M159" s="29"/>
      <c r="N159" s="29"/>
      <c r="O159" s="39"/>
      <c r="P159" s="40">
        <f t="shared" si="8"/>
        <v>0</v>
      </c>
      <c r="Q159" s="40">
        <f t="shared" si="9"/>
        <v>0</v>
      </c>
      <c r="R159" s="40">
        <f t="shared" si="10"/>
        <v>0</v>
      </c>
      <c r="S159" s="41"/>
      <c r="T159" s="41"/>
      <c r="U159" s="41"/>
      <c r="V159" s="41"/>
      <c r="W159" s="41"/>
      <c r="X159" s="41"/>
      <c r="Y159" s="33">
        <f t="shared" si="11"/>
        <v>0</v>
      </c>
    </row>
    <row r="160" spans="4:25" x14ac:dyDescent="0.25">
      <c r="D160" s="69"/>
      <c r="E160" s="34"/>
      <c r="F160" s="34"/>
      <c r="H160" s="35"/>
      <c r="I160" s="36"/>
      <c r="J160" s="37"/>
      <c r="K160" s="38"/>
      <c r="L160" s="29"/>
      <c r="M160" s="29"/>
      <c r="N160" s="29"/>
      <c r="O160" s="39"/>
      <c r="P160" s="40">
        <f t="shared" si="8"/>
        <v>0</v>
      </c>
      <c r="Q160" s="40">
        <f t="shared" si="9"/>
        <v>0</v>
      </c>
      <c r="R160" s="40">
        <f t="shared" si="10"/>
        <v>0</v>
      </c>
      <c r="S160" s="41"/>
      <c r="T160" s="41"/>
      <c r="U160" s="41"/>
      <c r="V160" s="41"/>
      <c r="W160" s="41"/>
      <c r="X160" s="41"/>
      <c r="Y160" s="33">
        <f t="shared" si="11"/>
        <v>0</v>
      </c>
    </row>
    <row r="161" spans="4:25" x14ac:dyDescent="0.25">
      <c r="D161" s="69"/>
      <c r="E161" s="34"/>
      <c r="F161" s="34"/>
      <c r="H161" s="35"/>
      <c r="I161" s="36"/>
      <c r="J161" s="37"/>
      <c r="K161" s="38"/>
      <c r="L161" s="29"/>
      <c r="M161" s="29"/>
      <c r="N161" s="29"/>
      <c r="O161" s="39"/>
      <c r="P161" s="40">
        <f t="shared" si="8"/>
        <v>0</v>
      </c>
      <c r="Q161" s="40">
        <f t="shared" si="9"/>
        <v>0</v>
      </c>
      <c r="R161" s="40">
        <f t="shared" si="10"/>
        <v>0</v>
      </c>
      <c r="S161" s="41"/>
      <c r="T161" s="41"/>
      <c r="U161" s="41"/>
      <c r="V161" s="41"/>
      <c r="W161" s="41"/>
      <c r="X161" s="41"/>
      <c r="Y161" s="33">
        <f t="shared" si="11"/>
        <v>0</v>
      </c>
    </row>
    <row r="162" spans="4:25" x14ac:dyDescent="0.25">
      <c r="D162" s="69"/>
      <c r="E162" s="34"/>
      <c r="F162" s="34"/>
      <c r="H162" s="35"/>
      <c r="I162" s="36"/>
      <c r="J162" s="37"/>
      <c r="K162" s="38"/>
      <c r="L162" s="29"/>
      <c r="M162" s="29"/>
      <c r="N162" s="29"/>
      <c r="O162" s="39"/>
      <c r="P162" s="40">
        <f t="shared" si="8"/>
        <v>0</v>
      </c>
      <c r="Q162" s="40">
        <f t="shared" si="9"/>
        <v>0</v>
      </c>
      <c r="R162" s="40">
        <f t="shared" si="10"/>
        <v>0</v>
      </c>
      <c r="S162" s="41"/>
      <c r="T162" s="41"/>
      <c r="U162" s="41"/>
      <c r="V162" s="41"/>
      <c r="W162" s="41"/>
      <c r="X162" s="41"/>
      <c r="Y162" s="33">
        <f t="shared" si="11"/>
        <v>0</v>
      </c>
    </row>
    <row r="163" spans="4:25" x14ac:dyDescent="0.25">
      <c r="D163" s="69"/>
      <c r="E163" s="34"/>
      <c r="F163" s="34"/>
      <c r="H163" s="35"/>
      <c r="I163" s="36"/>
      <c r="J163" s="37"/>
      <c r="K163" s="38"/>
      <c r="L163" s="29"/>
      <c r="M163" s="29"/>
      <c r="N163" s="29"/>
      <c r="O163" s="39"/>
      <c r="P163" s="40">
        <f t="shared" si="8"/>
        <v>0</v>
      </c>
      <c r="Q163" s="40">
        <f t="shared" si="9"/>
        <v>0</v>
      </c>
      <c r="R163" s="40">
        <f t="shared" si="10"/>
        <v>0</v>
      </c>
      <c r="S163" s="41"/>
      <c r="T163" s="41"/>
      <c r="U163" s="41"/>
      <c r="V163" s="41"/>
      <c r="W163" s="41"/>
      <c r="X163" s="41"/>
      <c r="Y163" s="33">
        <f t="shared" si="11"/>
        <v>0</v>
      </c>
    </row>
    <row r="164" spans="4:25" x14ac:dyDescent="0.25">
      <c r="D164" s="69"/>
      <c r="E164" s="34"/>
      <c r="F164" s="34"/>
      <c r="H164" s="35"/>
      <c r="I164" s="36"/>
      <c r="J164" s="37"/>
      <c r="K164" s="38"/>
      <c r="L164" s="29"/>
      <c r="M164" s="29"/>
      <c r="N164" s="29"/>
      <c r="O164" s="39"/>
      <c r="P164" s="40">
        <f t="shared" si="8"/>
        <v>0</v>
      </c>
      <c r="Q164" s="40">
        <f t="shared" si="9"/>
        <v>0</v>
      </c>
      <c r="R164" s="40">
        <f t="shared" si="10"/>
        <v>0</v>
      </c>
      <c r="S164" s="41"/>
      <c r="T164" s="41"/>
      <c r="U164" s="41"/>
      <c r="V164" s="41"/>
      <c r="W164" s="41"/>
      <c r="X164" s="41"/>
      <c r="Y164" s="33">
        <f t="shared" si="11"/>
        <v>0</v>
      </c>
    </row>
    <row r="165" spans="4:25" x14ac:dyDescent="0.25">
      <c r="D165" s="69"/>
      <c r="E165" s="34"/>
      <c r="F165" s="34"/>
      <c r="H165" s="35"/>
      <c r="I165" s="36"/>
      <c r="J165" s="37"/>
      <c r="K165" s="38"/>
      <c r="L165" s="29"/>
      <c r="M165" s="29"/>
      <c r="N165" s="29"/>
      <c r="O165" s="39"/>
      <c r="P165" s="40">
        <f t="shared" si="8"/>
        <v>0</v>
      </c>
      <c r="Q165" s="40">
        <f t="shared" si="9"/>
        <v>0</v>
      </c>
      <c r="R165" s="40">
        <f t="shared" si="10"/>
        <v>0</v>
      </c>
      <c r="S165" s="41"/>
      <c r="T165" s="41"/>
      <c r="U165" s="41"/>
      <c r="V165" s="41"/>
      <c r="W165" s="41"/>
      <c r="X165" s="41"/>
      <c r="Y165" s="33">
        <f t="shared" si="11"/>
        <v>0</v>
      </c>
    </row>
    <row r="166" spans="4:25" x14ac:dyDescent="0.25">
      <c r="D166" s="69"/>
      <c r="E166" s="34"/>
      <c r="F166" s="34"/>
      <c r="H166" s="35"/>
      <c r="I166" s="36"/>
      <c r="J166" s="37"/>
      <c r="K166" s="38"/>
      <c r="L166" s="29"/>
      <c r="M166" s="29"/>
      <c r="N166" s="29"/>
      <c r="O166" s="39"/>
      <c r="P166" s="40">
        <f t="shared" si="8"/>
        <v>0</v>
      </c>
      <c r="Q166" s="40">
        <f t="shared" si="9"/>
        <v>0</v>
      </c>
      <c r="R166" s="40">
        <f t="shared" si="10"/>
        <v>0</v>
      </c>
      <c r="S166" s="41"/>
      <c r="T166" s="41"/>
      <c r="U166" s="41"/>
      <c r="V166" s="41"/>
      <c r="W166" s="41"/>
      <c r="X166" s="41"/>
      <c r="Y166" s="33">
        <f t="shared" si="11"/>
        <v>0</v>
      </c>
    </row>
    <row r="167" spans="4:25" x14ac:dyDescent="0.25">
      <c r="D167" s="69"/>
      <c r="E167" s="34"/>
      <c r="F167" s="34"/>
      <c r="H167" s="35"/>
      <c r="I167" s="36"/>
      <c r="J167" s="37"/>
      <c r="K167" s="38"/>
      <c r="L167" s="29"/>
      <c r="M167" s="29"/>
      <c r="N167" s="29"/>
      <c r="O167" s="39"/>
      <c r="P167" s="40">
        <f t="shared" si="8"/>
        <v>0</v>
      </c>
      <c r="Q167" s="40">
        <f t="shared" si="9"/>
        <v>0</v>
      </c>
      <c r="R167" s="40">
        <f t="shared" si="10"/>
        <v>0</v>
      </c>
      <c r="S167" s="41"/>
      <c r="T167" s="41"/>
      <c r="U167" s="41"/>
      <c r="V167" s="41"/>
      <c r="W167" s="41"/>
      <c r="X167" s="41"/>
      <c r="Y167" s="33">
        <f t="shared" si="11"/>
        <v>0</v>
      </c>
    </row>
    <row r="168" spans="4:25" x14ac:dyDescent="0.25">
      <c r="D168" s="69"/>
      <c r="E168" s="34"/>
      <c r="F168" s="34"/>
      <c r="H168" s="35"/>
      <c r="I168" s="36"/>
      <c r="J168" s="37"/>
      <c r="K168" s="38"/>
      <c r="L168" s="29"/>
      <c r="M168" s="29"/>
      <c r="N168" s="29"/>
      <c r="O168" s="39"/>
      <c r="P168" s="40">
        <f t="shared" si="8"/>
        <v>0</v>
      </c>
      <c r="Q168" s="40">
        <f t="shared" si="9"/>
        <v>0</v>
      </c>
      <c r="R168" s="40">
        <f t="shared" si="10"/>
        <v>0</v>
      </c>
      <c r="S168" s="41"/>
      <c r="T168" s="41"/>
      <c r="U168" s="41"/>
      <c r="V168" s="41"/>
      <c r="W168" s="41"/>
      <c r="X168" s="41"/>
      <c r="Y168" s="33">
        <f t="shared" si="11"/>
        <v>0</v>
      </c>
    </row>
    <row r="169" spans="4:25" x14ac:dyDescent="0.25">
      <c r="D169" s="69"/>
      <c r="E169" s="34"/>
      <c r="F169" s="34"/>
      <c r="H169" s="35"/>
      <c r="I169" s="36"/>
      <c r="J169" s="37"/>
      <c r="K169" s="38"/>
      <c r="L169" s="29"/>
      <c r="M169" s="29"/>
      <c r="N169" s="29"/>
      <c r="O169" s="39"/>
      <c r="P169" s="40">
        <f t="shared" si="8"/>
        <v>0</v>
      </c>
      <c r="Q169" s="40">
        <f t="shared" si="9"/>
        <v>0</v>
      </c>
      <c r="R169" s="40">
        <f t="shared" si="10"/>
        <v>0</v>
      </c>
      <c r="S169" s="41"/>
      <c r="T169" s="41"/>
      <c r="U169" s="41"/>
      <c r="V169" s="41"/>
      <c r="W169" s="41"/>
      <c r="X169" s="41"/>
      <c r="Y169" s="33">
        <f t="shared" si="11"/>
        <v>0</v>
      </c>
    </row>
    <row r="170" spans="4:25" x14ac:dyDescent="0.25">
      <c r="D170" s="69"/>
      <c r="E170" s="34"/>
      <c r="F170" s="34"/>
      <c r="H170" s="35"/>
      <c r="I170" s="36"/>
      <c r="J170" s="37"/>
      <c r="K170" s="38"/>
      <c r="L170" s="29"/>
      <c r="M170" s="29"/>
      <c r="N170" s="29"/>
      <c r="O170" s="39"/>
      <c r="P170" s="40">
        <f t="shared" si="8"/>
        <v>0</v>
      </c>
      <c r="Q170" s="40">
        <f t="shared" si="9"/>
        <v>0</v>
      </c>
      <c r="R170" s="40">
        <f t="shared" si="10"/>
        <v>0</v>
      </c>
      <c r="S170" s="41"/>
      <c r="T170" s="41"/>
      <c r="U170" s="41"/>
      <c r="V170" s="41"/>
      <c r="W170" s="41"/>
      <c r="X170" s="41"/>
      <c r="Y170" s="33">
        <f t="shared" si="11"/>
        <v>0</v>
      </c>
    </row>
    <row r="171" spans="4:25" x14ac:dyDescent="0.25">
      <c r="D171" s="69"/>
      <c r="E171" s="34"/>
      <c r="F171" s="34"/>
      <c r="H171" s="35"/>
      <c r="I171" s="36"/>
      <c r="J171" s="37"/>
      <c r="K171" s="38"/>
      <c r="L171" s="29"/>
      <c r="M171" s="29"/>
      <c r="N171" s="29"/>
      <c r="O171" s="39"/>
      <c r="P171" s="40">
        <f t="shared" si="8"/>
        <v>0</v>
      </c>
      <c r="Q171" s="40">
        <f t="shared" si="9"/>
        <v>0</v>
      </c>
      <c r="R171" s="40">
        <f t="shared" si="10"/>
        <v>0</v>
      </c>
      <c r="S171" s="41"/>
      <c r="T171" s="41"/>
      <c r="U171" s="41"/>
      <c r="V171" s="41"/>
      <c r="W171" s="41"/>
      <c r="X171" s="41"/>
      <c r="Y171" s="33">
        <f t="shared" si="11"/>
        <v>0</v>
      </c>
    </row>
    <row r="172" spans="4:25" x14ac:dyDescent="0.25">
      <c r="D172" s="69"/>
      <c r="E172" s="34"/>
      <c r="F172" s="34"/>
      <c r="H172" s="35"/>
      <c r="I172" s="36"/>
      <c r="J172" s="37"/>
      <c r="K172" s="38"/>
      <c r="L172" s="29"/>
      <c r="M172" s="29"/>
      <c r="N172" s="29"/>
      <c r="O172" s="39"/>
      <c r="P172" s="40">
        <f t="shared" si="8"/>
        <v>0</v>
      </c>
      <c r="Q172" s="40">
        <f t="shared" si="9"/>
        <v>0</v>
      </c>
      <c r="R172" s="40">
        <f t="shared" si="10"/>
        <v>0</v>
      </c>
      <c r="S172" s="41"/>
      <c r="T172" s="41"/>
      <c r="U172" s="41"/>
      <c r="V172" s="41"/>
      <c r="W172" s="41"/>
      <c r="X172" s="41"/>
      <c r="Y172" s="33">
        <f t="shared" si="11"/>
        <v>0</v>
      </c>
    </row>
    <row r="173" spans="4:25" x14ac:dyDescent="0.25">
      <c r="D173" s="69"/>
      <c r="E173" s="34"/>
      <c r="F173" s="34"/>
      <c r="H173" s="35"/>
      <c r="I173" s="36"/>
      <c r="J173" s="37"/>
      <c r="K173" s="38"/>
      <c r="L173" s="29"/>
      <c r="M173" s="29"/>
      <c r="N173" s="29"/>
      <c r="O173" s="39"/>
      <c r="P173" s="40">
        <f t="shared" si="8"/>
        <v>0</v>
      </c>
      <c r="Q173" s="40">
        <f t="shared" si="9"/>
        <v>0</v>
      </c>
      <c r="R173" s="40">
        <f t="shared" si="10"/>
        <v>0</v>
      </c>
      <c r="S173" s="41"/>
      <c r="T173" s="41"/>
      <c r="U173" s="41"/>
      <c r="V173" s="41"/>
      <c r="W173" s="41"/>
      <c r="X173" s="41"/>
      <c r="Y173" s="33">
        <f t="shared" si="11"/>
        <v>0</v>
      </c>
    </row>
    <row r="174" spans="4:25" x14ac:dyDescent="0.25">
      <c r="D174" s="69"/>
      <c r="E174" s="34"/>
      <c r="F174" s="34"/>
      <c r="H174" s="35"/>
      <c r="I174" s="36"/>
      <c r="J174" s="37"/>
      <c r="K174" s="38"/>
      <c r="L174" s="29"/>
      <c r="M174" s="29"/>
      <c r="N174" s="29"/>
      <c r="O174" s="39"/>
      <c r="P174" s="40">
        <f t="shared" si="8"/>
        <v>0</v>
      </c>
      <c r="Q174" s="40">
        <f t="shared" si="9"/>
        <v>0</v>
      </c>
      <c r="R174" s="40">
        <f t="shared" si="10"/>
        <v>0</v>
      </c>
      <c r="S174" s="41"/>
      <c r="T174" s="41"/>
      <c r="U174" s="41"/>
      <c r="V174" s="41"/>
      <c r="W174" s="41"/>
      <c r="X174" s="41"/>
      <c r="Y174" s="33">
        <f t="shared" si="11"/>
        <v>0</v>
      </c>
    </row>
    <row r="175" spans="4:25" x14ac:dyDescent="0.25">
      <c r="D175" s="69"/>
      <c r="E175" s="34"/>
      <c r="F175" s="34"/>
      <c r="H175" s="35"/>
      <c r="I175" s="36"/>
      <c r="J175" s="37"/>
      <c r="K175" s="38"/>
      <c r="L175" s="29"/>
      <c r="M175" s="29"/>
      <c r="N175" s="29"/>
      <c r="O175" s="39"/>
      <c r="P175" s="40">
        <f t="shared" si="8"/>
        <v>0</v>
      </c>
      <c r="Q175" s="40">
        <f t="shared" si="9"/>
        <v>0</v>
      </c>
      <c r="R175" s="40">
        <f t="shared" si="10"/>
        <v>0</v>
      </c>
      <c r="S175" s="41"/>
      <c r="T175" s="41"/>
      <c r="U175" s="41"/>
      <c r="V175" s="41"/>
      <c r="W175" s="41"/>
      <c r="X175" s="41"/>
      <c r="Y175" s="33">
        <f t="shared" si="11"/>
        <v>0</v>
      </c>
    </row>
    <row r="176" spans="4:25" x14ac:dyDescent="0.25">
      <c r="D176" s="69"/>
      <c r="E176" s="34"/>
      <c r="F176" s="34"/>
      <c r="H176" s="35"/>
      <c r="I176" s="36"/>
      <c r="J176" s="37"/>
      <c r="K176" s="38"/>
      <c r="L176" s="29"/>
      <c r="M176" s="29"/>
      <c r="N176" s="29"/>
      <c r="O176" s="39"/>
      <c r="P176" s="40">
        <f t="shared" si="8"/>
        <v>0</v>
      </c>
      <c r="Q176" s="40">
        <f t="shared" si="9"/>
        <v>0</v>
      </c>
      <c r="R176" s="40">
        <f t="shared" si="10"/>
        <v>0</v>
      </c>
      <c r="S176" s="41"/>
      <c r="T176" s="41"/>
      <c r="U176" s="41"/>
      <c r="V176" s="41"/>
      <c r="W176" s="41"/>
      <c r="X176" s="41"/>
      <c r="Y176" s="33">
        <f t="shared" si="11"/>
        <v>0</v>
      </c>
    </row>
    <row r="177" spans="4:25" x14ac:dyDescent="0.25">
      <c r="D177" s="69"/>
      <c r="E177" s="34"/>
      <c r="F177" s="34"/>
      <c r="H177" s="35"/>
      <c r="I177" s="36"/>
      <c r="J177" s="37"/>
      <c r="K177" s="38"/>
      <c r="L177" s="29"/>
      <c r="M177" s="29"/>
      <c r="N177" s="29"/>
      <c r="O177" s="39"/>
      <c r="P177" s="40">
        <f t="shared" si="8"/>
        <v>0</v>
      </c>
      <c r="Q177" s="40">
        <f t="shared" si="9"/>
        <v>0</v>
      </c>
      <c r="R177" s="40">
        <f t="shared" si="10"/>
        <v>0</v>
      </c>
      <c r="S177" s="41"/>
      <c r="T177" s="41"/>
      <c r="U177" s="41"/>
      <c r="V177" s="41"/>
      <c r="W177" s="41"/>
      <c r="X177" s="41"/>
      <c r="Y177" s="33">
        <f t="shared" si="11"/>
        <v>0</v>
      </c>
    </row>
    <row r="178" spans="4:25" x14ac:dyDescent="0.25">
      <c r="D178" s="69"/>
      <c r="E178" s="34"/>
      <c r="F178" s="34"/>
      <c r="H178" s="35"/>
      <c r="I178" s="36"/>
      <c r="J178" s="37"/>
      <c r="K178" s="38"/>
      <c r="L178" s="29"/>
      <c r="M178" s="29"/>
      <c r="N178" s="29"/>
      <c r="O178" s="39"/>
      <c r="P178" s="40">
        <f t="shared" si="8"/>
        <v>0</v>
      </c>
      <c r="Q178" s="40">
        <f t="shared" si="9"/>
        <v>0</v>
      </c>
      <c r="R178" s="40">
        <f t="shared" si="10"/>
        <v>0</v>
      </c>
      <c r="S178" s="41"/>
      <c r="T178" s="41"/>
      <c r="U178" s="41"/>
      <c r="V178" s="41"/>
      <c r="W178" s="41"/>
      <c r="X178" s="41"/>
      <c r="Y178" s="33">
        <f t="shared" si="11"/>
        <v>0</v>
      </c>
    </row>
    <row r="179" spans="4:25" x14ac:dyDescent="0.25">
      <c r="D179" s="69"/>
      <c r="E179" s="34"/>
      <c r="F179" s="34"/>
      <c r="H179" s="35"/>
      <c r="I179" s="36"/>
      <c r="J179" s="37"/>
      <c r="K179" s="38"/>
      <c r="L179" s="29"/>
      <c r="M179" s="29"/>
      <c r="N179" s="29"/>
      <c r="O179" s="39"/>
      <c r="P179" s="40">
        <f t="shared" si="8"/>
        <v>0</v>
      </c>
      <c r="Q179" s="40">
        <f t="shared" si="9"/>
        <v>0</v>
      </c>
      <c r="R179" s="40">
        <f t="shared" si="10"/>
        <v>0</v>
      </c>
      <c r="S179" s="41"/>
      <c r="T179" s="41"/>
      <c r="U179" s="41"/>
      <c r="V179" s="41"/>
      <c r="W179" s="41"/>
      <c r="X179" s="41"/>
      <c r="Y179" s="33">
        <f t="shared" si="11"/>
        <v>0</v>
      </c>
    </row>
    <row r="180" spans="4:25" x14ac:dyDescent="0.25">
      <c r="D180" s="69"/>
      <c r="E180" s="34"/>
      <c r="F180" s="34"/>
      <c r="H180" s="35"/>
      <c r="I180" s="36"/>
      <c r="J180" s="37"/>
      <c r="K180" s="38"/>
      <c r="L180" s="29"/>
      <c r="M180" s="29"/>
      <c r="N180" s="29"/>
      <c r="O180" s="39"/>
      <c r="P180" s="40">
        <f t="shared" si="8"/>
        <v>0</v>
      </c>
      <c r="Q180" s="40">
        <f t="shared" si="9"/>
        <v>0</v>
      </c>
      <c r="R180" s="40">
        <f t="shared" si="10"/>
        <v>0</v>
      </c>
      <c r="S180" s="41"/>
      <c r="T180" s="41"/>
      <c r="U180" s="41"/>
      <c r="V180" s="41"/>
      <c r="W180" s="41"/>
      <c r="X180" s="41"/>
      <c r="Y180" s="33">
        <f t="shared" si="11"/>
        <v>0</v>
      </c>
    </row>
    <row r="181" spans="4:25" x14ac:dyDescent="0.25">
      <c r="D181" s="69"/>
      <c r="E181" s="34"/>
      <c r="F181" s="34"/>
      <c r="H181" s="35"/>
      <c r="I181" s="36"/>
      <c r="J181" s="37"/>
      <c r="K181" s="38"/>
      <c r="L181" s="29"/>
      <c r="M181" s="29"/>
      <c r="N181" s="29"/>
      <c r="O181" s="39"/>
      <c r="P181" s="40">
        <f t="shared" si="8"/>
        <v>0</v>
      </c>
      <c r="Q181" s="40">
        <f t="shared" si="9"/>
        <v>0</v>
      </c>
      <c r="R181" s="40">
        <f t="shared" si="10"/>
        <v>0</v>
      </c>
      <c r="S181" s="41"/>
      <c r="T181" s="41"/>
      <c r="U181" s="41"/>
      <c r="V181" s="41"/>
      <c r="W181" s="41"/>
      <c r="X181" s="41"/>
      <c r="Y181" s="33">
        <f t="shared" si="11"/>
        <v>0</v>
      </c>
    </row>
    <row r="182" spans="4:25" x14ac:dyDescent="0.25">
      <c r="D182" s="69"/>
      <c r="E182" s="34"/>
      <c r="F182" s="34"/>
      <c r="H182" s="35"/>
      <c r="I182" s="36"/>
      <c r="J182" s="37"/>
      <c r="K182" s="38"/>
      <c r="L182" s="29"/>
      <c r="M182" s="29"/>
      <c r="N182" s="29"/>
      <c r="O182" s="39"/>
      <c r="P182" s="40">
        <f t="shared" si="8"/>
        <v>0</v>
      </c>
      <c r="Q182" s="40">
        <f t="shared" si="9"/>
        <v>0</v>
      </c>
      <c r="R182" s="40">
        <f t="shared" si="10"/>
        <v>0</v>
      </c>
      <c r="S182" s="41"/>
      <c r="T182" s="41"/>
      <c r="U182" s="41"/>
      <c r="V182" s="41"/>
      <c r="W182" s="41"/>
      <c r="X182" s="41"/>
      <c r="Y182" s="33">
        <f t="shared" si="11"/>
        <v>0</v>
      </c>
    </row>
    <row r="183" spans="4:25" x14ac:dyDescent="0.25">
      <c r="D183" s="69"/>
      <c r="E183" s="34"/>
      <c r="F183" s="34"/>
      <c r="H183" s="35"/>
      <c r="I183" s="36"/>
      <c r="J183" s="37"/>
      <c r="K183" s="38"/>
      <c r="L183" s="29"/>
      <c r="M183" s="29"/>
      <c r="N183" s="29"/>
      <c r="O183" s="39"/>
      <c r="P183" s="40">
        <f t="shared" si="8"/>
        <v>0</v>
      </c>
      <c r="Q183" s="40">
        <f t="shared" si="9"/>
        <v>0</v>
      </c>
      <c r="R183" s="40">
        <f t="shared" si="10"/>
        <v>0</v>
      </c>
      <c r="S183" s="41"/>
      <c r="T183" s="41"/>
      <c r="U183" s="41"/>
      <c r="V183" s="41"/>
      <c r="W183" s="41"/>
      <c r="X183" s="41"/>
      <c r="Y183" s="33">
        <f t="shared" si="11"/>
        <v>0</v>
      </c>
    </row>
    <row r="184" spans="4:25" x14ac:dyDescent="0.25">
      <c r="D184" s="69"/>
      <c r="E184" s="34"/>
      <c r="F184" s="34"/>
      <c r="H184" s="35"/>
      <c r="I184" s="36"/>
      <c r="J184" s="37"/>
      <c r="K184" s="38"/>
      <c r="L184" s="29"/>
      <c r="M184" s="29"/>
      <c r="N184" s="29"/>
      <c r="O184" s="39"/>
      <c r="P184" s="40">
        <f t="shared" si="8"/>
        <v>0</v>
      </c>
      <c r="Q184" s="40">
        <f t="shared" si="9"/>
        <v>0</v>
      </c>
      <c r="R184" s="40">
        <f t="shared" si="10"/>
        <v>0</v>
      </c>
      <c r="S184" s="41"/>
      <c r="T184" s="41"/>
      <c r="U184" s="41"/>
      <c r="V184" s="41"/>
      <c r="W184" s="41"/>
      <c r="X184" s="41"/>
      <c r="Y184" s="33">
        <f t="shared" si="11"/>
        <v>0</v>
      </c>
    </row>
    <row r="185" spans="4:25" x14ac:dyDescent="0.25">
      <c r="D185" s="69"/>
      <c r="E185" s="34"/>
      <c r="F185" s="34"/>
      <c r="H185" s="35"/>
      <c r="I185" s="36"/>
      <c r="J185" s="37"/>
      <c r="K185" s="38"/>
      <c r="L185" s="29"/>
      <c r="M185" s="29"/>
      <c r="N185" s="29"/>
      <c r="O185" s="39"/>
      <c r="P185" s="40">
        <f t="shared" si="8"/>
        <v>0</v>
      </c>
      <c r="Q185" s="40">
        <f t="shared" si="9"/>
        <v>0</v>
      </c>
      <c r="R185" s="40">
        <f t="shared" si="10"/>
        <v>0</v>
      </c>
      <c r="S185" s="41"/>
      <c r="T185" s="41"/>
      <c r="U185" s="41"/>
      <c r="V185" s="41"/>
      <c r="W185" s="41"/>
      <c r="X185" s="41"/>
      <c r="Y185" s="33">
        <f t="shared" si="11"/>
        <v>0</v>
      </c>
    </row>
    <row r="186" spans="4:25" x14ac:dyDescent="0.25">
      <c r="D186" s="69"/>
      <c r="E186" s="34"/>
      <c r="F186" s="34"/>
      <c r="H186" s="35"/>
      <c r="I186" s="36"/>
      <c r="J186" s="37"/>
      <c r="K186" s="38"/>
      <c r="L186" s="29"/>
      <c r="M186" s="29"/>
      <c r="N186" s="29"/>
      <c r="O186" s="39"/>
      <c r="P186" s="40">
        <f t="shared" si="8"/>
        <v>0</v>
      </c>
      <c r="Q186" s="40">
        <f t="shared" si="9"/>
        <v>0</v>
      </c>
      <c r="R186" s="40">
        <f t="shared" si="10"/>
        <v>0</v>
      </c>
      <c r="S186" s="41"/>
      <c r="T186" s="41"/>
      <c r="U186" s="41"/>
      <c r="V186" s="41"/>
      <c r="W186" s="41"/>
      <c r="X186" s="41"/>
      <c r="Y186" s="33">
        <f t="shared" si="11"/>
        <v>0</v>
      </c>
    </row>
    <row r="187" spans="4:25" x14ac:dyDescent="0.25">
      <c r="D187" s="69"/>
      <c r="E187" s="34"/>
      <c r="F187" s="34"/>
      <c r="H187" s="35"/>
      <c r="I187" s="36"/>
      <c r="J187" s="37"/>
      <c r="K187" s="38"/>
      <c r="L187" s="29"/>
      <c r="M187" s="29"/>
      <c r="N187" s="29"/>
      <c r="O187" s="39"/>
      <c r="P187" s="40">
        <f t="shared" si="8"/>
        <v>0</v>
      </c>
      <c r="Q187" s="40">
        <f t="shared" si="9"/>
        <v>0</v>
      </c>
      <c r="R187" s="40">
        <f t="shared" si="10"/>
        <v>0</v>
      </c>
      <c r="S187" s="41"/>
      <c r="T187" s="41"/>
      <c r="U187" s="41"/>
      <c r="V187" s="41"/>
      <c r="W187" s="41"/>
      <c r="X187" s="41"/>
      <c r="Y187" s="33">
        <f t="shared" si="11"/>
        <v>0</v>
      </c>
    </row>
    <row r="188" spans="4:25" x14ac:dyDescent="0.25">
      <c r="D188" s="69"/>
      <c r="E188" s="34"/>
      <c r="F188" s="34"/>
      <c r="H188" s="35"/>
      <c r="I188" s="36"/>
      <c r="J188" s="37"/>
      <c r="K188" s="38"/>
      <c r="L188" s="29"/>
      <c r="M188" s="29"/>
      <c r="N188" s="29"/>
      <c r="O188" s="39"/>
      <c r="P188" s="40">
        <f t="shared" si="8"/>
        <v>0</v>
      </c>
      <c r="Q188" s="40">
        <f t="shared" si="9"/>
        <v>0</v>
      </c>
      <c r="R188" s="40">
        <f t="shared" si="10"/>
        <v>0</v>
      </c>
      <c r="S188" s="41"/>
      <c r="T188" s="41"/>
      <c r="U188" s="41"/>
      <c r="V188" s="41"/>
      <c r="W188" s="41"/>
      <c r="X188" s="41"/>
      <c r="Y188" s="33">
        <f t="shared" si="11"/>
        <v>0</v>
      </c>
    </row>
    <row r="189" spans="4:25" x14ac:dyDescent="0.25">
      <c r="D189" s="69"/>
      <c r="E189" s="34"/>
      <c r="F189" s="34"/>
      <c r="H189" s="35"/>
      <c r="I189" s="36"/>
      <c r="J189" s="37"/>
      <c r="K189" s="38"/>
      <c r="L189" s="29"/>
      <c r="M189" s="29"/>
      <c r="N189" s="29"/>
      <c r="O189" s="39"/>
      <c r="P189" s="40">
        <f t="shared" si="8"/>
        <v>0</v>
      </c>
      <c r="Q189" s="40">
        <f t="shared" si="9"/>
        <v>0</v>
      </c>
      <c r="R189" s="40">
        <f t="shared" si="10"/>
        <v>0</v>
      </c>
      <c r="S189" s="41"/>
      <c r="T189" s="41"/>
      <c r="U189" s="41"/>
      <c r="V189" s="41"/>
      <c r="W189" s="41"/>
      <c r="X189" s="41"/>
      <c r="Y189" s="33">
        <f t="shared" si="11"/>
        <v>0</v>
      </c>
    </row>
    <row r="190" spans="4:25" x14ac:dyDescent="0.25">
      <c r="D190" s="69"/>
      <c r="E190" s="34"/>
      <c r="F190" s="34"/>
      <c r="H190" s="35"/>
      <c r="I190" s="36"/>
      <c r="J190" s="37"/>
      <c r="K190" s="38"/>
      <c r="L190" s="29"/>
      <c r="M190" s="29"/>
      <c r="N190" s="29"/>
      <c r="O190" s="39"/>
      <c r="P190" s="40">
        <f t="shared" si="8"/>
        <v>0</v>
      </c>
      <c r="Q190" s="40">
        <f t="shared" si="9"/>
        <v>0</v>
      </c>
      <c r="R190" s="40">
        <f t="shared" si="10"/>
        <v>0</v>
      </c>
      <c r="S190" s="41"/>
      <c r="T190" s="41"/>
      <c r="U190" s="41"/>
      <c r="V190" s="41"/>
      <c r="W190" s="41"/>
      <c r="X190" s="41"/>
      <c r="Y190" s="33">
        <f t="shared" si="11"/>
        <v>0</v>
      </c>
    </row>
    <row r="191" spans="4:25" x14ac:dyDescent="0.25">
      <c r="D191" s="69"/>
      <c r="E191" s="34"/>
      <c r="F191" s="34"/>
      <c r="H191" s="35"/>
      <c r="I191" s="36"/>
      <c r="J191" s="37"/>
      <c r="K191" s="38"/>
      <c r="L191" s="29"/>
      <c r="M191" s="29"/>
      <c r="N191" s="29"/>
      <c r="O191" s="39"/>
      <c r="P191" s="40">
        <f t="shared" si="8"/>
        <v>0</v>
      </c>
      <c r="Q191" s="40">
        <f t="shared" si="9"/>
        <v>0</v>
      </c>
      <c r="R191" s="40">
        <f t="shared" si="10"/>
        <v>0</v>
      </c>
      <c r="S191" s="41"/>
      <c r="T191" s="41"/>
      <c r="U191" s="41"/>
      <c r="V191" s="41"/>
      <c r="W191" s="41"/>
      <c r="X191" s="41"/>
      <c r="Y191" s="33">
        <f t="shared" si="11"/>
        <v>0</v>
      </c>
    </row>
    <row r="192" spans="4:25" x14ac:dyDescent="0.25">
      <c r="D192" s="69"/>
      <c r="E192" s="34"/>
      <c r="F192" s="34"/>
      <c r="H192" s="35"/>
      <c r="I192" s="36"/>
      <c r="J192" s="37"/>
      <c r="K192" s="38"/>
      <c r="L192" s="29"/>
      <c r="M192" s="29"/>
      <c r="N192" s="29"/>
      <c r="O192" s="39"/>
      <c r="P192" s="40">
        <f t="shared" si="8"/>
        <v>0</v>
      </c>
      <c r="Q192" s="40">
        <f t="shared" si="9"/>
        <v>0</v>
      </c>
      <c r="R192" s="40">
        <f t="shared" si="10"/>
        <v>0</v>
      </c>
      <c r="S192" s="41"/>
      <c r="T192" s="41"/>
      <c r="U192" s="41"/>
      <c r="V192" s="41"/>
      <c r="W192" s="41"/>
      <c r="X192" s="41"/>
      <c r="Y192" s="33">
        <f t="shared" si="11"/>
        <v>0</v>
      </c>
    </row>
    <row r="193" spans="4:25" x14ac:dyDescent="0.25">
      <c r="D193" s="69"/>
      <c r="E193" s="34"/>
      <c r="F193" s="34"/>
      <c r="H193" s="35"/>
      <c r="I193" s="36"/>
      <c r="J193" s="37"/>
      <c r="K193" s="38"/>
      <c r="L193" s="29"/>
      <c r="M193" s="29"/>
      <c r="N193" s="29"/>
      <c r="O193" s="39"/>
      <c r="P193" s="40">
        <f t="shared" si="8"/>
        <v>0</v>
      </c>
      <c r="Q193" s="40">
        <f t="shared" si="9"/>
        <v>0</v>
      </c>
      <c r="R193" s="40">
        <f t="shared" si="10"/>
        <v>0</v>
      </c>
      <c r="S193" s="41"/>
      <c r="T193" s="41"/>
      <c r="U193" s="41"/>
      <c r="V193" s="41"/>
      <c r="W193" s="41"/>
      <c r="X193" s="41"/>
      <c r="Y193" s="33">
        <f t="shared" si="11"/>
        <v>0</v>
      </c>
    </row>
    <row r="194" spans="4:25" x14ac:dyDescent="0.25">
      <c r="D194" s="69"/>
      <c r="E194" s="34"/>
      <c r="F194" s="34"/>
      <c r="H194" s="35"/>
      <c r="I194" s="36"/>
      <c r="J194" s="37"/>
      <c r="K194" s="38"/>
      <c r="L194" s="29"/>
      <c r="M194" s="29"/>
      <c r="N194" s="29"/>
      <c r="O194" s="39"/>
      <c r="P194" s="40">
        <f t="shared" si="8"/>
        <v>0</v>
      </c>
      <c r="Q194" s="40">
        <f t="shared" si="9"/>
        <v>0</v>
      </c>
      <c r="R194" s="40">
        <f t="shared" si="10"/>
        <v>0</v>
      </c>
      <c r="S194" s="41"/>
      <c r="T194" s="41"/>
      <c r="U194" s="41"/>
      <c r="V194" s="41"/>
      <c r="W194" s="41"/>
      <c r="X194" s="41"/>
      <c r="Y194" s="33">
        <f t="shared" si="11"/>
        <v>0</v>
      </c>
    </row>
    <row r="195" spans="4:25" x14ac:dyDescent="0.25">
      <c r="D195" s="69"/>
      <c r="E195" s="34"/>
      <c r="F195" s="34"/>
      <c r="H195" s="35"/>
      <c r="I195" s="36"/>
      <c r="J195" s="37"/>
      <c r="K195" s="38"/>
      <c r="L195" s="29"/>
      <c r="M195" s="29"/>
      <c r="N195" s="29"/>
      <c r="O195" s="39"/>
      <c r="P195" s="40">
        <f t="shared" ref="P195:P258" si="12">$L195*$O195</f>
        <v>0</v>
      </c>
      <c r="Q195" s="40">
        <f t="shared" si="9"/>
        <v>0</v>
      </c>
      <c r="R195" s="40">
        <f t="shared" si="10"/>
        <v>0</v>
      </c>
      <c r="S195" s="41"/>
      <c r="T195" s="41"/>
      <c r="U195" s="41"/>
      <c r="V195" s="41"/>
      <c r="W195" s="41"/>
      <c r="X195" s="41"/>
      <c r="Y195" s="33">
        <f t="shared" si="11"/>
        <v>0</v>
      </c>
    </row>
    <row r="196" spans="4:25" x14ac:dyDescent="0.25">
      <c r="D196" s="69"/>
      <c r="E196" s="34"/>
      <c r="F196" s="34"/>
      <c r="H196" s="35"/>
      <c r="I196" s="36"/>
      <c r="J196" s="37"/>
      <c r="K196" s="38"/>
      <c r="L196" s="29"/>
      <c r="M196" s="29"/>
      <c r="N196" s="29"/>
      <c r="O196" s="39"/>
      <c r="P196" s="40">
        <f t="shared" si="12"/>
        <v>0</v>
      </c>
      <c r="Q196" s="40">
        <f t="shared" ref="Q196:Q259" si="13">IF(E196="NE",(M196*O196*1.5),(M196*O196))</f>
        <v>0</v>
      </c>
      <c r="R196" s="40">
        <f t="shared" ref="R196:R259" si="14">P196+Q196</f>
        <v>0</v>
      </c>
      <c r="S196" s="41"/>
      <c r="T196" s="41"/>
      <c r="U196" s="41"/>
      <c r="V196" s="41"/>
      <c r="W196" s="41"/>
      <c r="X196" s="41"/>
      <c r="Y196" s="33">
        <f t="shared" ref="Y196:Y259" si="15">SUM(R196:X196)</f>
        <v>0</v>
      </c>
    </row>
    <row r="197" spans="4:25" x14ac:dyDescent="0.25">
      <c r="D197" s="69"/>
      <c r="E197" s="34"/>
      <c r="F197" s="34"/>
      <c r="H197" s="35"/>
      <c r="I197" s="36"/>
      <c r="J197" s="37"/>
      <c r="K197" s="38"/>
      <c r="L197" s="29"/>
      <c r="M197" s="29"/>
      <c r="N197" s="29"/>
      <c r="O197" s="39"/>
      <c r="P197" s="40">
        <f t="shared" si="12"/>
        <v>0</v>
      </c>
      <c r="Q197" s="40">
        <f t="shared" si="13"/>
        <v>0</v>
      </c>
      <c r="R197" s="40">
        <f t="shared" si="14"/>
        <v>0</v>
      </c>
      <c r="S197" s="41"/>
      <c r="T197" s="41"/>
      <c r="U197" s="41"/>
      <c r="V197" s="41"/>
      <c r="W197" s="41"/>
      <c r="X197" s="41"/>
      <c r="Y197" s="33">
        <f t="shared" si="15"/>
        <v>0</v>
      </c>
    </row>
    <row r="198" spans="4:25" x14ac:dyDescent="0.25">
      <c r="D198" s="69"/>
      <c r="E198" s="34"/>
      <c r="F198" s="34"/>
      <c r="H198" s="35"/>
      <c r="I198" s="36"/>
      <c r="J198" s="37"/>
      <c r="K198" s="38"/>
      <c r="L198" s="29"/>
      <c r="M198" s="29"/>
      <c r="N198" s="29"/>
      <c r="O198" s="39"/>
      <c r="P198" s="40">
        <f t="shared" si="12"/>
        <v>0</v>
      </c>
      <c r="Q198" s="40">
        <f t="shared" si="13"/>
        <v>0</v>
      </c>
      <c r="R198" s="40">
        <f t="shared" si="14"/>
        <v>0</v>
      </c>
      <c r="S198" s="41"/>
      <c r="T198" s="41"/>
      <c r="U198" s="41"/>
      <c r="V198" s="41"/>
      <c r="W198" s="41"/>
      <c r="X198" s="41"/>
      <c r="Y198" s="33">
        <f t="shared" si="15"/>
        <v>0</v>
      </c>
    </row>
    <row r="199" spans="4:25" x14ac:dyDescent="0.25">
      <c r="D199" s="69"/>
      <c r="E199" s="34"/>
      <c r="F199" s="34"/>
      <c r="H199" s="35"/>
      <c r="I199" s="36"/>
      <c r="J199" s="37"/>
      <c r="K199" s="38"/>
      <c r="L199" s="29"/>
      <c r="M199" s="29"/>
      <c r="N199" s="29"/>
      <c r="O199" s="39"/>
      <c r="P199" s="40">
        <f t="shared" si="12"/>
        <v>0</v>
      </c>
      <c r="Q199" s="40">
        <f t="shared" si="13"/>
        <v>0</v>
      </c>
      <c r="R199" s="40">
        <f t="shared" si="14"/>
        <v>0</v>
      </c>
      <c r="S199" s="41"/>
      <c r="T199" s="41"/>
      <c r="U199" s="41"/>
      <c r="V199" s="41"/>
      <c r="W199" s="41"/>
      <c r="X199" s="41"/>
      <c r="Y199" s="33">
        <f t="shared" si="15"/>
        <v>0</v>
      </c>
    </row>
    <row r="200" spans="4:25" x14ac:dyDescent="0.25">
      <c r="D200" s="69"/>
      <c r="E200" s="34"/>
      <c r="F200" s="34"/>
      <c r="H200" s="35"/>
      <c r="I200" s="36"/>
      <c r="J200" s="37"/>
      <c r="K200" s="38"/>
      <c r="L200" s="29"/>
      <c r="M200" s="29"/>
      <c r="N200" s="29"/>
      <c r="O200" s="39"/>
      <c r="P200" s="40">
        <f t="shared" si="12"/>
        <v>0</v>
      </c>
      <c r="Q200" s="40">
        <f t="shared" si="13"/>
        <v>0</v>
      </c>
      <c r="R200" s="40">
        <f t="shared" si="14"/>
        <v>0</v>
      </c>
      <c r="S200" s="41"/>
      <c r="T200" s="41"/>
      <c r="U200" s="41"/>
      <c r="V200" s="41"/>
      <c r="W200" s="41"/>
      <c r="X200" s="41"/>
      <c r="Y200" s="33">
        <f t="shared" si="15"/>
        <v>0</v>
      </c>
    </row>
    <row r="201" spans="4:25" x14ac:dyDescent="0.25">
      <c r="D201" s="69"/>
      <c r="E201" s="34"/>
      <c r="F201" s="34"/>
      <c r="H201" s="35"/>
      <c r="I201" s="36"/>
      <c r="J201" s="37"/>
      <c r="K201" s="38"/>
      <c r="L201" s="29"/>
      <c r="M201" s="29"/>
      <c r="N201" s="29"/>
      <c r="O201" s="39"/>
      <c r="P201" s="40">
        <f t="shared" si="12"/>
        <v>0</v>
      </c>
      <c r="Q201" s="40">
        <f t="shared" si="13"/>
        <v>0</v>
      </c>
      <c r="R201" s="40">
        <f t="shared" si="14"/>
        <v>0</v>
      </c>
      <c r="S201" s="41"/>
      <c r="T201" s="41"/>
      <c r="U201" s="41"/>
      <c r="V201" s="41"/>
      <c r="W201" s="41"/>
      <c r="X201" s="41"/>
      <c r="Y201" s="33">
        <f t="shared" si="15"/>
        <v>0</v>
      </c>
    </row>
    <row r="202" spans="4:25" x14ac:dyDescent="0.25">
      <c r="D202" s="69"/>
      <c r="E202" s="34"/>
      <c r="F202" s="34"/>
      <c r="G202" s="38"/>
      <c r="H202" s="35"/>
      <c r="I202" s="36"/>
      <c r="J202" s="37"/>
      <c r="K202" s="38"/>
      <c r="L202" s="29"/>
      <c r="M202" s="29"/>
      <c r="N202" s="29"/>
      <c r="O202" s="39"/>
      <c r="P202" s="40">
        <f t="shared" si="12"/>
        <v>0</v>
      </c>
      <c r="Q202" s="40">
        <f t="shared" si="13"/>
        <v>0</v>
      </c>
      <c r="R202" s="40">
        <f t="shared" si="14"/>
        <v>0</v>
      </c>
      <c r="S202" s="41"/>
      <c r="T202" s="41"/>
      <c r="U202" s="41"/>
      <c r="V202" s="41"/>
      <c r="W202" s="41"/>
      <c r="X202" s="41"/>
      <c r="Y202" s="33">
        <f t="shared" si="15"/>
        <v>0</v>
      </c>
    </row>
    <row r="203" spans="4:25" x14ac:dyDescent="0.25">
      <c r="D203" s="69"/>
      <c r="E203" s="34"/>
      <c r="F203" s="34"/>
      <c r="G203" s="38"/>
      <c r="H203" s="35"/>
      <c r="I203" s="36"/>
      <c r="J203" s="37"/>
      <c r="K203" s="38"/>
      <c r="L203" s="29"/>
      <c r="M203" s="29"/>
      <c r="N203" s="29"/>
      <c r="O203" s="39"/>
      <c r="P203" s="40">
        <f t="shared" si="12"/>
        <v>0</v>
      </c>
      <c r="Q203" s="40">
        <f t="shared" si="13"/>
        <v>0</v>
      </c>
      <c r="R203" s="40">
        <f t="shared" si="14"/>
        <v>0</v>
      </c>
      <c r="S203" s="41"/>
      <c r="T203" s="41"/>
      <c r="U203" s="41"/>
      <c r="V203" s="41"/>
      <c r="W203" s="41"/>
      <c r="X203" s="41"/>
      <c r="Y203" s="33">
        <f t="shared" si="15"/>
        <v>0</v>
      </c>
    </row>
    <row r="204" spans="4:25" x14ac:dyDescent="0.25">
      <c r="D204" s="69"/>
      <c r="E204" s="34"/>
      <c r="F204" s="34"/>
      <c r="H204" s="35"/>
      <c r="I204" s="36"/>
      <c r="J204" s="37"/>
      <c r="K204" s="38"/>
      <c r="L204" s="29"/>
      <c r="M204" s="29"/>
      <c r="N204" s="29"/>
      <c r="O204" s="39"/>
      <c r="P204" s="40">
        <f t="shared" si="12"/>
        <v>0</v>
      </c>
      <c r="Q204" s="40">
        <f t="shared" si="13"/>
        <v>0</v>
      </c>
      <c r="R204" s="40">
        <f t="shared" si="14"/>
        <v>0</v>
      </c>
      <c r="S204" s="41"/>
      <c r="T204" s="41"/>
      <c r="U204" s="41"/>
      <c r="V204" s="41"/>
      <c r="W204" s="41"/>
      <c r="X204" s="41"/>
      <c r="Y204" s="33">
        <f t="shared" si="15"/>
        <v>0</v>
      </c>
    </row>
    <row r="205" spans="4:25" x14ac:dyDescent="0.25">
      <c r="D205" s="69"/>
      <c r="E205" s="34"/>
      <c r="F205" s="34"/>
      <c r="H205" s="35"/>
      <c r="I205" s="36"/>
      <c r="J205" s="37"/>
      <c r="K205" s="38"/>
      <c r="L205" s="29"/>
      <c r="M205" s="29"/>
      <c r="N205" s="29"/>
      <c r="O205" s="39"/>
      <c r="P205" s="40">
        <f t="shared" si="12"/>
        <v>0</v>
      </c>
      <c r="Q205" s="40">
        <f t="shared" si="13"/>
        <v>0</v>
      </c>
      <c r="R205" s="40">
        <f t="shared" si="14"/>
        <v>0</v>
      </c>
      <c r="S205" s="41"/>
      <c r="T205" s="41"/>
      <c r="U205" s="41"/>
      <c r="V205" s="41"/>
      <c r="W205" s="41"/>
      <c r="X205" s="41"/>
      <c r="Y205" s="33">
        <f t="shared" si="15"/>
        <v>0</v>
      </c>
    </row>
    <row r="206" spans="4:25" x14ac:dyDescent="0.25">
      <c r="D206" s="69"/>
      <c r="E206" s="34"/>
      <c r="F206" s="34"/>
      <c r="H206" s="35"/>
      <c r="I206" s="36"/>
      <c r="J206" s="37"/>
      <c r="K206" s="38"/>
      <c r="L206" s="29"/>
      <c r="M206" s="29"/>
      <c r="N206" s="29"/>
      <c r="O206" s="39"/>
      <c r="P206" s="40">
        <f t="shared" si="12"/>
        <v>0</v>
      </c>
      <c r="Q206" s="40">
        <f t="shared" si="13"/>
        <v>0</v>
      </c>
      <c r="R206" s="40">
        <f t="shared" si="14"/>
        <v>0</v>
      </c>
      <c r="S206" s="41"/>
      <c r="T206" s="41"/>
      <c r="U206" s="41"/>
      <c r="V206" s="41"/>
      <c r="W206" s="41"/>
      <c r="X206" s="41"/>
      <c r="Y206" s="33">
        <f t="shared" si="15"/>
        <v>0</v>
      </c>
    </row>
    <row r="207" spans="4:25" x14ac:dyDescent="0.25">
      <c r="D207" s="69"/>
      <c r="E207" s="34"/>
      <c r="F207" s="34"/>
      <c r="H207" s="35"/>
      <c r="I207" s="36"/>
      <c r="J207" s="37"/>
      <c r="K207" s="38"/>
      <c r="L207" s="29"/>
      <c r="M207" s="29"/>
      <c r="N207" s="29"/>
      <c r="O207" s="39"/>
      <c r="P207" s="40">
        <f t="shared" si="12"/>
        <v>0</v>
      </c>
      <c r="Q207" s="40">
        <f t="shared" si="13"/>
        <v>0</v>
      </c>
      <c r="R207" s="40">
        <f t="shared" si="14"/>
        <v>0</v>
      </c>
      <c r="S207" s="41"/>
      <c r="T207" s="41"/>
      <c r="U207" s="41"/>
      <c r="V207" s="41"/>
      <c r="W207" s="41"/>
      <c r="X207" s="41"/>
      <c r="Y207" s="33">
        <f t="shared" si="15"/>
        <v>0</v>
      </c>
    </row>
    <row r="208" spans="4:25" x14ac:dyDescent="0.25">
      <c r="D208" s="69"/>
      <c r="E208" s="34"/>
      <c r="F208" s="34"/>
      <c r="H208" s="35"/>
      <c r="I208" s="36"/>
      <c r="J208" s="37"/>
      <c r="K208" s="38"/>
      <c r="L208" s="29"/>
      <c r="M208" s="29"/>
      <c r="N208" s="29"/>
      <c r="O208" s="39"/>
      <c r="P208" s="40">
        <f t="shared" si="12"/>
        <v>0</v>
      </c>
      <c r="Q208" s="40">
        <f t="shared" si="13"/>
        <v>0</v>
      </c>
      <c r="R208" s="40">
        <f t="shared" si="14"/>
        <v>0</v>
      </c>
      <c r="S208" s="41"/>
      <c r="T208" s="41"/>
      <c r="U208" s="41"/>
      <c r="V208" s="41"/>
      <c r="W208" s="41"/>
      <c r="X208" s="41"/>
      <c r="Y208" s="33">
        <f t="shared" si="15"/>
        <v>0</v>
      </c>
    </row>
    <row r="209" spans="4:25" x14ac:dyDescent="0.25">
      <c r="D209" s="69"/>
      <c r="E209" s="34"/>
      <c r="F209" s="34"/>
      <c r="H209" s="35"/>
      <c r="I209" s="36"/>
      <c r="J209" s="37"/>
      <c r="K209" s="38"/>
      <c r="L209" s="29"/>
      <c r="M209" s="29"/>
      <c r="N209" s="29"/>
      <c r="O209" s="39"/>
      <c r="P209" s="40">
        <f t="shared" si="12"/>
        <v>0</v>
      </c>
      <c r="Q209" s="40">
        <f t="shared" si="13"/>
        <v>0</v>
      </c>
      <c r="R209" s="40">
        <f t="shared" si="14"/>
        <v>0</v>
      </c>
      <c r="S209" s="41"/>
      <c r="T209" s="41"/>
      <c r="U209" s="41"/>
      <c r="V209" s="41"/>
      <c r="W209" s="41"/>
      <c r="X209" s="41"/>
      <c r="Y209" s="33">
        <f t="shared" si="15"/>
        <v>0</v>
      </c>
    </row>
    <row r="210" spans="4:25" x14ac:dyDescent="0.25">
      <c r="D210" s="69"/>
      <c r="E210" s="34"/>
      <c r="F210" s="34"/>
      <c r="H210" s="35"/>
      <c r="I210" s="36"/>
      <c r="J210" s="37"/>
      <c r="K210" s="38"/>
      <c r="L210" s="29"/>
      <c r="M210" s="29"/>
      <c r="N210" s="29"/>
      <c r="O210" s="39"/>
      <c r="P210" s="40">
        <f t="shared" si="12"/>
        <v>0</v>
      </c>
      <c r="Q210" s="40">
        <f t="shared" si="13"/>
        <v>0</v>
      </c>
      <c r="R210" s="40">
        <f t="shared" si="14"/>
        <v>0</v>
      </c>
      <c r="S210" s="41"/>
      <c r="T210" s="41"/>
      <c r="U210" s="41"/>
      <c r="V210" s="41"/>
      <c r="W210" s="41"/>
      <c r="X210" s="41"/>
      <c r="Y210" s="33">
        <f t="shared" si="15"/>
        <v>0</v>
      </c>
    </row>
    <row r="211" spans="4:25" x14ac:dyDescent="0.25">
      <c r="D211" s="69"/>
      <c r="E211" s="34"/>
      <c r="F211" s="34"/>
      <c r="H211" s="35"/>
      <c r="I211" s="36"/>
      <c r="J211" s="37"/>
      <c r="K211" s="38"/>
      <c r="L211" s="29"/>
      <c r="M211" s="29"/>
      <c r="N211" s="29"/>
      <c r="O211" s="39"/>
      <c r="P211" s="40">
        <f t="shared" si="12"/>
        <v>0</v>
      </c>
      <c r="Q211" s="40">
        <f t="shared" si="13"/>
        <v>0</v>
      </c>
      <c r="R211" s="40">
        <f t="shared" si="14"/>
        <v>0</v>
      </c>
      <c r="S211" s="41"/>
      <c r="T211" s="41"/>
      <c r="U211" s="41"/>
      <c r="V211" s="41"/>
      <c r="W211" s="41"/>
      <c r="X211" s="41"/>
      <c r="Y211" s="33">
        <f t="shared" si="15"/>
        <v>0</v>
      </c>
    </row>
    <row r="212" spans="4:25" x14ac:dyDescent="0.25">
      <c r="D212" s="69"/>
      <c r="E212" s="34"/>
      <c r="F212" s="34"/>
      <c r="H212" s="35"/>
      <c r="I212" s="36"/>
      <c r="J212" s="37"/>
      <c r="K212" s="38"/>
      <c r="L212" s="29"/>
      <c r="M212" s="29"/>
      <c r="N212" s="29"/>
      <c r="O212" s="39"/>
      <c r="P212" s="40">
        <f t="shared" si="12"/>
        <v>0</v>
      </c>
      <c r="Q212" s="40">
        <f t="shared" si="13"/>
        <v>0</v>
      </c>
      <c r="R212" s="40">
        <f t="shared" si="14"/>
        <v>0</v>
      </c>
      <c r="S212" s="41"/>
      <c r="T212" s="41"/>
      <c r="U212" s="41"/>
      <c r="V212" s="41"/>
      <c r="W212" s="41"/>
      <c r="X212" s="41"/>
      <c r="Y212" s="33">
        <f t="shared" si="15"/>
        <v>0</v>
      </c>
    </row>
    <row r="213" spans="4:25" x14ac:dyDescent="0.25">
      <c r="D213" s="69"/>
      <c r="E213" s="34"/>
      <c r="F213" s="34"/>
      <c r="H213" s="35"/>
      <c r="I213" s="36"/>
      <c r="J213" s="37"/>
      <c r="K213" s="38"/>
      <c r="L213" s="29"/>
      <c r="M213" s="29"/>
      <c r="N213" s="29"/>
      <c r="O213" s="39"/>
      <c r="P213" s="40">
        <f t="shared" si="12"/>
        <v>0</v>
      </c>
      <c r="Q213" s="40">
        <f t="shared" si="13"/>
        <v>0</v>
      </c>
      <c r="R213" s="40">
        <f t="shared" si="14"/>
        <v>0</v>
      </c>
      <c r="S213" s="41"/>
      <c r="T213" s="41"/>
      <c r="U213" s="41"/>
      <c r="V213" s="41"/>
      <c r="W213" s="41"/>
      <c r="X213" s="41"/>
      <c r="Y213" s="33">
        <f t="shared" si="15"/>
        <v>0</v>
      </c>
    </row>
    <row r="214" spans="4:25" x14ac:dyDescent="0.25">
      <c r="D214" s="69"/>
      <c r="E214" s="34"/>
      <c r="F214" s="34"/>
      <c r="H214" s="35"/>
      <c r="I214" s="36"/>
      <c r="J214" s="37"/>
      <c r="K214" s="38"/>
      <c r="L214" s="29"/>
      <c r="M214" s="29"/>
      <c r="N214" s="29"/>
      <c r="O214" s="39"/>
      <c r="P214" s="40">
        <f t="shared" si="12"/>
        <v>0</v>
      </c>
      <c r="Q214" s="40">
        <f t="shared" si="13"/>
        <v>0</v>
      </c>
      <c r="R214" s="40">
        <f t="shared" si="14"/>
        <v>0</v>
      </c>
      <c r="S214" s="41"/>
      <c r="T214" s="41"/>
      <c r="U214" s="41"/>
      <c r="V214" s="41"/>
      <c r="W214" s="41"/>
      <c r="X214" s="41"/>
      <c r="Y214" s="33">
        <f t="shared" si="15"/>
        <v>0</v>
      </c>
    </row>
    <row r="215" spans="4:25" x14ac:dyDescent="0.25">
      <c r="D215" s="69"/>
      <c r="E215" s="34"/>
      <c r="F215" s="34"/>
      <c r="H215" s="35"/>
      <c r="I215" s="36"/>
      <c r="J215" s="37"/>
      <c r="K215" s="38"/>
      <c r="L215" s="29"/>
      <c r="M215" s="29"/>
      <c r="N215" s="29"/>
      <c r="O215" s="39"/>
      <c r="P215" s="40">
        <f t="shared" si="12"/>
        <v>0</v>
      </c>
      <c r="Q215" s="40">
        <f t="shared" si="13"/>
        <v>0</v>
      </c>
      <c r="R215" s="40">
        <f t="shared" si="14"/>
        <v>0</v>
      </c>
      <c r="S215" s="41"/>
      <c r="T215" s="41"/>
      <c r="U215" s="41"/>
      <c r="V215" s="41"/>
      <c r="W215" s="41"/>
      <c r="X215" s="41"/>
      <c r="Y215" s="33">
        <f t="shared" si="15"/>
        <v>0</v>
      </c>
    </row>
    <row r="216" spans="4:25" x14ac:dyDescent="0.25">
      <c r="D216" s="69"/>
      <c r="E216" s="34"/>
      <c r="F216" s="34"/>
      <c r="H216" s="35"/>
      <c r="I216" s="36"/>
      <c r="J216" s="37"/>
      <c r="K216" s="38"/>
      <c r="L216" s="29"/>
      <c r="M216" s="29"/>
      <c r="N216" s="29"/>
      <c r="O216" s="39"/>
      <c r="P216" s="40">
        <f t="shared" si="12"/>
        <v>0</v>
      </c>
      <c r="Q216" s="40">
        <f t="shared" si="13"/>
        <v>0</v>
      </c>
      <c r="R216" s="40">
        <f t="shared" si="14"/>
        <v>0</v>
      </c>
      <c r="S216" s="41"/>
      <c r="T216" s="41"/>
      <c r="U216" s="41"/>
      <c r="V216" s="41"/>
      <c r="W216" s="41"/>
      <c r="X216" s="41"/>
      <c r="Y216" s="33">
        <f t="shared" si="15"/>
        <v>0</v>
      </c>
    </row>
    <row r="217" spans="4:25" x14ac:dyDescent="0.25">
      <c r="D217" s="69"/>
      <c r="E217" s="34"/>
      <c r="F217" s="34"/>
      <c r="H217" s="35"/>
      <c r="I217" s="36"/>
      <c r="J217" s="37"/>
      <c r="K217" s="38"/>
      <c r="L217" s="29"/>
      <c r="M217" s="29"/>
      <c r="N217" s="29"/>
      <c r="O217" s="39"/>
      <c r="P217" s="40">
        <f t="shared" si="12"/>
        <v>0</v>
      </c>
      <c r="Q217" s="40">
        <f t="shared" si="13"/>
        <v>0</v>
      </c>
      <c r="R217" s="40">
        <f t="shared" si="14"/>
        <v>0</v>
      </c>
      <c r="S217" s="41"/>
      <c r="T217" s="41"/>
      <c r="U217" s="41"/>
      <c r="V217" s="41"/>
      <c r="W217" s="41"/>
      <c r="X217" s="41"/>
      <c r="Y217" s="33">
        <f t="shared" si="15"/>
        <v>0</v>
      </c>
    </row>
    <row r="218" spans="4:25" x14ac:dyDescent="0.25">
      <c r="D218" s="69"/>
      <c r="E218" s="34"/>
      <c r="F218" s="34"/>
      <c r="H218" s="35"/>
      <c r="I218" s="36"/>
      <c r="J218" s="37"/>
      <c r="K218" s="38"/>
      <c r="L218" s="29"/>
      <c r="M218" s="29"/>
      <c r="N218" s="29"/>
      <c r="O218" s="39"/>
      <c r="P218" s="40">
        <f t="shared" si="12"/>
        <v>0</v>
      </c>
      <c r="Q218" s="40">
        <f t="shared" si="13"/>
        <v>0</v>
      </c>
      <c r="R218" s="40">
        <f t="shared" si="14"/>
        <v>0</v>
      </c>
      <c r="S218" s="41"/>
      <c r="T218" s="41"/>
      <c r="U218" s="41"/>
      <c r="V218" s="41"/>
      <c r="W218" s="41"/>
      <c r="X218" s="41"/>
      <c r="Y218" s="33">
        <f t="shared" si="15"/>
        <v>0</v>
      </c>
    </row>
    <row r="219" spans="4:25" x14ac:dyDescent="0.25">
      <c r="D219" s="69"/>
      <c r="E219" s="34"/>
      <c r="F219" s="34"/>
      <c r="H219" s="35"/>
      <c r="I219" s="36"/>
      <c r="J219" s="37"/>
      <c r="K219" s="38"/>
      <c r="L219" s="29"/>
      <c r="M219" s="29"/>
      <c r="N219" s="29"/>
      <c r="O219" s="39"/>
      <c r="P219" s="40">
        <f t="shared" si="12"/>
        <v>0</v>
      </c>
      <c r="Q219" s="40">
        <f t="shared" si="13"/>
        <v>0</v>
      </c>
      <c r="R219" s="40">
        <f t="shared" si="14"/>
        <v>0</v>
      </c>
      <c r="S219" s="41"/>
      <c r="T219" s="41"/>
      <c r="U219" s="41"/>
      <c r="V219" s="41"/>
      <c r="W219" s="41"/>
      <c r="X219" s="41"/>
      <c r="Y219" s="33">
        <f t="shared" si="15"/>
        <v>0</v>
      </c>
    </row>
    <row r="220" spans="4:25" x14ac:dyDescent="0.25">
      <c r="D220" s="69"/>
      <c r="E220" s="34"/>
      <c r="F220" s="34"/>
      <c r="H220" s="35"/>
      <c r="I220" s="36"/>
      <c r="J220" s="37"/>
      <c r="K220" s="38"/>
      <c r="L220" s="29"/>
      <c r="M220" s="29"/>
      <c r="N220" s="29"/>
      <c r="O220" s="39"/>
      <c r="P220" s="40">
        <f t="shared" si="12"/>
        <v>0</v>
      </c>
      <c r="Q220" s="40">
        <f t="shared" si="13"/>
        <v>0</v>
      </c>
      <c r="R220" s="40">
        <f t="shared" si="14"/>
        <v>0</v>
      </c>
      <c r="S220" s="41"/>
      <c r="T220" s="41"/>
      <c r="U220" s="41"/>
      <c r="V220" s="41"/>
      <c r="W220" s="41"/>
      <c r="X220" s="41"/>
      <c r="Y220" s="33">
        <f t="shared" si="15"/>
        <v>0</v>
      </c>
    </row>
    <row r="221" spans="4:25" x14ac:dyDescent="0.25">
      <c r="D221" s="69"/>
      <c r="E221" s="34"/>
      <c r="F221" s="34"/>
      <c r="H221" s="35"/>
      <c r="I221" s="36"/>
      <c r="J221" s="37"/>
      <c r="K221" s="38"/>
      <c r="L221" s="29"/>
      <c r="M221" s="29"/>
      <c r="N221" s="29"/>
      <c r="O221" s="39"/>
      <c r="P221" s="40">
        <f t="shared" si="12"/>
        <v>0</v>
      </c>
      <c r="Q221" s="40">
        <f t="shared" si="13"/>
        <v>0</v>
      </c>
      <c r="R221" s="40">
        <f t="shared" si="14"/>
        <v>0</v>
      </c>
      <c r="S221" s="41"/>
      <c r="T221" s="41"/>
      <c r="U221" s="41"/>
      <c r="V221" s="41"/>
      <c r="W221" s="41"/>
      <c r="X221" s="41"/>
      <c r="Y221" s="33">
        <f t="shared" si="15"/>
        <v>0</v>
      </c>
    </row>
    <row r="222" spans="4:25" x14ac:dyDescent="0.25">
      <c r="D222" s="69"/>
      <c r="E222" s="34"/>
      <c r="F222" s="34"/>
      <c r="H222" s="35"/>
      <c r="I222" s="36"/>
      <c r="J222" s="37"/>
      <c r="K222" s="38"/>
      <c r="L222" s="29"/>
      <c r="M222" s="29"/>
      <c r="N222" s="29"/>
      <c r="O222" s="39"/>
      <c r="P222" s="40">
        <f t="shared" si="12"/>
        <v>0</v>
      </c>
      <c r="Q222" s="40">
        <f t="shared" si="13"/>
        <v>0</v>
      </c>
      <c r="R222" s="40">
        <f t="shared" si="14"/>
        <v>0</v>
      </c>
      <c r="S222" s="41"/>
      <c r="T222" s="41"/>
      <c r="U222" s="41"/>
      <c r="V222" s="41"/>
      <c r="W222" s="41"/>
      <c r="X222" s="41"/>
      <c r="Y222" s="33">
        <f t="shared" si="15"/>
        <v>0</v>
      </c>
    </row>
    <row r="223" spans="4:25" x14ac:dyDescent="0.25">
      <c r="D223" s="69"/>
      <c r="E223" s="34"/>
      <c r="F223" s="34"/>
      <c r="H223" s="35"/>
      <c r="I223" s="36"/>
      <c r="J223" s="37"/>
      <c r="K223" s="38"/>
      <c r="L223" s="29"/>
      <c r="M223" s="29"/>
      <c r="N223" s="29"/>
      <c r="O223" s="39"/>
      <c r="P223" s="40">
        <f t="shared" si="12"/>
        <v>0</v>
      </c>
      <c r="Q223" s="40">
        <f t="shared" si="13"/>
        <v>0</v>
      </c>
      <c r="R223" s="40">
        <f t="shared" si="14"/>
        <v>0</v>
      </c>
      <c r="S223" s="41"/>
      <c r="T223" s="41"/>
      <c r="U223" s="41"/>
      <c r="V223" s="41"/>
      <c r="W223" s="41"/>
      <c r="X223" s="41"/>
      <c r="Y223" s="33">
        <f t="shared" si="15"/>
        <v>0</v>
      </c>
    </row>
    <row r="224" spans="4:25" x14ac:dyDescent="0.25">
      <c r="D224" s="69"/>
      <c r="E224" s="34"/>
      <c r="F224" s="34"/>
      <c r="H224" s="35"/>
      <c r="I224" s="36"/>
      <c r="J224" s="37"/>
      <c r="K224" s="38"/>
      <c r="L224" s="29"/>
      <c r="M224" s="29"/>
      <c r="N224" s="29"/>
      <c r="O224" s="39"/>
      <c r="P224" s="40">
        <f t="shared" si="12"/>
        <v>0</v>
      </c>
      <c r="Q224" s="40">
        <f t="shared" si="13"/>
        <v>0</v>
      </c>
      <c r="R224" s="40">
        <f t="shared" si="14"/>
        <v>0</v>
      </c>
      <c r="S224" s="41"/>
      <c r="T224" s="41"/>
      <c r="U224" s="41"/>
      <c r="V224" s="41"/>
      <c r="W224" s="41"/>
      <c r="X224" s="41"/>
      <c r="Y224" s="33">
        <f t="shared" si="15"/>
        <v>0</v>
      </c>
    </row>
    <row r="225" spans="4:25" x14ac:dyDescent="0.25">
      <c r="D225" s="69"/>
      <c r="E225" s="34"/>
      <c r="F225" s="34"/>
      <c r="H225" s="35"/>
      <c r="I225" s="36"/>
      <c r="J225" s="37"/>
      <c r="K225" s="38"/>
      <c r="L225" s="29"/>
      <c r="M225" s="29"/>
      <c r="N225" s="29"/>
      <c r="O225" s="39"/>
      <c r="P225" s="40">
        <f t="shared" si="12"/>
        <v>0</v>
      </c>
      <c r="Q225" s="40">
        <f t="shared" si="13"/>
        <v>0</v>
      </c>
      <c r="R225" s="40">
        <f t="shared" si="14"/>
        <v>0</v>
      </c>
      <c r="S225" s="41"/>
      <c r="T225" s="41"/>
      <c r="U225" s="41"/>
      <c r="V225" s="41"/>
      <c r="W225" s="41"/>
      <c r="X225" s="41"/>
      <c r="Y225" s="33">
        <f t="shared" si="15"/>
        <v>0</v>
      </c>
    </row>
    <row r="226" spans="4:25" x14ac:dyDescent="0.25">
      <c r="D226" s="69"/>
      <c r="E226" s="34"/>
      <c r="F226" s="34"/>
      <c r="H226" s="35"/>
      <c r="I226" s="36"/>
      <c r="J226" s="37"/>
      <c r="K226" s="38"/>
      <c r="L226" s="29"/>
      <c r="M226" s="29"/>
      <c r="N226" s="29"/>
      <c r="O226" s="39"/>
      <c r="P226" s="40">
        <f t="shared" si="12"/>
        <v>0</v>
      </c>
      <c r="Q226" s="40">
        <f t="shared" si="13"/>
        <v>0</v>
      </c>
      <c r="R226" s="40">
        <f t="shared" si="14"/>
        <v>0</v>
      </c>
      <c r="S226" s="41"/>
      <c r="T226" s="41"/>
      <c r="U226" s="41"/>
      <c r="V226" s="41"/>
      <c r="W226" s="41"/>
      <c r="X226" s="41"/>
      <c r="Y226" s="33">
        <f t="shared" si="15"/>
        <v>0</v>
      </c>
    </row>
    <row r="227" spans="4:25" x14ac:dyDescent="0.25">
      <c r="D227" s="69"/>
      <c r="E227" s="34"/>
      <c r="F227" s="34"/>
      <c r="H227" s="35"/>
      <c r="I227" s="36"/>
      <c r="J227" s="37"/>
      <c r="K227" s="38"/>
      <c r="L227" s="29"/>
      <c r="M227" s="29"/>
      <c r="N227" s="29"/>
      <c r="O227" s="39"/>
      <c r="P227" s="40">
        <f t="shared" si="12"/>
        <v>0</v>
      </c>
      <c r="Q227" s="40">
        <f t="shared" si="13"/>
        <v>0</v>
      </c>
      <c r="R227" s="40">
        <f t="shared" si="14"/>
        <v>0</v>
      </c>
      <c r="S227" s="41"/>
      <c r="T227" s="41"/>
      <c r="U227" s="41"/>
      <c r="V227" s="41"/>
      <c r="W227" s="41"/>
      <c r="X227" s="41"/>
      <c r="Y227" s="33">
        <f t="shared" si="15"/>
        <v>0</v>
      </c>
    </row>
    <row r="228" spans="4:25" x14ac:dyDescent="0.25">
      <c r="D228" s="69"/>
      <c r="E228" s="34"/>
      <c r="F228" s="34"/>
      <c r="H228" s="35"/>
      <c r="I228" s="36"/>
      <c r="J228" s="37"/>
      <c r="K228" s="38"/>
      <c r="L228" s="29"/>
      <c r="M228" s="29"/>
      <c r="N228" s="29"/>
      <c r="O228" s="39"/>
      <c r="P228" s="40">
        <f t="shared" si="12"/>
        <v>0</v>
      </c>
      <c r="Q228" s="40">
        <f t="shared" si="13"/>
        <v>0</v>
      </c>
      <c r="R228" s="40">
        <f t="shared" si="14"/>
        <v>0</v>
      </c>
      <c r="S228" s="41"/>
      <c r="T228" s="41"/>
      <c r="U228" s="41"/>
      <c r="V228" s="41"/>
      <c r="W228" s="41"/>
      <c r="X228" s="41"/>
      <c r="Y228" s="33">
        <f t="shared" si="15"/>
        <v>0</v>
      </c>
    </row>
    <row r="229" spans="4:25" x14ac:dyDescent="0.25">
      <c r="D229" s="69"/>
      <c r="E229" s="34"/>
      <c r="F229" s="34"/>
      <c r="H229" s="35"/>
      <c r="I229" s="36"/>
      <c r="J229" s="37"/>
      <c r="K229" s="38"/>
      <c r="L229" s="29"/>
      <c r="M229" s="29"/>
      <c r="N229" s="29"/>
      <c r="O229" s="39"/>
      <c r="P229" s="40">
        <f t="shared" si="12"/>
        <v>0</v>
      </c>
      <c r="Q229" s="40">
        <f t="shared" si="13"/>
        <v>0</v>
      </c>
      <c r="R229" s="40">
        <f t="shared" si="14"/>
        <v>0</v>
      </c>
      <c r="S229" s="41"/>
      <c r="T229" s="41"/>
      <c r="U229" s="41"/>
      <c r="V229" s="41"/>
      <c r="W229" s="41"/>
      <c r="X229" s="41"/>
      <c r="Y229" s="33">
        <f t="shared" si="15"/>
        <v>0</v>
      </c>
    </row>
    <row r="230" spans="4:25" x14ac:dyDescent="0.25">
      <c r="D230" s="69"/>
      <c r="E230" s="34"/>
      <c r="F230" s="34"/>
      <c r="H230" s="35"/>
      <c r="I230" s="36"/>
      <c r="J230" s="37"/>
      <c r="K230" s="38"/>
      <c r="L230" s="29"/>
      <c r="M230" s="29"/>
      <c r="N230" s="29"/>
      <c r="O230" s="39"/>
      <c r="P230" s="40">
        <f t="shared" si="12"/>
        <v>0</v>
      </c>
      <c r="Q230" s="40">
        <f t="shared" si="13"/>
        <v>0</v>
      </c>
      <c r="R230" s="40">
        <f t="shared" si="14"/>
        <v>0</v>
      </c>
      <c r="S230" s="41"/>
      <c r="T230" s="41"/>
      <c r="U230" s="41"/>
      <c r="V230" s="41"/>
      <c r="W230" s="41"/>
      <c r="X230" s="41"/>
      <c r="Y230" s="33">
        <f t="shared" si="15"/>
        <v>0</v>
      </c>
    </row>
    <row r="231" spans="4:25" x14ac:dyDescent="0.25">
      <c r="D231" s="69"/>
      <c r="E231" s="34"/>
      <c r="F231" s="34"/>
      <c r="H231" s="35"/>
      <c r="I231" s="36"/>
      <c r="J231" s="37"/>
      <c r="K231" s="38"/>
      <c r="L231" s="29"/>
      <c r="M231" s="29"/>
      <c r="N231" s="29"/>
      <c r="O231" s="39"/>
      <c r="P231" s="40">
        <f t="shared" si="12"/>
        <v>0</v>
      </c>
      <c r="Q231" s="40">
        <f t="shared" si="13"/>
        <v>0</v>
      </c>
      <c r="R231" s="40">
        <f t="shared" si="14"/>
        <v>0</v>
      </c>
      <c r="S231" s="41"/>
      <c r="T231" s="41"/>
      <c r="U231" s="41"/>
      <c r="V231" s="41"/>
      <c r="W231" s="41"/>
      <c r="X231" s="41"/>
      <c r="Y231" s="33">
        <f t="shared" si="15"/>
        <v>0</v>
      </c>
    </row>
    <row r="232" spans="4:25" x14ac:dyDescent="0.25">
      <c r="D232" s="69"/>
      <c r="E232" s="34"/>
      <c r="F232" s="34"/>
      <c r="H232" s="35"/>
      <c r="I232" s="36"/>
      <c r="J232" s="37"/>
      <c r="K232" s="38"/>
      <c r="L232" s="29"/>
      <c r="M232" s="29"/>
      <c r="N232" s="29"/>
      <c r="O232" s="39"/>
      <c r="P232" s="40">
        <f t="shared" si="12"/>
        <v>0</v>
      </c>
      <c r="Q232" s="40">
        <f t="shared" si="13"/>
        <v>0</v>
      </c>
      <c r="R232" s="40">
        <f t="shared" si="14"/>
        <v>0</v>
      </c>
      <c r="S232" s="41"/>
      <c r="T232" s="41"/>
      <c r="U232" s="41"/>
      <c r="V232" s="41"/>
      <c r="W232" s="41"/>
      <c r="X232" s="41"/>
      <c r="Y232" s="33">
        <f t="shared" si="15"/>
        <v>0</v>
      </c>
    </row>
    <row r="233" spans="4:25" x14ac:dyDescent="0.25">
      <c r="D233" s="69"/>
      <c r="E233" s="34"/>
      <c r="F233" s="34"/>
      <c r="H233" s="35"/>
      <c r="I233" s="36"/>
      <c r="J233" s="37"/>
      <c r="K233" s="38"/>
      <c r="L233" s="29"/>
      <c r="M233" s="29"/>
      <c r="N233" s="29"/>
      <c r="O233" s="39"/>
      <c r="P233" s="40">
        <f t="shared" si="12"/>
        <v>0</v>
      </c>
      <c r="Q233" s="40">
        <f t="shared" si="13"/>
        <v>0</v>
      </c>
      <c r="R233" s="40">
        <f t="shared" si="14"/>
        <v>0</v>
      </c>
      <c r="S233" s="41"/>
      <c r="T233" s="41"/>
      <c r="U233" s="41"/>
      <c r="V233" s="41"/>
      <c r="W233" s="41"/>
      <c r="X233" s="41"/>
      <c r="Y233" s="33">
        <f t="shared" si="15"/>
        <v>0</v>
      </c>
    </row>
    <row r="234" spans="4:25" x14ac:dyDescent="0.25">
      <c r="D234" s="69"/>
      <c r="E234" s="34"/>
      <c r="F234" s="34"/>
      <c r="H234" s="35"/>
      <c r="I234" s="36"/>
      <c r="J234" s="37"/>
      <c r="K234" s="38"/>
      <c r="L234" s="29"/>
      <c r="M234" s="29"/>
      <c r="N234" s="29"/>
      <c r="O234" s="39"/>
      <c r="P234" s="40">
        <f t="shared" si="12"/>
        <v>0</v>
      </c>
      <c r="Q234" s="40">
        <f t="shared" si="13"/>
        <v>0</v>
      </c>
      <c r="R234" s="40">
        <f t="shared" si="14"/>
        <v>0</v>
      </c>
      <c r="S234" s="41"/>
      <c r="T234" s="41"/>
      <c r="U234" s="41"/>
      <c r="V234" s="41"/>
      <c r="W234" s="41"/>
      <c r="X234" s="41"/>
      <c r="Y234" s="33">
        <f t="shared" si="15"/>
        <v>0</v>
      </c>
    </row>
    <row r="235" spans="4:25" x14ac:dyDescent="0.25">
      <c r="D235" s="69"/>
      <c r="E235" s="34"/>
      <c r="F235" s="34"/>
      <c r="H235" s="35"/>
      <c r="I235" s="36"/>
      <c r="J235" s="37"/>
      <c r="K235" s="38"/>
      <c r="L235" s="29"/>
      <c r="M235" s="29"/>
      <c r="N235" s="29"/>
      <c r="O235" s="39"/>
      <c r="P235" s="40">
        <f t="shared" si="12"/>
        <v>0</v>
      </c>
      <c r="Q235" s="40">
        <f t="shared" si="13"/>
        <v>0</v>
      </c>
      <c r="R235" s="40">
        <f t="shared" si="14"/>
        <v>0</v>
      </c>
      <c r="S235" s="41"/>
      <c r="T235" s="41"/>
      <c r="U235" s="41"/>
      <c r="V235" s="41"/>
      <c r="W235" s="41"/>
      <c r="X235" s="41"/>
      <c r="Y235" s="33">
        <f t="shared" si="15"/>
        <v>0</v>
      </c>
    </row>
    <row r="236" spans="4:25" x14ac:dyDescent="0.25">
      <c r="D236" s="69"/>
      <c r="E236" s="34"/>
      <c r="F236" s="34"/>
      <c r="H236" s="35"/>
      <c r="I236" s="36"/>
      <c r="J236" s="37"/>
      <c r="K236" s="38"/>
      <c r="L236" s="29"/>
      <c r="M236" s="29"/>
      <c r="N236" s="29"/>
      <c r="O236" s="39"/>
      <c r="P236" s="40">
        <f t="shared" si="12"/>
        <v>0</v>
      </c>
      <c r="Q236" s="40">
        <f t="shared" si="13"/>
        <v>0</v>
      </c>
      <c r="R236" s="40">
        <f t="shared" si="14"/>
        <v>0</v>
      </c>
      <c r="S236" s="41"/>
      <c r="T236" s="41"/>
      <c r="U236" s="41"/>
      <c r="V236" s="41"/>
      <c r="W236" s="41"/>
      <c r="X236" s="41"/>
      <c r="Y236" s="33">
        <f t="shared" si="15"/>
        <v>0</v>
      </c>
    </row>
    <row r="237" spans="4:25" x14ac:dyDescent="0.25">
      <c r="D237" s="69"/>
      <c r="E237" s="34"/>
      <c r="F237" s="34"/>
      <c r="H237" s="35"/>
      <c r="I237" s="36"/>
      <c r="J237" s="37"/>
      <c r="K237" s="38"/>
      <c r="L237" s="29"/>
      <c r="M237" s="29"/>
      <c r="N237" s="29"/>
      <c r="O237" s="39"/>
      <c r="P237" s="40">
        <f t="shared" si="12"/>
        <v>0</v>
      </c>
      <c r="Q237" s="40">
        <f t="shared" si="13"/>
        <v>0</v>
      </c>
      <c r="R237" s="40">
        <f t="shared" si="14"/>
        <v>0</v>
      </c>
      <c r="S237" s="41"/>
      <c r="T237" s="41"/>
      <c r="U237" s="41"/>
      <c r="V237" s="41"/>
      <c r="W237" s="41"/>
      <c r="X237" s="41"/>
      <c r="Y237" s="33">
        <f t="shared" si="15"/>
        <v>0</v>
      </c>
    </row>
    <row r="238" spans="4:25" x14ac:dyDescent="0.25">
      <c r="D238" s="69"/>
      <c r="E238" s="34"/>
      <c r="F238" s="34"/>
      <c r="H238" s="35"/>
      <c r="I238" s="36"/>
      <c r="J238" s="37"/>
      <c r="K238" s="38"/>
      <c r="L238" s="29"/>
      <c r="M238" s="29"/>
      <c r="N238" s="29"/>
      <c r="O238" s="39"/>
      <c r="P238" s="40">
        <f t="shared" si="12"/>
        <v>0</v>
      </c>
      <c r="Q238" s="40">
        <f t="shared" si="13"/>
        <v>0</v>
      </c>
      <c r="R238" s="40">
        <f t="shared" si="14"/>
        <v>0</v>
      </c>
      <c r="S238" s="41"/>
      <c r="T238" s="41"/>
      <c r="U238" s="41"/>
      <c r="V238" s="41"/>
      <c r="W238" s="41"/>
      <c r="X238" s="41"/>
      <c r="Y238" s="33">
        <f t="shared" si="15"/>
        <v>0</v>
      </c>
    </row>
    <row r="239" spans="4:25" x14ac:dyDescent="0.25">
      <c r="D239" s="69"/>
      <c r="E239" s="34"/>
      <c r="F239" s="34"/>
      <c r="H239" s="35"/>
      <c r="I239" s="36"/>
      <c r="J239" s="37"/>
      <c r="K239" s="38"/>
      <c r="L239" s="29"/>
      <c r="M239" s="29"/>
      <c r="N239" s="29"/>
      <c r="O239" s="39"/>
      <c r="P239" s="40">
        <f t="shared" si="12"/>
        <v>0</v>
      </c>
      <c r="Q239" s="40">
        <f t="shared" si="13"/>
        <v>0</v>
      </c>
      <c r="R239" s="40">
        <f t="shared" si="14"/>
        <v>0</v>
      </c>
      <c r="S239" s="41"/>
      <c r="T239" s="41"/>
      <c r="U239" s="41"/>
      <c r="V239" s="41"/>
      <c r="W239" s="41"/>
      <c r="X239" s="41"/>
      <c r="Y239" s="33">
        <f t="shared" si="15"/>
        <v>0</v>
      </c>
    </row>
    <row r="240" spans="4:25" x14ac:dyDescent="0.25">
      <c r="D240" s="69"/>
      <c r="E240" s="34"/>
      <c r="F240" s="34"/>
      <c r="H240" s="35"/>
      <c r="I240" s="36"/>
      <c r="J240" s="37"/>
      <c r="K240" s="38"/>
      <c r="L240" s="29"/>
      <c r="M240" s="29"/>
      <c r="N240" s="29"/>
      <c r="O240" s="39"/>
      <c r="P240" s="40">
        <f t="shared" si="12"/>
        <v>0</v>
      </c>
      <c r="Q240" s="40">
        <f t="shared" si="13"/>
        <v>0</v>
      </c>
      <c r="R240" s="40">
        <f t="shared" si="14"/>
        <v>0</v>
      </c>
      <c r="S240" s="41"/>
      <c r="T240" s="41"/>
      <c r="U240" s="41"/>
      <c r="V240" s="41"/>
      <c r="W240" s="41"/>
      <c r="X240" s="41"/>
      <c r="Y240" s="33">
        <f t="shared" si="15"/>
        <v>0</v>
      </c>
    </row>
    <row r="241" spans="4:25" x14ac:dyDescent="0.25">
      <c r="D241" s="69"/>
      <c r="E241" s="34"/>
      <c r="F241" s="34"/>
      <c r="H241" s="35"/>
      <c r="I241" s="36"/>
      <c r="J241" s="37"/>
      <c r="K241" s="38"/>
      <c r="L241" s="29"/>
      <c r="M241" s="29"/>
      <c r="N241" s="29"/>
      <c r="O241" s="39"/>
      <c r="P241" s="40">
        <f t="shared" si="12"/>
        <v>0</v>
      </c>
      <c r="Q241" s="40">
        <f t="shared" si="13"/>
        <v>0</v>
      </c>
      <c r="R241" s="40">
        <f t="shared" si="14"/>
        <v>0</v>
      </c>
      <c r="S241" s="41"/>
      <c r="T241" s="41"/>
      <c r="U241" s="41"/>
      <c r="V241" s="41"/>
      <c r="W241" s="41"/>
      <c r="X241" s="41"/>
      <c r="Y241" s="33">
        <f t="shared" si="15"/>
        <v>0</v>
      </c>
    </row>
    <row r="242" spans="4:25" x14ac:dyDescent="0.25">
      <c r="D242" s="69"/>
      <c r="E242" s="34"/>
      <c r="F242" s="34"/>
      <c r="H242" s="35"/>
      <c r="I242" s="36"/>
      <c r="J242" s="37"/>
      <c r="K242" s="38"/>
      <c r="L242" s="29"/>
      <c r="M242" s="29"/>
      <c r="N242" s="29"/>
      <c r="O242" s="39"/>
      <c r="P242" s="40">
        <f t="shared" si="12"/>
        <v>0</v>
      </c>
      <c r="Q242" s="40">
        <f t="shared" si="13"/>
        <v>0</v>
      </c>
      <c r="R242" s="40">
        <f t="shared" si="14"/>
        <v>0</v>
      </c>
      <c r="S242" s="41"/>
      <c r="T242" s="41"/>
      <c r="U242" s="41"/>
      <c r="V242" s="41"/>
      <c r="W242" s="41"/>
      <c r="X242" s="41"/>
      <c r="Y242" s="33">
        <f t="shared" si="15"/>
        <v>0</v>
      </c>
    </row>
    <row r="243" spans="4:25" x14ac:dyDescent="0.25">
      <c r="D243" s="69"/>
      <c r="E243" s="34"/>
      <c r="F243" s="34"/>
      <c r="H243" s="35"/>
      <c r="I243" s="36"/>
      <c r="J243" s="37"/>
      <c r="K243" s="38"/>
      <c r="L243" s="29"/>
      <c r="M243" s="29"/>
      <c r="N243" s="29"/>
      <c r="O243" s="39"/>
      <c r="P243" s="40">
        <f t="shared" si="12"/>
        <v>0</v>
      </c>
      <c r="Q243" s="40">
        <f t="shared" si="13"/>
        <v>0</v>
      </c>
      <c r="R243" s="40">
        <f t="shared" si="14"/>
        <v>0</v>
      </c>
      <c r="S243" s="41"/>
      <c r="T243" s="41"/>
      <c r="U243" s="41"/>
      <c r="V243" s="41"/>
      <c r="W243" s="41"/>
      <c r="X243" s="41"/>
      <c r="Y243" s="33">
        <f t="shared" si="15"/>
        <v>0</v>
      </c>
    </row>
    <row r="244" spans="4:25" x14ac:dyDescent="0.25">
      <c r="D244" s="69"/>
      <c r="E244" s="34"/>
      <c r="F244" s="34"/>
      <c r="H244" s="35"/>
      <c r="I244" s="36"/>
      <c r="J244" s="37"/>
      <c r="K244" s="38"/>
      <c r="L244" s="29"/>
      <c r="M244" s="29"/>
      <c r="N244" s="29"/>
      <c r="O244" s="39"/>
      <c r="P244" s="40">
        <f t="shared" si="12"/>
        <v>0</v>
      </c>
      <c r="Q244" s="40">
        <f t="shared" si="13"/>
        <v>0</v>
      </c>
      <c r="R244" s="40">
        <f t="shared" si="14"/>
        <v>0</v>
      </c>
      <c r="S244" s="41"/>
      <c r="T244" s="41"/>
      <c r="U244" s="41"/>
      <c r="V244" s="41"/>
      <c r="W244" s="41"/>
      <c r="X244" s="41"/>
      <c r="Y244" s="33">
        <f t="shared" si="15"/>
        <v>0</v>
      </c>
    </row>
    <row r="245" spans="4:25" x14ac:dyDescent="0.25">
      <c r="D245" s="69"/>
      <c r="E245" s="34"/>
      <c r="F245" s="34"/>
      <c r="H245" s="35"/>
      <c r="I245" s="36"/>
      <c r="J245" s="37"/>
      <c r="K245" s="38"/>
      <c r="L245" s="29"/>
      <c r="M245" s="29"/>
      <c r="N245" s="29"/>
      <c r="O245" s="39"/>
      <c r="P245" s="40">
        <f t="shared" si="12"/>
        <v>0</v>
      </c>
      <c r="Q245" s="40">
        <f t="shared" si="13"/>
        <v>0</v>
      </c>
      <c r="R245" s="40">
        <f t="shared" si="14"/>
        <v>0</v>
      </c>
      <c r="S245" s="41"/>
      <c r="T245" s="41"/>
      <c r="U245" s="41"/>
      <c r="V245" s="41"/>
      <c r="W245" s="41"/>
      <c r="X245" s="41"/>
      <c r="Y245" s="33">
        <f t="shared" si="15"/>
        <v>0</v>
      </c>
    </row>
    <row r="246" spans="4:25" x14ac:dyDescent="0.25">
      <c r="D246" s="69"/>
      <c r="E246" s="34"/>
      <c r="F246" s="34"/>
      <c r="H246" s="35"/>
      <c r="I246" s="36"/>
      <c r="J246" s="37"/>
      <c r="K246" s="38"/>
      <c r="L246" s="29"/>
      <c r="M246" s="29"/>
      <c r="N246" s="29"/>
      <c r="O246" s="39"/>
      <c r="P246" s="40">
        <f t="shared" si="12"/>
        <v>0</v>
      </c>
      <c r="Q246" s="40">
        <f t="shared" si="13"/>
        <v>0</v>
      </c>
      <c r="R246" s="40">
        <f t="shared" si="14"/>
        <v>0</v>
      </c>
      <c r="S246" s="41"/>
      <c r="T246" s="41"/>
      <c r="U246" s="41"/>
      <c r="V246" s="41"/>
      <c r="W246" s="41"/>
      <c r="X246" s="41"/>
      <c r="Y246" s="33">
        <f t="shared" si="15"/>
        <v>0</v>
      </c>
    </row>
    <row r="247" spans="4:25" x14ac:dyDescent="0.25">
      <c r="D247" s="69"/>
      <c r="E247" s="34"/>
      <c r="F247" s="34"/>
      <c r="H247" s="35"/>
      <c r="I247" s="36"/>
      <c r="J247" s="37"/>
      <c r="K247" s="38"/>
      <c r="L247" s="29"/>
      <c r="M247" s="29"/>
      <c r="N247" s="29"/>
      <c r="O247" s="39"/>
      <c r="P247" s="40">
        <f t="shared" si="12"/>
        <v>0</v>
      </c>
      <c r="Q247" s="40">
        <f t="shared" si="13"/>
        <v>0</v>
      </c>
      <c r="R247" s="40">
        <f t="shared" si="14"/>
        <v>0</v>
      </c>
      <c r="S247" s="41"/>
      <c r="T247" s="41"/>
      <c r="U247" s="41"/>
      <c r="V247" s="41"/>
      <c r="W247" s="41"/>
      <c r="X247" s="41"/>
      <c r="Y247" s="33">
        <f t="shared" si="15"/>
        <v>0</v>
      </c>
    </row>
    <row r="248" spans="4:25" x14ac:dyDescent="0.25">
      <c r="D248" s="69"/>
      <c r="E248" s="34"/>
      <c r="F248" s="34"/>
      <c r="H248" s="35"/>
      <c r="I248" s="36"/>
      <c r="J248" s="37"/>
      <c r="K248" s="38"/>
      <c r="L248" s="29"/>
      <c r="M248" s="29"/>
      <c r="N248" s="29"/>
      <c r="O248" s="39"/>
      <c r="P248" s="40">
        <f t="shared" si="12"/>
        <v>0</v>
      </c>
      <c r="Q248" s="40">
        <f t="shared" si="13"/>
        <v>0</v>
      </c>
      <c r="R248" s="40">
        <f t="shared" si="14"/>
        <v>0</v>
      </c>
      <c r="S248" s="41"/>
      <c r="T248" s="41"/>
      <c r="U248" s="41"/>
      <c r="V248" s="41"/>
      <c r="W248" s="41"/>
      <c r="X248" s="41"/>
      <c r="Y248" s="33">
        <f t="shared" si="15"/>
        <v>0</v>
      </c>
    </row>
    <row r="249" spans="4:25" x14ac:dyDescent="0.25">
      <c r="D249" s="69"/>
      <c r="E249" s="34"/>
      <c r="F249" s="34"/>
      <c r="H249" s="35"/>
      <c r="I249" s="36"/>
      <c r="J249" s="37"/>
      <c r="K249" s="38"/>
      <c r="L249" s="29"/>
      <c r="M249" s="29"/>
      <c r="N249" s="29"/>
      <c r="O249" s="39"/>
      <c r="P249" s="40">
        <f t="shared" si="12"/>
        <v>0</v>
      </c>
      <c r="Q249" s="40">
        <f t="shared" si="13"/>
        <v>0</v>
      </c>
      <c r="R249" s="40">
        <f t="shared" si="14"/>
        <v>0</v>
      </c>
      <c r="S249" s="41"/>
      <c r="T249" s="41"/>
      <c r="U249" s="41"/>
      <c r="V249" s="41"/>
      <c r="W249" s="41"/>
      <c r="X249" s="41"/>
      <c r="Y249" s="33">
        <f t="shared" si="15"/>
        <v>0</v>
      </c>
    </row>
    <row r="250" spans="4:25" x14ac:dyDescent="0.25">
      <c r="D250" s="69"/>
      <c r="E250" s="34"/>
      <c r="F250" s="34"/>
      <c r="H250" s="35"/>
      <c r="I250" s="36"/>
      <c r="J250" s="37"/>
      <c r="K250" s="38"/>
      <c r="L250" s="29"/>
      <c r="M250" s="29"/>
      <c r="N250" s="29"/>
      <c r="O250" s="39"/>
      <c r="P250" s="40">
        <f t="shared" si="12"/>
        <v>0</v>
      </c>
      <c r="Q250" s="40">
        <f t="shared" si="13"/>
        <v>0</v>
      </c>
      <c r="R250" s="40">
        <f t="shared" si="14"/>
        <v>0</v>
      </c>
      <c r="S250" s="41"/>
      <c r="T250" s="41"/>
      <c r="U250" s="41"/>
      <c r="V250" s="41"/>
      <c r="W250" s="41"/>
      <c r="X250" s="41"/>
      <c r="Y250" s="33">
        <f t="shared" si="15"/>
        <v>0</v>
      </c>
    </row>
    <row r="251" spans="4:25" x14ac:dyDescent="0.25">
      <c r="D251" s="69"/>
      <c r="E251" s="34"/>
      <c r="F251" s="34"/>
      <c r="H251" s="35"/>
      <c r="I251" s="36"/>
      <c r="J251" s="37"/>
      <c r="K251" s="38"/>
      <c r="L251" s="29"/>
      <c r="M251" s="29"/>
      <c r="N251" s="29"/>
      <c r="O251" s="39"/>
      <c r="P251" s="40">
        <f t="shared" si="12"/>
        <v>0</v>
      </c>
      <c r="Q251" s="40">
        <f t="shared" si="13"/>
        <v>0</v>
      </c>
      <c r="R251" s="40">
        <f t="shared" si="14"/>
        <v>0</v>
      </c>
      <c r="S251" s="41"/>
      <c r="T251" s="41"/>
      <c r="U251" s="41"/>
      <c r="V251" s="41"/>
      <c r="W251" s="41"/>
      <c r="X251" s="41"/>
      <c r="Y251" s="33">
        <f t="shared" si="15"/>
        <v>0</v>
      </c>
    </row>
    <row r="252" spans="4:25" x14ac:dyDescent="0.25">
      <c r="D252" s="69"/>
      <c r="E252" s="34"/>
      <c r="F252" s="34"/>
      <c r="H252" s="35"/>
      <c r="I252" s="36"/>
      <c r="J252" s="37"/>
      <c r="K252" s="38"/>
      <c r="L252" s="29"/>
      <c r="M252" s="29"/>
      <c r="N252" s="29"/>
      <c r="O252" s="39"/>
      <c r="P252" s="40">
        <f t="shared" si="12"/>
        <v>0</v>
      </c>
      <c r="Q252" s="40">
        <f t="shared" si="13"/>
        <v>0</v>
      </c>
      <c r="R252" s="40">
        <f t="shared" si="14"/>
        <v>0</v>
      </c>
      <c r="S252" s="41"/>
      <c r="T252" s="41"/>
      <c r="U252" s="41"/>
      <c r="V252" s="41"/>
      <c r="W252" s="41"/>
      <c r="X252" s="41"/>
      <c r="Y252" s="33">
        <f t="shared" si="15"/>
        <v>0</v>
      </c>
    </row>
    <row r="253" spans="4:25" x14ac:dyDescent="0.25">
      <c r="D253" s="69"/>
      <c r="E253" s="34"/>
      <c r="F253" s="34"/>
      <c r="H253" s="35"/>
      <c r="I253" s="36"/>
      <c r="J253" s="37"/>
      <c r="K253" s="38"/>
      <c r="L253" s="29"/>
      <c r="M253" s="29"/>
      <c r="N253" s="29"/>
      <c r="O253" s="39"/>
      <c r="P253" s="40">
        <f t="shared" si="12"/>
        <v>0</v>
      </c>
      <c r="Q253" s="40">
        <f t="shared" si="13"/>
        <v>0</v>
      </c>
      <c r="R253" s="40">
        <f t="shared" si="14"/>
        <v>0</v>
      </c>
      <c r="S253" s="41"/>
      <c r="T253" s="41"/>
      <c r="U253" s="41"/>
      <c r="V253" s="41"/>
      <c r="W253" s="41"/>
      <c r="X253" s="41"/>
      <c r="Y253" s="33">
        <f t="shared" si="15"/>
        <v>0</v>
      </c>
    </row>
    <row r="254" spans="4:25" x14ac:dyDescent="0.25">
      <c r="D254" s="69"/>
      <c r="E254" s="34"/>
      <c r="F254" s="34"/>
      <c r="H254" s="35"/>
      <c r="I254" s="36"/>
      <c r="J254" s="37"/>
      <c r="K254" s="38"/>
      <c r="L254" s="29"/>
      <c r="M254" s="29"/>
      <c r="N254" s="29"/>
      <c r="O254" s="39"/>
      <c r="P254" s="40">
        <f t="shared" si="12"/>
        <v>0</v>
      </c>
      <c r="Q254" s="40">
        <f t="shared" si="13"/>
        <v>0</v>
      </c>
      <c r="R254" s="40">
        <f t="shared" si="14"/>
        <v>0</v>
      </c>
      <c r="S254" s="41"/>
      <c r="T254" s="41"/>
      <c r="U254" s="41"/>
      <c r="V254" s="41"/>
      <c r="W254" s="41"/>
      <c r="X254" s="41"/>
      <c r="Y254" s="33">
        <f t="shared" si="15"/>
        <v>0</v>
      </c>
    </row>
    <row r="255" spans="4:25" x14ac:dyDescent="0.25">
      <c r="D255" s="69"/>
      <c r="E255" s="34"/>
      <c r="F255" s="34"/>
      <c r="H255" s="35"/>
      <c r="I255" s="36"/>
      <c r="J255" s="37"/>
      <c r="K255" s="38"/>
      <c r="L255" s="29"/>
      <c r="M255" s="29"/>
      <c r="N255" s="29"/>
      <c r="O255" s="39"/>
      <c r="P255" s="40">
        <f t="shared" si="12"/>
        <v>0</v>
      </c>
      <c r="Q255" s="40">
        <f t="shared" si="13"/>
        <v>0</v>
      </c>
      <c r="R255" s="40">
        <f t="shared" si="14"/>
        <v>0</v>
      </c>
      <c r="S255" s="41"/>
      <c r="T255" s="41"/>
      <c r="U255" s="41"/>
      <c r="V255" s="41"/>
      <c r="W255" s="41"/>
      <c r="X255" s="41"/>
      <c r="Y255" s="33">
        <f t="shared" si="15"/>
        <v>0</v>
      </c>
    </row>
    <row r="256" spans="4:25" x14ac:dyDescent="0.25">
      <c r="D256" s="69"/>
      <c r="E256" s="34"/>
      <c r="F256" s="34"/>
      <c r="H256" s="35"/>
      <c r="I256" s="36"/>
      <c r="J256" s="37"/>
      <c r="K256" s="38"/>
      <c r="L256" s="29"/>
      <c r="M256" s="29"/>
      <c r="N256" s="29"/>
      <c r="O256" s="39"/>
      <c r="P256" s="40">
        <f t="shared" si="12"/>
        <v>0</v>
      </c>
      <c r="Q256" s="40">
        <f t="shared" si="13"/>
        <v>0</v>
      </c>
      <c r="R256" s="40">
        <f t="shared" si="14"/>
        <v>0</v>
      </c>
      <c r="S256" s="41"/>
      <c r="T256" s="41"/>
      <c r="U256" s="41"/>
      <c r="V256" s="41"/>
      <c r="W256" s="41"/>
      <c r="X256" s="41"/>
      <c r="Y256" s="33">
        <f t="shared" si="15"/>
        <v>0</v>
      </c>
    </row>
    <row r="257" spans="4:25" x14ac:dyDescent="0.25">
      <c r="D257" s="69"/>
      <c r="E257" s="34"/>
      <c r="F257" s="34"/>
      <c r="H257" s="35"/>
      <c r="I257" s="36"/>
      <c r="J257" s="37"/>
      <c r="K257" s="38"/>
      <c r="L257" s="29"/>
      <c r="M257" s="29"/>
      <c r="N257" s="29"/>
      <c r="O257" s="39"/>
      <c r="P257" s="40">
        <f t="shared" si="12"/>
        <v>0</v>
      </c>
      <c r="Q257" s="40">
        <f t="shared" si="13"/>
        <v>0</v>
      </c>
      <c r="R257" s="40">
        <f t="shared" si="14"/>
        <v>0</v>
      </c>
      <c r="S257" s="41"/>
      <c r="T257" s="41"/>
      <c r="U257" s="41"/>
      <c r="V257" s="41"/>
      <c r="W257" s="41"/>
      <c r="X257" s="41"/>
      <c r="Y257" s="33">
        <f t="shared" si="15"/>
        <v>0</v>
      </c>
    </row>
    <row r="258" spans="4:25" x14ac:dyDescent="0.25">
      <c r="D258" s="69"/>
      <c r="E258" s="34"/>
      <c r="F258" s="34"/>
      <c r="H258" s="35"/>
      <c r="I258" s="36"/>
      <c r="J258" s="37"/>
      <c r="K258" s="38"/>
      <c r="L258" s="29"/>
      <c r="M258" s="29"/>
      <c r="N258" s="29"/>
      <c r="O258" s="39"/>
      <c r="P258" s="40">
        <f t="shared" si="12"/>
        <v>0</v>
      </c>
      <c r="Q258" s="40">
        <f t="shared" si="13"/>
        <v>0</v>
      </c>
      <c r="R258" s="40">
        <f t="shared" si="14"/>
        <v>0</v>
      </c>
      <c r="S258" s="41"/>
      <c r="T258" s="41"/>
      <c r="U258" s="41"/>
      <c r="V258" s="41"/>
      <c r="W258" s="41"/>
      <c r="X258" s="41"/>
      <c r="Y258" s="33">
        <f t="shared" si="15"/>
        <v>0</v>
      </c>
    </row>
    <row r="259" spans="4:25" x14ac:dyDescent="0.25">
      <c r="D259" s="69"/>
      <c r="E259" s="34"/>
      <c r="F259" s="34"/>
      <c r="H259" s="35"/>
      <c r="I259" s="36"/>
      <c r="J259" s="37"/>
      <c r="K259" s="38"/>
      <c r="L259" s="29"/>
      <c r="M259" s="29"/>
      <c r="N259" s="29"/>
      <c r="O259" s="39"/>
      <c r="P259" s="40">
        <f t="shared" ref="P259:P302" si="16">$L259*$O259</f>
        <v>0</v>
      </c>
      <c r="Q259" s="40">
        <f t="shared" si="13"/>
        <v>0</v>
      </c>
      <c r="R259" s="40">
        <f t="shared" si="14"/>
        <v>0</v>
      </c>
      <c r="S259" s="41"/>
      <c r="T259" s="41"/>
      <c r="U259" s="41"/>
      <c r="V259" s="41"/>
      <c r="W259" s="41"/>
      <c r="X259" s="41"/>
      <c r="Y259" s="33">
        <f t="shared" si="15"/>
        <v>0</v>
      </c>
    </row>
    <row r="260" spans="4:25" x14ac:dyDescent="0.25">
      <c r="D260" s="69"/>
      <c r="E260" s="34"/>
      <c r="F260" s="34"/>
      <c r="H260" s="35"/>
      <c r="I260" s="36"/>
      <c r="J260" s="37"/>
      <c r="K260" s="38"/>
      <c r="L260" s="29"/>
      <c r="M260" s="29"/>
      <c r="N260" s="29"/>
      <c r="O260" s="39"/>
      <c r="P260" s="40">
        <f t="shared" si="16"/>
        <v>0</v>
      </c>
      <c r="Q260" s="40">
        <f t="shared" ref="Q260:Q302" si="17">IF(E260="NE",(M260*O260*1.5),(M260*O260))</f>
        <v>0</v>
      </c>
      <c r="R260" s="40">
        <f t="shared" ref="R260:R302" si="18">P260+Q260</f>
        <v>0</v>
      </c>
      <c r="S260" s="41"/>
      <c r="T260" s="41"/>
      <c r="U260" s="41"/>
      <c r="V260" s="41"/>
      <c r="W260" s="41"/>
      <c r="X260" s="41"/>
      <c r="Y260" s="33">
        <f t="shared" ref="Y260:Y302" si="19">SUM(R260:X260)</f>
        <v>0</v>
      </c>
    </row>
    <row r="261" spans="4:25" x14ac:dyDescent="0.25">
      <c r="D261" s="69"/>
      <c r="E261" s="34"/>
      <c r="F261" s="34"/>
      <c r="H261" s="35"/>
      <c r="I261" s="36"/>
      <c r="J261" s="37"/>
      <c r="K261" s="38"/>
      <c r="L261" s="29"/>
      <c r="M261" s="29"/>
      <c r="N261" s="29"/>
      <c r="O261" s="39"/>
      <c r="P261" s="40">
        <f t="shared" si="16"/>
        <v>0</v>
      </c>
      <c r="Q261" s="40">
        <f t="shared" si="17"/>
        <v>0</v>
      </c>
      <c r="R261" s="40">
        <f t="shared" si="18"/>
        <v>0</v>
      </c>
      <c r="S261" s="41"/>
      <c r="T261" s="41"/>
      <c r="U261" s="41"/>
      <c r="V261" s="41"/>
      <c r="W261" s="41"/>
      <c r="X261" s="41"/>
      <c r="Y261" s="33">
        <f t="shared" si="19"/>
        <v>0</v>
      </c>
    </row>
    <row r="262" spans="4:25" x14ac:dyDescent="0.25">
      <c r="D262" s="69"/>
      <c r="E262" s="34"/>
      <c r="F262" s="34"/>
      <c r="G262" s="38"/>
      <c r="H262" s="35"/>
      <c r="I262" s="36"/>
      <c r="J262" s="37"/>
      <c r="K262" s="38"/>
      <c r="L262" s="29"/>
      <c r="M262" s="29"/>
      <c r="N262" s="29"/>
      <c r="O262" s="39"/>
      <c r="P262" s="40">
        <f t="shared" si="16"/>
        <v>0</v>
      </c>
      <c r="Q262" s="40">
        <f t="shared" si="17"/>
        <v>0</v>
      </c>
      <c r="R262" s="40">
        <f t="shared" si="18"/>
        <v>0</v>
      </c>
      <c r="S262" s="41"/>
      <c r="T262" s="41"/>
      <c r="U262" s="41"/>
      <c r="V262" s="41"/>
      <c r="W262" s="41"/>
      <c r="X262" s="41"/>
      <c r="Y262" s="33">
        <f t="shared" si="19"/>
        <v>0</v>
      </c>
    </row>
    <row r="263" spans="4:25" x14ac:dyDescent="0.25">
      <c r="D263" s="69"/>
      <c r="E263" s="34"/>
      <c r="F263" s="34"/>
      <c r="G263" s="38"/>
      <c r="H263" s="35"/>
      <c r="I263" s="36"/>
      <c r="J263" s="37"/>
      <c r="K263" s="38"/>
      <c r="L263" s="29"/>
      <c r="M263" s="29"/>
      <c r="N263" s="29"/>
      <c r="O263" s="39"/>
      <c r="P263" s="40">
        <f t="shared" si="16"/>
        <v>0</v>
      </c>
      <c r="Q263" s="40">
        <f t="shared" si="17"/>
        <v>0</v>
      </c>
      <c r="R263" s="40">
        <f t="shared" si="18"/>
        <v>0</v>
      </c>
      <c r="S263" s="41"/>
      <c r="T263" s="41"/>
      <c r="U263" s="41"/>
      <c r="V263" s="41"/>
      <c r="W263" s="41"/>
      <c r="X263" s="41"/>
      <c r="Y263" s="33">
        <f t="shared" si="19"/>
        <v>0</v>
      </c>
    </row>
    <row r="264" spans="4:25" x14ac:dyDescent="0.25">
      <c r="D264" s="69"/>
      <c r="E264" s="34"/>
      <c r="F264" s="34"/>
      <c r="H264" s="35"/>
      <c r="I264" s="36"/>
      <c r="J264" s="37"/>
      <c r="K264" s="38"/>
      <c r="L264" s="29"/>
      <c r="M264" s="29"/>
      <c r="N264" s="29"/>
      <c r="O264" s="39"/>
      <c r="P264" s="40">
        <f t="shared" si="16"/>
        <v>0</v>
      </c>
      <c r="Q264" s="40">
        <f t="shared" si="17"/>
        <v>0</v>
      </c>
      <c r="R264" s="40">
        <f t="shared" si="18"/>
        <v>0</v>
      </c>
      <c r="S264" s="41"/>
      <c r="T264" s="41"/>
      <c r="U264" s="41"/>
      <c r="V264" s="41"/>
      <c r="W264" s="41"/>
      <c r="X264" s="41"/>
      <c r="Y264" s="33">
        <f t="shared" si="19"/>
        <v>0</v>
      </c>
    </row>
    <row r="265" spans="4:25" x14ac:dyDescent="0.25">
      <c r="D265" s="69"/>
      <c r="E265" s="34"/>
      <c r="F265" s="34"/>
      <c r="H265" s="35"/>
      <c r="I265" s="36"/>
      <c r="J265" s="37"/>
      <c r="K265" s="38"/>
      <c r="L265" s="29"/>
      <c r="M265" s="29"/>
      <c r="N265" s="29"/>
      <c r="O265" s="39"/>
      <c r="P265" s="40">
        <f t="shared" si="16"/>
        <v>0</v>
      </c>
      <c r="Q265" s="40">
        <f t="shared" si="17"/>
        <v>0</v>
      </c>
      <c r="R265" s="40">
        <f t="shared" si="18"/>
        <v>0</v>
      </c>
      <c r="S265" s="41"/>
      <c r="T265" s="41"/>
      <c r="U265" s="41"/>
      <c r="V265" s="41"/>
      <c r="W265" s="41"/>
      <c r="X265" s="41"/>
      <c r="Y265" s="33">
        <f t="shared" si="19"/>
        <v>0</v>
      </c>
    </row>
    <row r="266" spans="4:25" x14ac:dyDescent="0.25">
      <c r="D266" s="69"/>
      <c r="E266" s="34"/>
      <c r="F266" s="34"/>
      <c r="H266" s="35"/>
      <c r="I266" s="36"/>
      <c r="J266" s="37"/>
      <c r="K266" s="38"/>
      <c r="L266" s="29"/>
      <c r="M266" s="29"/>
      <c r="N266" s="29"/>
      <c r="O266" s="39"/>
      <c r="P266" s="40">
        <f t="shared" si="16"/>
        <v>0</v>
      </c>
      <c r="Q266" s="40">
        <f t="shared" si="17"/>
        <v>0</v>
      </c>
      <c r="R266" s="40">
        <f t="shared" si="18"/>
        <v>0</v>
      </c>
      <c r="S266" s="41"/>
      <c r="T266" s="41"/>
      <c r="U266" s="41"/>
      <c r="V266" s="41"/>
      <c r="W266" s="41"/>
      <c r="X266" s="41"/>
      <c r="Y266" s="33">
        <f t="shared" si="19"/>
        <v>0</v>
      </c>
    </row>
    <row r="267" spans="4:25" x14ac:dyDescent="0.25">
      <c r="D267" s="69"/>
      <c r="E267" s="34"/>
      <c r="F267" s="34"/>
      <c r="H267" s="35"/>
      <c r="I267" s="36"/>
      <c r="J267" s="37"/>
      <c r="K267" s="38"/>
      <c r="L267" s="29"/>
      <c r="M267" s="29"/>
      <c r="N267" s="29"/>
      <c r="O267" s="39"/>
      <c r="P267" s="40">
        <f t="shared" si="16"/>
        <v>0</v>
      </c>
      <c r="Q267" s="40">
        <f t="shared" si="17"/>
        <v>0</v>
      </c>
      <c r="R267" s="40">
        <f t="shared" si="18"/>
        <v>0</v>
      </c>
      <c r="S267" s="41"/>
      <c r="T267" s="41"/>
      <c r="U267" s="41"/>
      <c r="V267" s="41"/>
      <c r="W267" s="41"/>
      <c r="X267" s="41"/>
      <c r="Y267" s="33">
        <f t="shared" si="19"/>
        <v>0</v>
      </c>
    </row>
    <row r="268" spans="4:25" x14ac:dyDescent="0.25">
      <c r="D268" s="69"/>
      <c r="E268" s="34"/>
      <c r="F268" s="34"/>
      <c r="H268" s="35"/>
      <c r="I268" s="36"/>
      <c r="J268" s="37"/>
      <c r="K268" s="38"/>
      <c r="L268" s="29"/>
      <c r="M268" s="29"/>
      <c r="N268" s="29"/>
      <c r="O268" s="39"/>
      <c r="P268" s="40">
        <f t="shared" si="16"/>
        <v>0</v>
      </c>
      <c r="Q268" s="40">
        <f t="shared" si="17"/>
        <v>0</v>
      </c>
      <c r="R268" s="40">
        <f t="shared" si="18"/>
        <v>0</v>
      </c>
      <c r="S268" s="41"/>
      <c r="T268" s="41"/>
      <c r="U268" s="41"/>
      <c r="V268" s="41"/>
      <c r="W268" s="41"/>
      <c r="X268" s="41"/>
      <c r="Y268" s="33">
        <f t="shared" si="19"/>
        <v>0</v>
      </c>
    </row>
    <row r="269" spans="4:25" x14ac:dyDescent="0.25">
      <c r="D269" s="69"/>
      <c r="E269" s="34"/>
      <c r="F269" s="34"/>
      <c r="H269" s="35"/>
      <c r="I269" s="36"/>
      <c r="J269" s="37"/>
      <c r="K269" s="38"/>
      <c r="L269" s="29"/>
      <c r="M269" s="29"/>
      <c r="N269" s="29"/>
      <c r="O269" s="39"/>
      <c r="P269" s="40">
        <f t="shared" si="16"/>
        <v>0</v>
      </c>
      <c r="Q269" s="40">
        <f t="shared" si="17"/>
        <v>0</v>
      </c>
      <c r="R269" s="40">
        <f t="shared" si="18"/>
        <v>0</v>
      </c>
      <c r="S269" s="41"/>
      <c r="T269" s="41"/>
      <c r="U269" s="41"/>
      <c r="V269" s="41"/>
      <c r="W269" s="41"/>
      <c r="X269" s="41"/>
      <c r="Y269" s="33">
        <f t="shared" si="19"/>
        <v>0</v>
      </c>
    </row>
    <row r="270" spans="4:25" x14ac:dyDescent="0.25">
      <c r="D270" s="69"/>
      <c r="E270" s="34"/>
      <c r="F270" s="34"/>
      <c r="H270" s="35"/>
      <c r="I270" s="36"/>
      <c r="J270" s="37"/>
      <c r="K270" s="38"/>
      <c r="L270" s="29"/>
      <c r="M270" s="29"/>
      <c r="N270" s="29"/>
      <c r="O270" s="39"/>
      <c r="P270" s="40">
        <f t="shared" si="16"/>
        <v>0</v>
      </c>
      <c r="Q270" s="40">
        <f t="shared" si="17"/>
        <v>0</v>
      </c>
      <c r="R270" s="40">
        <f t="shared" si="18"/>
        <v>0</v>
      </c>
      <c r="S270" s="41"/>
      <c r="T270" s="41"/>
      <c r="U270" s="41"/>
      <c r="V270" s="41"/>
      <c r="W270" s="41"/>
      <c r="X270" s="41"/>
      <c r="Y270" s="33">
        <f t="shared" si="19"/>
        <v>0</v>
      </c>
    </row>
    <row r="271" spans="4:25" x14ac:dyDescent="0.25">
      <c r="D271" s="69"/>
      <c r="E271" s="34"/>
      <c r="F271" s="34"/>
      <c r="H271" s="35"/>
      <c r="I271" s="36"/>
      <c r="J271" s="37"/>
      <c r="K271" s="38"/>
      <c r="L271" s="29"/>
      <c r="M271" s="29"/>
      <c r="N271" s="29"/>
      <c r="O271" s="39"/>
      <c r="P271" s="40">
        <f t="shared" si="16"/>
        <v>0</v>
      </c>
      <c r="Q271" s="40">
        <f t="shared" si="17"/>
        <v>0</v>
      </c>
      <c r="R271" s="40">
        <f t="shared" si="18"/>
        <v>0</v>
      </c>
      <c r="S271" s="41"/>
      <c r="T271" s="41"/>
      <c r="U271" s="41"/>
      <c r="V271" s="41"/>
      <c r="W271" s="41"/>
      <c r="X271" s="41"/>
      <c r="Y271" s="33">
        <f t="shared" si="19"/>
        <v>0</v>
      </c>
    </row>
    <row r="272" spans="4:25" x14ac:dyDescent="0.25">
      <c r="D272" s="69"/>
      <c r="E272" s="34"/>
      <c r="F272" s="34"/>
      <c r="H272" s="35"/>
      <c r="I272" s="36"/>
      <c r="J272" s="37"/>
      <c r="K272" s="38"/>
      <c r="L272" s="29"/>
      <c r="M272" s="29"/>
      <c r="N272" s="29"/>
      <c r="O272" s="39"/>
      <c r="P272" s="40">
        <f t="shared" si="16"/>
        <v>0</v>
      </c>
      <c r="Q272" s="40">
        <f t="shared" si="17"/>
        <v>0</v>
      </c>
      <c r="R272" s="40">
        <f t="shared" si="18"/>
        <v>0</v>
      </c>
      <c r="S272" s="41"/>
      <c r="T272" s="41"/>
      <c r="U272" s="41"/>
      <c r="V272" s="41"/>
      <c r="W272" s="41"/>
      <c r="X272" s="41"/>
      <c r="Y272" s="33">
        <f t="shared" si="19"/>
        <v>0</v>
      </c>
    </row>
    <row r="273" spans="4:25" x14ac:dyDescent="0.25">
      <c r="D273" s="69"/>
      <c r="E273" s="34"/>
      <c r="F273" s="34"/>
      <c r="H273" s="35"/>
      <c r="I273" s="36"/>
      <c r="J273" s="37"/>
      <c r="K273" s="38"/>
      <c r="L273" s="29"/>
      <c r="M273" s="29"/>
      <c r="N273" s="29"/>
      <c r="O273" s="39"/>
      <c r="P273" s="40">
        <f t="shared" si="16"/>
        <v>0</v>
      </c>
      <c r="Q273" s="40">
        <f t="shared" si="17"/>
        <v>0</v>
      </c>
      <c r="R273" s="40">
        <f t="shared" si="18"/>
        <v>0</v>
      </c>
      <c r="S273" s="41"/>
      <c r="T273" s="41"/>
      <c r="U273" s="41"/>
      <c r="V273" s="41"/>
      <c r="W273" s="41"/>
      <c r="X273" s="41"/>
      <c r="Y273" s="33">
        <f t="shared" si="19"/>
        <v>0</v>
      </c>
    </row>
    <row r="274" spans="4:25" x14ac:dyDescent="0.25">
      <c r="D274" s="69"/>
      <c r="E274" s="34"/>
      <c r="F274" s="34"/>
      <c r="H274" s="35"/>
      <c r="I274" s="36"/>
      <c r="J274" s="37"/>
      <c r="K274" s="38"/>
      <c r="L274" s="29"/>
      <c r="M274" s="29"/>
      <c r="N274" s="29"/>
      <c r="O274" s="39"/>
      <c r="P274" s="40">
        <f t="shared" si="16"/>
        <v>0</v>
      </c>
      <c r="Q274" s="40">
        <f t="shared" si="17"/>
        <v>0</v>
      </c>
      <c r="R274" s="40">
        <f t="shared" si="18"/>
        <v>0</v>
      </c>
      <c r="S274" s="41"/>
      <c r="T274" s="41"/>
      <c r="U274" s="41"/>
      <c r="V274" s="41"/>
      <c r="W274" s="41"/>
      <c r="X274" s="41"/>
      <c r="Y274" s="33">
        <f t="shared" si="19"/>
        <v>0</v>
      </c>
    </row>
    <row r="275" spans="4:25" x14ac:dyDescent="0.25">
      <c r="D275" s="69"/>
      <c r="E275" s="34"/>
      <c r="F275" s="34"/>
      <c r="H275" s="35"/>
      <c r="I275" s="36"/>
      <c r="J275" s="37"/>
      <c r="K275" s="38"/>
      <c r="L275" s="29"/>
      <c r="M275" s="29"/>
      <c r="N275" s="29"/>
      <c r="O275" s="39"/>
      <c r="P275" s="40">
        <f t="shared" si="16"/>
        <v>0</v>
      </c>
      <c r="Q275" s="40">
        <f t="shared" si="17"/>
        <v>0</v>
      </c>
      <c r="R275" s="40">
        <f t="shared" si="18"/>
        <v>0</v>
      </c>
      <c r="S275" s="41"/>
      <c r="T275" s="41"/>
      <c r="U275" s="41"/>
      <c r="V275" s="41"/>
      <c r="W275" s="41"/>
      <c r="X275" s="41"/>
      <c r="Y275" s="33">
        <f t="shared" si="19"/>
        <v>0</v>
      </c>
    </row>
    <row r="276" spans="4:25" x14ac:dyDescent="0.25">
      <c r="D276" s="69"/>
      <c r="E276" s="34"/>
      <c r="F276" s="34"/>
      <c r="H276" s="35"/>
      <c r="I276" s="36"/>
      <c r="J276" s="37"/>
      <c r="K276" s="38"/>
      <c r="L276" s="29"/>
      <c r="M276" s="29"/>
      <c r="N276" s="29"/>
      <c r="O276" s="39"/>
      <c r="P276" s="40">
        <f t="shared" si="16"/>
        <v>0</v>
      </c>
      <c r="Q276" s="40">
        <f t="shared" si="17"/>
        <v>0</v>
      </c>
      <c r="R276" s="40">
        <f t="shared" si="18"/>
        <v>0</v>
      </c>
      <c r="S276" s="41"/>
      <c r="T276" s="41"/>
      <c r="U276" s="41"/>
      <c r="V276" s="41"/>
      <c r="W276" s="41"/>
      <c r="X276" s="41"/>
      <c r="Y276" s="33">
        <f t="shared" si="19"/>
        <v>0</v>
      </c>
    </row>
    <row r="277" spans="4:25" x14ac:dyDescent="0.25">
      <c r="D277" s="69"/>
      <c r="E277" s="34"/>
      <c r="F277" s="34"/>
      <c r="H277" s="35"/>
      <c r="I277" s="36"/>
      <c r="J277" s="37"/>
      <c r="K277" s="38"/>
      <c r="L277" s="29"/>
      <c r="M277" s="29"/>
      <c r="N277" s="29"/>
      <c r="O277" s="39"/>
      <c r="P277" s="40">
        <f t="shared" si="16"/>
        <v>0</v>
      </c>
      <c r="Q277" s="40">
        <f t="shared" si="17"/>
        <v>0</v>
      </c>
      <c r="R277" s="40">
        <f t="shared" si="18"/>
        <v>0</v>
      </c>
      <c r="S277" s="41"/>
      <c r="T277" s="41"/>
      <c r="U277" s="41"/>
      <c r="V277" s="41"/>
      <c r="W277" s="41"/>
      <c r="X277" s="41"/>
      <c r="Y277" s="33">
        <f t="shared" si="19"/>
        <v>0</v>
      </c>
    </row>
    <row r="278" spans="4:25" x14ac:dyDescent="0.25">
      <c r="D278" s="69"/>
      <c r="E278" s="34"/>
      <c r="F278" s="34"/>
      <c r="H278" s="35"/>
      <c r="I278" s="36"/>
      <c r="J278" s="37"/>
      <c r="K278" s="38"/>
      <c r="L278" s="29"/>
      <c r="M278" s="29"/>
      <c r="N278" s="29"/>
      <c r="O278" s="39"/>
      <c r="P278" s="40">
        <f t="shared" si="16"/>
        <v>0</v>
      </c>
      <c r="Q278" s="40">
        <f t="shared" si="17"/>
        <v>0</v>
      </c>
      <c r="R278" s="40">
        <f t="shared" si="18"/>
        <v>0</v>
      </c>
      <c r="S278" s="41"/>
      <c r="T278" s="41"/>
      <c r="U278" s="41"/>
      <c r="V278" s="41"/>
      <c r="W278" s="41"/>
      <c r="X278" s="41"/>
      <c r="Y278" s="33">
        <f t="shared" si="19"/>
        <v>0</v>
      </c>
    </row>
    <row r="279" spans="4:25" x14ac:dyDescent="0.25">
      <c r="D279" s="69"/>
      <c r="E279" s="34"/>
      <c r="F279" s="34"/>
      <c r="H279" s="35"/>
      <c r="I279" s="36"/>
      <c r="J279" s="37"/>
      <c r="K279" s="38"/>
      <c r="L279" s="29"/>
      <c r="M279" s="29"/>
      <c r="N279" s="29"/>
      <c r="O279" s="39"/>
      <c r="P279" s="40">
        <f t="shared" si="16"/>
        <v>0</v>
      </c>
      <c r="Q279" s="40">
        <f t="shared" si="17"/>
        <v>0</v>
      </c>
      <c r="R279" s="40">
        <f t="shared" si="18"/>
        <v>0</v>
      </c>
      <c r="S279" s="41"/>
      <c r="T279" s="41"/>
      <c r="U279" s="41"/>
      <c r="V279" s="41"/>
      <c r="W279" s="41"/>
      <c r="X279" s="41"/>
      <c r="Y279" s="33">
        <f t="shared" si="19"/>
        <v>0</v>
      </c>
    </row>
    <row r="280" spans="4:25" x14ac:dyDescent="0.25">
      <c r="D280" s="69"/>
      <c r="E280" s="34"/>
      <c r="F280" s="34"/>
      <c r="H280" s="35"/>
      <c r="I280" s="36"/>
      <c r="J280" s="37"/>
      <c r="K280" s="38"/>
      <c r="L280" s="29"/>
      <c r="M280" s="29"/>
      <c r="N280" s="29"/>
      <c r="O280" s="39"/>
      <c r="P280" s="40">
        <f t="shared" si="16"/>
        <v>0</v>
      </c>
      <c r="Q280" s="40">
        <f t="shared" si="17"/>
        <v>0</v>
      </c>
      <c r="R280" s="40">
        <f t="shared" si="18"/>
        <v>0</v>
      </c>
      <c r="S280" s="41"/>
      <c r="T280" s="41"/>
      <c r="U280" s="41"/>
      <c r="V280" s="41"/>
      <c r="W280" s="41"/>
      <c r="X280" s="41"/>
      <c r="Y280" s="33">
        <f t="shared" si="19"/>
        <v>0</v>
      </c>
    </row>
    <row r="281" spans="4:25" x14ac:dyDescent="0.25">
      <c r="D281" s="69"/>
      <c r="E281" s="34"/>
      <c r="F281" s="34"/>
      <c r="H281" s="35"/>
      <c r="I281" s="36"/>
      <c r="J281" s="37"/>
      <c r="K281" s="38"/>
      <c r="L281" s="29"/>
      <c r="M281" s="29"/>
      <c r="N281" s="29"/>
      <c r="O281" s="39"/>
      <c r="P281" s="40">
        <f t="shared" si="16"/>
        <v>0</v>
      </c>
      <c r="Q281" s="40">
        <f t="shared" si="17"/>
        <v>0</v>
      </c>
      <c r="R281" s="40">
        <f t="shared" si="18"/>
        <v>0</v>
      </c>
      <c r="S281" s="41"/>
      <c r="T281" s="41"/>
      <c r="U281" s="41"/>
      <c r="V281" s="41"/>
      <c r="W281" s="41"/>
      <c r="X281" s="41"/>
      <c r="Y281" s="33">
        <f t="shared" si="19"/>
        <v>0</v>
      </c>
    </row>
    <row r="282" spans="4:25" x14ac:dyDescent="0.25">
      <c r="D282" s="69"/>
      <c r="E282" s="34"/>
      <c r="F282" s="34"/>
      <c r="H282" s="35"/>
      <c r="I282" s="36"/>
      <c r="J282" s="37"/>
      <c r="K282" s="38"/>
      <c r="L282" s="29"/>
      <c r="M282" s="29"/>
      <c r="N282" s="29"/>
      <c r="O282" s="39"/>
      <c r="P282" s="40">
        <f t="shared" si="16"/>
        <v>0</v>
      </c>
      <c r="Q282" s="40">
        <f t="shared" si="17"/>
        <v>0</v>
      </c>
      <c r="R282" s="40">
        <f t="shared" si="18"/>
        <v>0</v>
      </c>
      <c r="S282" s="41"/>
      <c r="T282" s="41"/>
      <c r="U282" s="41"/>
      <c r="V282" s="41"/>
      <c r="W282" s="41"/>
      <c r="X282" s="41"/>
      <c r="Y282" s="33">
        <f t="shared" si="19"/>
        <v>0</v>
      </c>
    </row>
    <row r="283" spans="4:25" x14ac:dyDescent="0.25">
      <c r="D283" s="69"/>
      <c r="E283" s="34"/>
      <c r="F283" s="34"/>
      <c r="H283" s="35"/>
      <c r="I283" s="36"/>
      <c r="J283" s="37"/>
      <c r="K283" s="38"/>
      <c r="L283" s="29"/>
      <c r="M283" s="29"/>
      <c r="N283" s="29"/>
      <c r="O283" s="39"/>
      <c r="P283" s="40">
        <f t="shared" si="16"/>
        <v>0</v>
      </c>
      <c r="Q283" s="40">
        <f t="shared" si="17"/>
        <v>0</v>
      </c>
      <c r="R283" s="40">
        <f t="shared" si="18"/>
        <v>0</v>
      </c>
      <c r="S283" s="41"/>
      <c r="T283" s="41"/>
      <c r="U283" s="41"/>
      <c r="V283" s="41"/>
      <c r="W283" s="41"/>
      <c r="X283" s="41"/>
      <c r="Y283" s="33">
        <f t="shared" si="19"/>
        <v>0</v>
      </c>
    </row>
    <row r="284" spans="4:25" x14ac:dyDescent="0.25">
      <c r="D284" s="69"/>
      <c r="E284" s="34"/>
      <c r="F284" s="34"/>
      <c r="H284" s="35"/>
      <c r="I284" s="36"/>
      <c r="J284" s="37"/>
      <c r="K284" s="38"/>
      <c r="L284" s="29"/>
      <c r="M284" s="29"/>
      <c r="N284" s="29"/>
      <c r="O284" s="39"/>
      <c r="P284" s="40">
        <f t="shared" si="16"/>
        <v>0</v>
      </c>
      <c r="Q284" s="40">
        <f t="shared" si="17"/>
        <v>0</v>
      </c>
      <c r="R284" s="40">
        <f t="shared" si="18"/>
        <v>0</v>
      </c>
      <c r="S284" s="41"/>
      <c r="T284" s="41"/>
      <c r="U284" s="41"/>
      <c r="V284" s="41"/>
      <c r="W284" s="41"/>
      <c r="X284" s="41"/>
      <c r="Y284" s="33">
        <f t="shared" si="19"/>
        <v>0</v>
      </c>
    </row>
    <row r="285" spans="4:25" x14ac:dyDescent="0.25">
      <c r="D285" s="69"/>
      <c r="E285" s="34"/>
      <c r="F285" s="34"/>
      <c r="H285" s="35"/>
      <c r="I285" s="36"/>
      <c r="J285" s="37"/>
      <c r="K285" s="38"/>
      <c r="L285" s="29"/>
      <c r="M285" s="29"/>
      <c r="N285" s="29"/>
      <c r="O285" s="39"/>
      <c r="P285" s="40">
        <f t="shared" si="16"/>
        <v>0</v>
      </c>
      <c r="Q285" s="40">
        <f t="shared" si="17"/>
        <v>0</v>
      </c>
      <c r="R285" s="40">
        <f t="shared" si="18"/>
        <v>0</v>
      </c>
      <c r="S285" s="41"/>
      <c r="T285" s="41"/>
      <c r="U285" s="41"/>
      <c r="V285" s="41"/>
      <c r="W285" s="41"/>
      <c r="X285" s="41"/>
      <c r="Y285" s="33">
        <f t="shared" si="19"/>
        <v>0</v>
      </c>
    </row>
    <row r="286" spans="4:25" x14ac:dyDescent="0.25">
      <c r="D286" s="69"/>
      <c r="E286" s="34"/>
      <c r="F286" s="34"/>
      <c r="H286" s="35"/>
      <c r="I286" s="36"/>
      <c r="J286" s="37"/>
      <c r="K286" s="38"/>
      <c r="L286" s="29"/>
      <c r="M286" s="29"/>
      <c r="N286" s="29"/>
      <c r="O286" s="39"/>
      <c r="P286" s="40">
        <f t="shared" si="16"/>
        <v>0</v>
      </c>
      <c r="Q286" s="40">
        <f t="shared" si="17"/>
        <v>0</v>
      </c>
      <c r="R286" s="40">
        <f t="shared" si="18"/>
        <v>0</v>
      </c>
      <c r="S286" s="41"/>
      <c r="T286" s="41"/>
      <c r="U286" s="41"/>
      <c r="V286" s="41"/>
      <c r="W286" s="41"/>
      <c r="X286" s="41"/>
      <c r="Y286" s="33">
        <f t="shared" si="19"/>
        <v>0</v>
      </c>
    </row>
    <row r="287" spans="4:25" x14ac:dyDescent="0.25">
      <c r="D287" s="69"/>
      <c r="E287" s="34"/>
      <c r="F287" s="34"/>
      <c r="H287" s="35"/>
      <c r="I287" s="36"/>
      <c r="J287" s="37"/>
      <c r="K287" s="38"/>
      <c r="L287" s="29"/>
      <c r="M287" s="29"/>
      <c r="N287" s="29"/>
      <c r="O287" s="39"/>
      <c r="P287" s="40">
        <f t="shared" si="16"/>
        <v>0</v>
      </c>
      <c r="Q287" s="40">
        <f t="shared" si="17"/>
        <v>0</v>
      </c>
      <c r="R287" s="40">
        <f t="shared" si="18"/>
        <v>0</v>
      </c>
      <c r="S287" s="41"/>
      <c r="T287" s="41"/>
      <c r="U287" s="41"/>
      <c r="V287" s="41"/>
      <c r="W287" s="41"/>
      <c r="X287" s="41"/>
      <c r="Y287" s="33">
        <f t="shared" si="19"/>
        <v>0</v>
      </c>
    </row>
    <row r="288" spans="4:25" x14ac:dyDescent="0.25">
      <c r="D288" s="69"/>
      <c r="E288" s="34"/>
      <c r="F288" s="34"/>
      <c r="H288" s="35"/>
      <c r="I288" s="36"/>
      <c r="J288" s="37"/>
      <c r="K288" s="38"/>
      <c r="L288" s="29"/>
      <c r="M288" s="29"/>
      <c r="N288" s="29"/>
      <c r="O288" s="39"/>
      <c r="P288" s="40">
        <f t="shared" si="16"/>
        <v>0</v>
      </c>
      <c r="Q288" s="40">
        <f t="shared" si="17"/>
        <v>0</v>
      </c>
      <c r="R288" s="40">
        <f t="shared" si="18"/>
        <v>0</v>
      </c>
      <c r="S288" s="41"/>
      <c r="T288" s="41"/>
      <c r="U288" s="41"/>
      <c r="V288" s="41"/>
      <c r="W288" s="41"/>
      <c r="X288" s="41"/>
      <c r="Y288" s="33">
        <f t="shared" si="19"/>
        <v>0</v>
      </c>
    </row>
    <row r="289" spans="4:25" x14ac:dyDescent="0.25">
      <c r="D289" s="69"/>
      <c r="E289" s="34"/>
      <c r="F289" s="34"/>
      <c r="H289" s="35"/>
      <c r="I289" s="36"/>
      <c r="J289" s="37"/>
      <c r="K289" s="38"/>
      <c r="L289" s="29"/>
      <c r="M289" s="29"/>
      <c r="N289" s="29"/>
      <c r="O289" s="39"/>
      <c r="P289" s="40">
        <f t="shared" si="16"/>
        <v>0</v>
      </c>
      <c r="Q289" s="40">
        <f t="shared" si="17"/>
        <v>0</v>
      </c>
      <c r="R289" s="40">
        <f t="shared" si="18"/>
        <v>0</v>
      </c>
      <c r="S289" s="41"/>
      <c r="T289" s="41"/>
      <c r="U289" s="41"/>
      <c r="V289" s="41"/>
      <c r="W289" s="41"/>
      <c r="X289" s="41"/>
      <c r="Y289" s="33">
        <f t="shared" si="19"/>
        <v>0</v>
      </c>
    </row>
    <row r="290" spans="4:25" x14ac:dyDescent="0.25">
      <c r="D290" s="69"/>
      <c r="E290" s="34"/>
      <c r="F290" s="34"/>
      <c r="H290" s="35"/>
      <c r="I290" s="36"/>
      <c r="J290" s="37"/>
      <c r="K290" s="38"/>
      <c r="L290" s="29"/>
      <c r="M290" s="29"/>
      <c r="N290" s="29"/>
      <c r="O290" s="39"/>
      <c r="P290" s="40">
        <f t="shared" si="16"/>
        <v>0</v>
      </c>
      <c r="Q290" s="40">
        <f t="shared" si="17"/>
        <v>0</v>
      </c>
      <c r="R290" s="40">
        <f t="shared" si="18"/>
        <v>0</v>
      </c>
      <c r="S290" s="41"/>
      <c r="T290" s="41"/>
      <c r="U290" s="41"/>
      <c r="V290" s="41"/>
      <c r="W290" s="41"/>
      <c r="X290" s="41"/>
      <c r="Y290" s="33">
        <f t="shared" si="19"/>
        <v>0</v>
      </c>
    </row>
    <row r="291" spans="4:25" x14ac:dyDescent="0.25">
      <c r="D291" s="69"/>
      <c r="E291" s="34"/>
      <c r="F291" s="34"/>
      <c r="H291" s="35"/>
      <c r="I291" s="36"/>
      <c r="J291" s="37"/>
      <c r="K291" s="38"/>
      <c r="L291" s="29"/>
      <c r="M291" s="29"/>
      <c r="N291" s="29"/>
      <c r="O291" s="39"/>
      <c r="P291" s="40">
        <f t="shared" si="16"/>
        <v>0</v>
      </c>
      <c r="Q291" s="40">
        <f t="shared" si="17"/>
        <v>0</v>
      </c>
      <c r="R291" s="40">
        <f t="shared" si="18"/>
        <v>0</v>
      </c>
      <c r="S291" s="41"/>
      <c r="T291" s="41"/>
      <c r="U291" s="41"/>
      <c r="V291" s="41"/>
      <c r="W291" s="41"/>
      <c r="X291" s="41"/>
      <c r="Y291" s="33">
        <f t="shared" si="19"/>
        <v>0</v>
      </c>
    </row>
    <row r="292" spans="4:25" x14ac:dyDescent="0.25">
      <c r="D292" s="69"/>
      <c r="E292" s="34"/>
      <c r="F292" s="34"/>
      <c r="H292" s="35"/>
      <c r="I292" s="36"/>
      <c r="J292" s="37"/>
      <c r="K292" s="38"/>
      <c r="L292" s="29"/>
      <c r="M292" s="29"/>
      <c r="N292" s="29"/>
      <c r="O292" s="39"/>
      <c r="P292" s="40">
        <f t="shared" si="16"/>
        <v>0</v>
      </c>
      <c r="Q292" s="40">
        <f t="shared" si="17"/>
        <v>0</v>
      </c>
      <c r="R292" s="40">
        <f t="shared" si="18"/>
        <v>0</v>
      </c>
      <c r="S292" s="41"/>
      <c r="T292" s="41"/>
      <c r="U292" s="41"/>
      <c r="V292" s="41"/>
      <c r="W292" s="41"/>
      <c r="X292" s="41"/>
      <c r="Y292" s="33">
        <f t="shared" si="19"/>
        <v>0</v>
      </c>
    </row>
    <row r="293" spans="4:25" x14ac:dyDescent="0.25">
      <c r="D293" s="69"/>
      <c r="E293" s="34"/>
      <c r="F293" s="34"/>
      <c r="H293" s="35"/>
      <c r="I293" s="36"/>
      <c r="J293" s="37"/>
      <c r="K293" s="38"/>
      <c r="L293" s="29"/>
      <c r="M293" s="29"/>
      <c r="N293" s="29"/>
      <c r="O293" s="39"/>
      <c r="P293" s="40">
        <f t="shared" si="16"/>
        <v>0</v>
      </c>
      <c r="Q293" s="40">
        <f t="shared" si="17"/>
        <v>0</v>
      </c>
      <c r="R293" s="40">
        <f t="shared" si="18"/>
        <v>0</v>
      </c>
      <c r="S293" s="41"/>
      <c r="T293" s="41"/>
      <c r="U293" s="41"/>
      <c r="V293" s="41"/>
      <c r="W293" s="41"/>
      <c r="X293" s="41"/>
      <c r="Y293" s="33">
        <f t="shared" si="19"/>
        <v>0</v>
      </c>
    </row>
    <row r="294" spans="4:25" x14ac:dyDescent="0.25">
      <c r="D294" s="69"/>
      <c r="E294" s="34"/>
      <c r="F294" s="34"/>
      <c r="H294" s="35"/>
      <c r="I294" s="36"/>
      <c r="J294" s="37"/>
      <c r="K294" s="38"/>
      <c r="L294" s="29"/>
      <c r="M294" s="29"/>
      <c r="N294" s="29"/>
      <c r="O294" s="39"/>
      <c r="P294" s="40">
        <f t="shared" si="16"/>
        <v>0</v>
      </c>
      <c r="Q294" s="40">
        <f t="shared" si="17"/>
        <v>0</v>
      </c>
      <c r="R294" s="40">
        <f t="shared" si="18"/>
        <v>0</v>
      </c>
      <c r="S294" s="41"/>
      <c r="T294" s="41"/>
      <c r="U294" s="41"/>
      <c r="V294" s="41"/>
      <c r="W294" s="41"/>
      <c r="X294" s="41"/>
      <c r="Y294" s="33">
        <f t="shared" si="19"/>
        <v>0</v>
      </c>
    </row>
    <row r="295" spans="4:25" x14ac:dyDescent="0.25">
      <c r="D295" s="69"/>
      <c r="E295" s="34"/>
      <c r="F295" s="34"/>
      <c r="H295" s="35"/>
      <c r="I295" s="36"/>
      <c r="J295" s="37"/>
      <c r="K295" s="38"/>
      <c r="L295" s="29"/>
      <c r="M295" s="29"/>
      <c r="N295" s="29"/>
      <c r="O295" s="39"/>
      <c r="P295" s="40">
        <f t="shared" si="16"/>
        <v>0</v>
      </c>
      <c r="Q295" s="40">
        <f t="shared" si="17"/>
        <v>0</v>
      </c>
      <c r="R295" s="40">
        <f t="shared" si="18"/>
        <v>0</v>
      </c>
      <c r="S295" s="41"/>
      <c r="T295" s="41"/>
      <c r="U295" s="41"/>
      <c r="V295" s="41"/>
      <c r="W295" s="41"/>
      <c r="X295" s="41"/>
      <c r="Y295" s="33">
        <f t="shared" si="19"/>
        <v>0</v>
      </c>
    </row>
    <row r="296" spans="4:25" x14ac:dyDescent="0.25">
      <c r="D296" s="69"/>
      <c r="E296" s="34"/>
      <c r="F296" s="34"/>
      <c r="H296" s="35"/>
      <c r="I296" s="36"/>
      <c r="J296" s="37"/>
      <c r="K296" s="38"/>
      <c r="L296" s="29"/>
      <c r="M296" s="29"/>
      <c r="N296" s="29"/>
      <c r="O296" s="39"/>
      <c r="P296" s="40">
        <f t="shared" si="16"/>
        <v>0</v>
      </c>
      <c r="Q296" s="40">
        <f t="shared" si="17"/>
        <v>0</v>
      </c>
      <c r="R296" s="40">
        <f t="shared" si="18"/>
        <v>0</v>
      </c>
      <c r="S296" s="41"/>
      <c r="T296" s="41"/>
      <c r="U296" s="41"/>
      <c r="V296" s="41"/>
      <c r="W296" s="41"/>
      <c r="X296" s="41"/>
      <c r="Y296" s="33">
        <f t="shared" si="19"/>
        <v>0</v>
      </c>
    </row>
    <row r="297" spans="4:25" x14ac:dyDescent="0.25">
      <c r="D297" s="69"/>
      <c r="E297" s="34"/>
      <c r="F297" s="34"/>
      <c r="H297" s="35"/>
      <c r="I297" s="36"/>
      <c r="J297" s="37"/>
      <c r="K297" s="38"/>
      <c r="L297" s="29"/>
      <c r="M297" s="29"/>
      <c r="N297" s="29"/>
      <c r="O297" s="39"/>
      <c r="P297" s="40">
        <f t="shared" si="16"/>
        <v>0</v>
      </c>
      <c r="Q297" s="40">
        <f t="shared" si="17"/>
        <v>0</v>
      </c>
      <c r="R297" s="40">
        <f t="shared" si="18"/>
        <v>0</v>
      </c>
      <c r="S297" s="41"/>
      <c r="T297" s="41"/>
      <c r="U297" s="41"/>
      <c r="V297" s="41"/>
      <c r="W297" s="41"/>
      <c r="X297" s="41"/>
      <c r="Y297" s="33">
        <f t="shared" si="19"/>
        <v>0</v>
      </c>
    </row>
    <row r="298" spans="4:25" x14ac:dyDescent="0.25">
      <c r="D298" s="69"/>
      <c r="E298" s="34"/>
      <c r="F298" s="34"/>
      <c r="H298" s="35"/>
      <c r="I298" s="36"/>
      <c r="J298" s="37"/>
      <c r="K298" s="38"/>
      <c r="L298" s="29"/>
      <c r="M298" s="29"/>
      <c r="N298" s="29"/>
      <c r="O298" s="39"/>
      <c r="P298" s="40">
        <f t="shared" si="16"/>
        <v>0</v>
      </c>
      <c r="Q298" s="40">
        <f t="shared" si="17"/>
        <v>0</v>
      </c>
      <c r="R298" s="40">
        <f t="shared" si="18"/>
        <v>0</v>
      </c>
      <c r="S298" s="41"/>
      <c r="T298" s="41"/>
      <c r="U298" s="41"/>
      <c r="V298" s="41"/>
      <c r="W298" s="41"/>
      <c r="X298" s="41"/>
      <c r="Y298" s="33">
        <f t="shared" si="19"/>
        <v>0</v>
      </c>
    </row>
    <row r="299" spans="4:25" x14ac:dyDescent="0.25">
      <c r="D299" s="69"/>
      <c r="E299" s="34"/>
      <c r="F299" s="34"/>
      <c r="H299" s="35"/>
      <c r="I299" s="36"/>
      <c r="J299" s="37"/>
      <c r="K299" s="38"/>
      <c r="L299" s="29"/>
      <c r="M299" s="29"/>
      <c r="N299" s="29"/>
      <c r="O299" s="39"/>
      <c r="P299" s="40">
        <f t="shared" si="16"/>
        <v>0</v>
      </c>
      <c r="Q299" s="40">
        <f t="shared" si="17"/>
        <v>0</v>
      </c>
      <c r="R299" s="40">
        <f t="shared" si="18"/>
        <v>0</v>
      </c>
      <c r="S299" s="41"/>
      <c r="T299" s="41"/>
      <c r="U299" s="41"/>
      <c r="V299" s="41"/>
      <c r="W299" s="41"/>
      <c r="X299" s="41"/>
      <c r="Y299" s="33">
        <f t="shared" si="19"/>
        <v>0</v>
      </c>
    </row>
    <row r="300" spans="4:25" x14ac:dyDescent="0.25">
      <c r="D300" s="69"/>
      <c r="E300" s="34"/>
      <c r="F300" s="34"/>
      <c r="H300" s="35"/>
      <c r="I300" s="36"/>
      <c r="J300" s="37"/>
      <c r="K300" s="38"/>
      <c r="L300" s="29"/>
      <c r="M300" s="29"/>
      <c r="N300" s="29"/>
      <c r="O300" s="39"/>
      <c r="P300" s="40">
        <f t="shared" si="16"/>
        <v>0</v>
      </c>
      <c r="Q300" s="40">
        <f t="shared" si="17"/>
        <v>0</v>
      </c>
      <c r="R300" s="40">
        <f t="shared" si="18"/>
        <v>0</v>
      </c>
      <c r="S300" s="41"/>
      <c r="T300" s="41"/>
      <c r="U300" s="41"/>
      <c r="V300" s="41"/>
      <c r="W300" s="41"/>
      <c r="X300" s="41"/>
      <c r="Y300" s="33">
        <f t="shared" si="19"/>
        <v>0</v>
      </c>
    </row>
    <row r="301" spans="4:25" x14ac:dyDescent="0.25">
      <c r="D301" s="69"/>
      <c r="E301" s="34"/>
      <c r="F301" s="34"/>
      <c r="H301" s="35"/>
      <c r="I301" s="36"/>
      <c r="J301" s="37"/>
      <c r="K301" s="38"/>
      <c r="L301" s="29"/>
      <c r="M301" s="29"/>
      <c r="N301" s="29"/>
      <c r="O301" s="39"/>
      <c r="P301" s="40">
        <f t="shared" si="16"/>
        <v>0</v>
      </c>
      <c r="Q301" s="40">
        <f t="shared" si="17"/>
        <v>0</v>
      </c>
      <c r="R301" s="40">
        <f t="shared" si="18"/>
        <v>0</v>
      </c>
      <c r="S301" s="41"/>
      <c r="T301" s="41"/>
      <c r="U301" s="41"/>
      <c r="V301" s="41"/>
      <c r="W301" s="41"/>
      <c r="X301" s="41"/>
      <c r="Y301" s="33">
        <f t="shared" si="19"/>
        <v>0</v>
      </c>
    </row>
    <row r="302" spans="4:25" x14ac:dyDescent="0.25">
      <c r="D302" s="69"/>
      <c r="E302" s="34"/>
      <c r="F302" s="34"/>
      <c r="H302" s="35"/>
      <c r="I302" s="36"/>
      <c r="J302" s="37"/>
      <c r="K302" s="38"/>
      <c r="L302" s="29"/>
      <c r="M302" s="29"/>
      <c r="N302" s="29"/>
      <c r="O302" s="39"/>
      <c r="P302" s="40">
        <f t="shared" si="16"/>
        <v>0</v>
      </c>
      <c r="Q302" s="40">
        <f t="shared" si="17"/>
        <v>0</v>
      </c>
      <c r="R302" s="40">
        <f t="shared" si="18"/>
        <v>0</v>
      </c>
      <c r="S302" s="41"/>
      <c r="T302" s="41"/>
      <c r="U302" s="41"/>
      <c r="V302" s="41"/>
      <c r="W302" s="41"/>
      <c r="X302" s="41"/>
      <c r="Y302" s="33">
        <f t="shared" si="19"/>
        <v>0</v>
      </c>
    </row>
    <row r="303" spans="4:25" ht="15.6" x14ac:dyDescent="0.3">
      <c r="D303" s="65"/>
      <c r="E303" s="34"/>
      <c r="F303" s="34"/>
      <c r="H303" s="35"/>
      <c r="I303" s="36"/>
      <c r="J303" s="37"/>
      <c r="K303" s="38"/>
      <c r="L303" s="29"/>
      <c r="M303" s="29"/>
      <c r="N303" s="29"/>
      <c r="O303" s="39"/>
      <c r="P303" s="40"/>
      <c r="Q303" s="40"/>
      <c r="R303" s="40"/>
      <c r="S303" s="41"/>
      <c r="T303" s="41"/>
      <c r="U303" s="41"/>
      <c r="V303" s="41"/>
      <c r="W303" s="41"/>
      <c r="X303" s="41"/>
      <c r="Y303" s="33"/>
    </row>
    <row r="304" spans="4:25" x14ac:dyDescent="0.25">
      <c r="E304" s="34"/>
      <c r="F304" s="34"/>
      <c r="H304" s="35"/>
      <c r="I304" s="36"/>
      <c r="J304" s="37"/>
      <c r="K304" s="38"/>
      <c r="L304" s="29"/>
      <c r="M304" s="29"/>
      <c r="N304" s="29"/>
      <c r="O304" s="39"/>
      <c r="P304" s="40"/>
      <c r="Q304" s="40"/>
      <c r="R304" s="40"/>
      <c r="S304" s="41"/>
      <c r="T304" s="41"/>
      <c r="U304" s="41"/>
      <c r="V304" s="41"/>
      <c r="W304" s="41"/>
      <c r="X304" s="40"/>
      <c r="Y304" s="33"/>
    </row>
    <row r="305" spans="8:25" ht="15.6" x14ac:dyDescent="0.3">
      <c r="H305" s="35"/>
      <c r="I305" s="36"/>
      <c r="J305" s="37"/>
      <c r="K305" s="42" t="s">
        <v>100</v>
      </c>
      <c r="L305" s="59">
        <f>SUM(L3:L302)</f>
        <v>0</v>
      </c>
      <c r="M305" s="59">
        <f t="shared" ref="M305:Y305" si="20">SUM(M3:M302)</f>
        <v>0</v>
      </c>
      <c r="N305" s="59">
        <f t="shared" si="20"/>
        <v>0</v>
      </c>
      <c r="O305" s="43"/>
      <c r="P305" s="59">
        <f t="shared" si="20"/>
        <v>0</v>
      </c>
      <c r="Q305" s="59">
        <f t="shared" si="20"/>
        <v>0</v>
      </c>
      <c r="R305" s="59">
        <f t="shared" si="20"/>
        <v>0</v>
      </c>
      <c r="S305" s="59">
        <f t="shared" si="20"/>
        <v>0</v>
      </c>
      <c r="T305" s="59">
        <f t="shared" si="20"/>
        <v>0</v>
      </c>
      <c r="U305" s="59">
        <f t="shared" si="20"/>
        <v>0</v>
      </c>
      <c r="V305" s="59">
        <f t="shared" si="20"/>
        <v>0</v>
      </c>
      <c r="W305" s="59">
        <f t="shared" si="20"/>
        <v>0</v>
      </c>
      <c r="X305" s="59">
        <f t="shared" si="20"/>
        <v>0</v>
      </c>
      <c r="Y305" s="59">
        <f t="shared" si="20"/>
        <v>0</v>
      </c>
    </row>
    <row r="306" spans="8:25" x14ac:dyDescent="0.25">
      <c r="L306" s="29"/>
      <c r="M306" s="29"/>
      <c r="N306" s="29"/>
    </row>
  </sheetData>
  <mergeCells count="1">
    <mergeCell ref="S1:X1"/>
  </mergeCells>
  <phoneticPr fontId="10" type="noConversion"/>
  <pageMargins left="0.7" right="0.7" top="0.75" bottom="0.75" header="0.3" footer="0.3"/>
  <pageSetup scale="37" fitToHeight="0" orientation="landscape" r:id="rId1"/>
  <headerFooter>
    <oddHeader>&amp;L&amp;G&amp;C&amp;"Arial,Bold"&amp;12Base and Test Support Services (BTSS)
Solicitation No. W91151-19-R-0003&amp;R&amp;"Arial,Bold"&amp;12Volume IV - Factor 3 - Cost
&amp;A</oddHeader>
    <oddFooter>&amp;C&amp;"Arial,Italic"&amp;12Use or disclosure of data contained on this sheet is subject
 to the restriction on the cover page of this proposal.</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4adc925-6b5d-4628-b7e0-5b86efa98958"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98C060DC519C5438F279013B0EC9B02" ma:contentTypeVersion="16" ma:contentTypeDescription="Create a new document." ma:contentTypeScope="" ma:versionID="6085effe1130f616eb3cd340c2431a25">
  <xsd:schema xmlns:xsd="http://www.w3.org/2001/XMLSchema" xmlns:xs="http://www.w3.org/2001/XMLSchema" xmlns:p="http://schemas.microsoft.com/office/2006/metadata/properties" xmlns:ns1="http://schemas.microsoft.com/sharepoint/v3" xmlns:ns3="bc96db8f-62c4-44cc-8b28-7ef117495d18" xmlns:ns4="04adc925-6b5d-4628-b7e0-5b86efa98958" targetNamespace="http://schemas.microsoft.com/office/2006/metadata/properties" ma:root="true" ma:fieldsID="a80e9260e1d0267566e471150e6f4b92" ns1:_="" ns3:_="" ns4:_="">
    <xsd:import namespace="http://schemas.microsoft.com/sharepoint/v3"/>
    <xsd:import namespace="bc96db8f-62c4-44cc-8b28-7ef117495d18"/>
    <xsd:import namespace="04adc925-6b5d-4628-b7e0-5b86efa9895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_activity" minOccurs="0"/>
                <xsd:element ref="ns1:_ip_UnifiedCompliancePolicyProperties" minOccurs="0"/>
                <xsd:element ref="ns1:_ip_UnifiedCompliancePolicyUIAction" minOccurs="0"/>
                <xsd:element ref="ns4:MediaServiceObjectDetectorVersions"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6db8f-62c4-44cc-8b28-7ef117495d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adc925-6b5d-4628-b7e0-5b86efa9895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2B4926-5AA0-4786-8C46-B3669B733633}">
  <ds:schemaRefs>
    <ds:schemaRef ds:uri="http://schemas.microsoft.com/sharepoint/v3/contenttype/forms"/>
  </ds:schemaRefs>
</ds:datastoreItem>
</file>

<file path=customXml/itemProps2.xml><?xml version="1.0" encoding="utf-8"?>
<ds:datastoreItem xmlns:ds="http://schemas.openxmlformats.org/officeDocument/2006/customXml" ds:itemID="{D819D52B-287C-4074-A303-47A97EB7072B}">
  <ds:schemaRefs>
    <ds:schemaRef ds:uri="http://purl.org/dc/terms/"/>
    <ds:schemaRef ds:uri="http://purl.org/dc/dcmitype/"/>
    <ds:schemaRef ds:uri="04adc925-6b5d-4628-b7e0-5b86efa98958"/>
    <ds:schemaRef ds:uri="http://schemas.microsoft.com/office/infopath/2007/PartnerControls"/>
    <ds:schemaRef ds:uri="http://purl.org/dc/elements/1.1/"/>
    <ds:schemaRef ds:uri="bc96db8f-62c4-44cc-8b28-7ef117495d18"/>
    <ds:schemaRef ds:uri="http://schemas.microsoft.com/office/2006/metadata/properties"/>
    <ds:schemaRef ds:uri="http://schemas.microsoft.com/office/2006/documentManagement/types"/>
    <ds:schemaRef ds:uri="http://schemas.openxmlformats.org/package/2006/metadata/core-properties"/>
    <ds:schemaRef ds:uri="http://schemas.microsoft.com/sharepoint/v3"/>
    <ds:schemaRef ds:uri="http://www.w3.org/XML/1998/namespace"/>
  </ds:schemaRefs>
</ds:datastoreItem>
</file>

<file path=customXml/itemProps3.xml><?xml version="1.0" encoding="utf-8"?>
<ds:datastoreItem xmlns:ds="http://schemas.openxmlformats.org/officeDocument/2006/customXml" ds:itemID="{0CE270B6-67C8-4286-8DC8-CAEE48E288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c96db8f-62c4-44cc-8b28-7ef117495d18"/>
    <ds:schemaRef ds:uri="04adc925-6b5d-4628-b7e0-5b86efa989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102</vt:i4>
      </vt:variant>
    </vt:vector>
  </HeadingPairs>
  <TitlesOfParts>
    <vt:vector size="110" baseType="lpstr">
      <vt:lpstr>Total Evaluated Price Summary</vt:lpstr>
      <vt:lpstr>Proposed CPFF Cost Summary</vt:lpstr>
      <vt:lpstr>Sample TOP Labor Build-up CLIN1</vt:lpstr>
      <vt:lpstr>Base Year Labor Build-up CLIN 1</vt:lpstr>
      <vt:lpstr>Year 2 Labor Build-up CLIN 1</vt:lpstr>
      <vt:lpstr>Year 3 Labor Build-up CLIN 1</vt:lpstr>
      <vt:lpstr>Year 4 Labor Build-up CLIN 1</vt:lpstr>
      <vt:lpstr>Year 5 Labor Build-up CLIN 1</vt:lpstr>
      <vt:lpstr>'Sample TOP Labor Build-up CLIN1'!LBU_BOE_Hours</vt:lpstr>
      <vt:lpstr>'Year 2 Labor Build-up CLIN 1'!LBU_BOE_Hours</vt:lpstr>
      <vt:lpstr>'Year 3 Labor Build-up CLIN 1'!LBU_BOE_Hours</vt:lpstr>
      <vt:lpstr>'Year 4 Labor Build-up CLIN 1'!LBU_BOE_Hours</vt:lpstr>
      <vt:lpstr>'Year 5 Labor Build-up CLIN 1'!LBU_BOE_Hours</vt:lpstr>
      <vt:lpstr>LBU_BOE_Hours</vt:lpstr>
      <vt:lpstr>'Sample TOP Labor Build-up CLIN1'!LBU_Company</vt:lpstr>
      <vt:lpstr>'Year 2 Labor Build-up CLIN 1'!LBU_Company</vt:lpstr>
      <vt:lpstr>'Year 3 Labor Build-up CLIN 1'!LBU_Company</vt:lpstr>
      <vt:lpstr>'Year 4 Labor Build-up CLIN 1'!LBU_Company</vt:lpstr>
      <vt:lpstr>'Year 5 Labor Build-up CLIN 1'!LBU_Company</vt:lpstr>
      <vt:lpstr>LBU_Company</vt:lpstr>
      <vt:lpstr>'Sample TOP Labor Build-up CLIN1'!LBU_Fee</vt:lpstr>
      <vt:lpstr>'Year 2 Labor Build-up CLIN 1'!LBU_Fee</vt:lpstr>
      <vt:lpstr>'Year 3 Labor Build-up CLIN 1'!LBU_Fee</vt:lpstr>
      <vt:lpstr>'Year 4 Labor Build-up CLIN 1'!LBU_Fee</vt:lpstr>
      <vt:lpstr>'Year 5 Labor Build-up CLIN 1'!LBU_Fee</vt:lpstr>
      <vt:lpstr>LBU_Fee</vt:lpstr>
      <vt:lpstr>'Sample TOP Labor Build-up CLIN1'!LBU_Fringe_Cost</vt:lpstr>
      <vt:lpstr>'Year 2 Labor Build-up CLIN 1'!LBU_Fringe_Cost</vt:lpstr>
      <vt:lpstr>'Year 3 Labor Build-up CLIN 1'!LBU_Fringe_Cost</vt:lpstr>
      <vt:lpstr>'Year 4 Labor Build-up CLIN 1'!LBU_Fringe_Cost</vt:lpstr>
      <vt:lpstr>'Year 5 Labor Build-up CLIN 1'!LBU_Fringe_Cost</vt:lpstr>
      <vt:lpstr>LBU_Fringe_Cost</vt:lpstr>
      <vt:lpstr>'Sample TOP Labor Build-up CLIN1'!LBU_FT_PT</vt:lpstr>
      <vt:lpstr>'Year 2 Labor Build-up CLIN 1'!LBU_FT_PT</vt:lpstr>
      <vt:lpstr>'Year 3 Labor Build-up CLIN 1'!LBU_FT_PT</vt:lpstr>
      <vt:lpstr>'Year 4 Labor Build-up CLIN 1'!LBU_FT_PT</vt:lpstr>
      <vt:lpstr>'Year 5 Labor Build-up CLIN 1'!LBU_FT_PT</vt:lpstr>
      <vt:lpstr>LBU_FT_PT</vt:lpstr>
      <vt:lpstr>'Sample TOP Labor Build-up CLIN1'!LBU_FTEs</vt:lpstr>
      <vt:lpstr>'Year 2 Labor Build-up CLIN 1'!LBU_FTEs</vt:lpstr>
      <vt:lpstr>'Year 3 Labor Build-up CLIN 1'!LBU_FTEs</vt:lpstr>
      <vt:lpstr>'Year 4 Labor Build-up CLIN 1'!LBU_FTEs</vt:lpstr>
      <vt:lpstr>'Year 5 Labor Build-up CLIN 1'!LBU_FTEs</vt:lpstr>
      <vt:lpstr>LBU_FTEs</vt:lpstr>
      <vt:lpstr>'Sample TOP Labor Build-up CLIN1'!LBU_GNAD_Cost</vt:lpstr>
      <vt:lpstr>'Year 2 Labor Build-up CLIN 1'!LBU_GNAD_Cost</vt:lpstr>
      <vt:lpstr>'Year 3 Labor Build-up CLIN 1'!LBU_GNAD_Cost</vt:lpstr>
      <vt:lpstr>'Year 4 Labor Build-up CLIN 1'!LBU_GNAD_Cost</vt:lpstr>
      <vt:lpstr>'Year 5 Labor Build-up CLIN 1'!LBU_GNAD_Cost</vt:lpstr>
      <vt:lpstr>LBU_GNAD_Cost</vt:lpstr>
      <vt:lpstr>'Sample TOP Labor Build-up CLIN1'!LBU_Labor_Category</vt:lpstr>
      <vt:lpstr>'Year 2 Labor Build-up CLIN 1'!LBU_Labor_Category</vt:lpstr>
      <vt:lpstr>'Year 3 Labor Build-up CLIN 1'!LBU_Labor_Category</vt:lpstr>
      <vt:lpstr>'Year 4 Labor Build-up CLIN 1'!LBU_Labor_Category</vt:lpstr>
      <vt:lpstr>'Year 5 Labor Build-up CLIN 1'!LBU_Labor_Category</vt:lpstr>
      <vt:lpstr>LBU_Labor_Category</vt:lpstr>
      <vt:lpstr>'Sample TOP Labor Build-up CLIN1'!LBU_Labor_Rate</vt:lpstr>
      <vt:lpstr>'Year 2 Labor Build-up CLIN 1'!LBU_Labor_Rate</vt:lpstr>
      <vt:lpstr>'Year 3 Labor Build-up CLIN 1'!LBU_Labor_Rate</vt:lpstr>
      <vt:lpstr>'Year 4 Labor Build-up CLIN 1'!LBU_Labor_Rate</vt:lpstr>
      <vt:lpstr>'Year 5 Labor Build-up CLIN 1'!LBU_Labor_Rate</vt:lpstr>
      <vt:lpstr>LBU_Labor_Rate</vt:lpstr>
      <vt:lpstr>'Sample TOP Labor Build-up CLIN1'!LBU_Loaded_Cost</vt:lpstr>
      <vt:lpstr>'Year 2 Labor Build-up CLIN 1'!LBU_Loaded_Cost</vt:lpstr>
      <vt:lpstr>'Year 3 Labor Build-up CLIN 1'!LBU_Loaded_Cost</vt:lpstr>
      <vt:lpstr>'Year 4 Labor Build-up CLIN 1'!LBU_Loaded_Cost</vt:lpstr>
      <vt:lpstr>'Year 5 Labor Build-up CLIN 1'!LBU_Loaded_Cost</vt:lpstr>
      <vt:lpstr>LBU_Loaded_Cost</vt:lpstr>
      <vt:lpstr>'Sample TOP Labor Build-up CLIN1'!LBU_Loaded_Labor_Cost</vt:lpstr>
      <vt:lpstr>'Year 2 Labor Build-up CLIN 1'!LBU_Loaded_Labor_Cost</vt:lpstr>
      <vt:lpstr>'Year 3 Labor Build-up CLIN 1'!LBU_Loaded_Labor_Cost</vt:lpstr>
      <vt:lpstr>'Year 4 Labor Build-up CLIN 1'!LBU_Loaded_Labor_Cost</vt:lpstr>
      <vt:lpstr>'Year 5 Labor Build-up CLIN 1'!LBU_Loaded_Labor_Cost</vt:lpstr>
      <vt:lpstr>LBU_Loaded_Labor_Cost</vt:lpstr>
      <vt:lpstr>'Sample TOP Labor Build-up CLIN1'!LBU_Location</vt:lpstr>
      <vt:lpstr>'Year 2 Labor Build-up CLIN 1'!LBU_Location</vt:lpstr>
      <vt:lpstr>'Year 3 Labor Build-up CLIN 1'!LBU_Location</vt:lpstr>
      <vt:lpstr>'Year 4 Labor Build-up CLIN 1'!LBU_Location</vt:lpstr>
      <vt:lpstr>'Year 5 Labor Build-up CLIN 1'!LBU_Location</vt:lpstr>
      <vt:lpstr>LBU_Location</vt:lpstr>
      <vt:lpstr>'Sample TOP Labor Build-up CLIN1'!LBU_OH_Cost</vt:lpstr>
      <vt:lpstr>'Year 2 Labor Build-up CLIN 1'!LBU_OH_Cost</vt:lpstr>
      <vt:lpstr>'Year 3 Labor Build-up CLIN 1'!LBU_OH_Cost</vt:lpstr>
      <vt:lpstr>'Year 4 Labor Build-up CLIN 1'!LBU_OH_Cost</vt:lpstr>
      <vt:lpstr>'Year 5 Labor Build-up CLIN 1'!LBU_OH_Cost</vt:lpstr>
      <vt:lpstr>LBU_OH_Cost</vt:lpstr>
      <vt:lpstr>'Sample TOP Labor Build-up CLIN1'!LBU_OT_Hours</vt:lpstr>
      <vt:lpstr>'Year 2 Labor Build-up CLIN 1'!LBU_OT_Hours</vt:lpstr>
      <vt:lpstr>'Year 3 Labor Build-up CLIN 1'!LBU_OT_Hours</vt:lpstr>
      <vt:lpstr>'Year 4 Labor Build-up CLIN 1'!LBU_OT_Hours</vt:lpstr>
      <vt:lpstr>'Year 5 Labor Build-up CLIN 1'!LBU_OT_Hours</vt:lpstr>
      <vt:lpstr>LBU_OT_Hours</vt:lpstr>
      <vt:lpstr>'Sample TOP Labor Build-up CLIN1'!LBU_Period</vt:lpstr>
      <vt:lpstr>'Year 2 Labor Build-up CLIN 1'!LBU_Period</vt:lpstr>
      <vt:lpstr>'Year 3 Labor Build-up CLIN 1'!LBU_Period</vt:lpstr>
      <vt:lpstr>'Year 4 Labor Build-up CLIN 1'!LBU_Period</vt:lpstr>
      <vt:lpstr>'Year 5 Labor Build-up CLIN 1'!LBU_Period</vt:lpstr>
      <vt:lpstr>LBU_Period</vt:lpstr>
      <vt:lpstr>'Sample TOP Labor Build-up CLIN1'!LBU_Prod_Wages</vt:lpstr>
      <vt:lpstr>'Year 2 Labor Build-up CLIN 1'!LBU_Prod_Wages</vt:lpstr>
      <vt:lpstr>'Year 3 Labor Build-up CLIN 1'!LBU_Prod_Wages</vt:lpstr>
      <vt:lpstr>'Year 4 Labor Build-up CLIN 1'!LBU_Prod_Wages</vt:lpstr>
      <vt:lpstr>'Year 5 Labor Build-up CLIN 1'!LBU_Prod_Wages</vt:lpstr>
      <vt:lpstr>LBU_Prod_Wages</vt:lpstr>
      <vt:lpstr>'Sample TOP Labor Build-up CLIN1'!LBU_Prod_Wages_Total</vt:lpstr>
      <vt:lpstr>'Year 2 Labor Build-up CLIN 1'!LBU_Prod_Wages_Total</vt:lpstr>
      <vt:lpstr>'Year 3 Labor Build-up CLIN 1'!LBU_Prod_Wages_Total</vt:lpstr>
      <vt:lpstr>'Year 4 Labor Build-up CLIN 1'!LBU_Prod_Wages_Total</vt:lpstr>
      <vt:lpstr>'Year 5 Labor Build-up CLIN 1'!LBU_Prod_Wages_Total</vt:lpstr>
      <vt:lpstr>LBU_Prod_Wages_Total</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Villarreal</dc:creator>
  <cp:lastModifiedBy>Smith, Ingrid V CIV USARMY ACC MICC (USA)</cp:lastModifiedBy>
  <dcterms:created xsi:type="dcterms:W3CDTF">2020-10-02T14:36:45Z</dcterms:created>
  <dcterms:modified xsi:type="dcterms:W3CDTF">2026-01-29T11:57:53Z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0x010100398C060DC519C5438F279013B0EC9B02</vt:lpwstr>
  </property>
</Properties>
</file>