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Jame.Chang\Desktop\"/>
    </mc:Choice>
  </mc:AlternateContent>
  <xr:revisionPtr revIDLastSave="0" documentId="13_ncr:1_{2FE6E547-497B-4856-B94F-B01B4CB816D9}" xr6:coauthVersionLast="47" xr6:coauthVersionMax="47" xr10:uidLastSave="{00000000-0000-0000-0000-000000000000}"/>
  <bookViews>
    <workbookView xWindow="25695" yWindow="0" windowWidth="26010" windowHeight="20985" activeTab="1" xr2:uid="{00000000-000D-0000-FFFF-FFFF00000000}"/>
  </bookViews>
  <sheets>
    <sheet name="Teamsters Template" sheetId="33" r:id="rId1"/>
    <sheet name="FJCC Template" sheetId="34" r:id="rId2"/>
    <sheet name="SCA Template" sheetId="35" r:id="rId3"/>
    <sheet name="Exempt Employee Template" sheetId="36" r:id="rId4"/>
    <sheet name="Buildup" sheetId="37" r:id="rId5"/>
    <sheet name="ProTech LCats &amp; Base Rates" sheetId="5" state="hidden" r:id="rId6"/>
    <sheet name="Source 1, SciTech Blended" sheetId="11" state="hidden" r:id="rId7"/>
    <sheet name="Source 2, GSA CALC Blended" sheetId="12" state="hidden" r:id="rId8"/>
    <sheet name="Source 3, OASIS Blended" sheetId="13" state="hidden" r:id="rId9"/>
    <sheet name="Source 4, ProTech Awarded (tbd)" sheetId="14" state="hidden" r:id="rId10"/>
    <sheet name="Rate Development" sheetId="15" state="hidden"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0" i="37" l="1"/>
  <c r="K30" i="37"/>
  <c r="G30" i="37"/>
  <c r="M21" i="37"/>
  <c r="O30" i="37"/>
  <c r="F29" i="37"/>
  <c r="F24" i="37"/>
  <c r="F25" i="37"/>
  <c r="F26" i="37"/>
  <c r="F27" i="37"/>
  <c r="F28" i="37"/>
  <c r="F23" i="37"/>
  <c r="P19" i="37"/>
  <c r="P20" i="37"/>
  <c r="P21" i="37"/>
  <c r="P18" i="37"/>
  <c r="O19" i="37"/>
  <c r="O20" i="37"/>
  <c r="O21" i="37"/>
  <c r="O18" i="37"/>
  <c r="L18" i="37"/>
  <c r="M18" i="37"/>
  <c r="L19" i="37"/>
  <c r="M19" i="37"/>
  <c r="L20" i="37"/>
  <c r="M20" i="37"/>
  <c r="L21" i="37"/>
  <c r="K19" i="37"/>
  <c r="K20" i="37"/>
  <c r="K21" i="37"/>
  <c r="K18" i="37"/>
  <c r="G18" i="37"/>
  <c r="H18" i="37"/>
  <c r="G19" i="37"/>
  <c r="H19" i="37"/>
  <c r="G20" i="37"/>
  <c r="H20" i="37"/>
  <c r="G21" i="37"/>
  <c r="H21" i="37"/>
  <c r="F19" i="37"/>
  <c r="F20" i="37"/>
  <c r="F21" i="37"/>
  <c r="F18" i="37"/>
  <c r="P12" i="37"/>
  <c r="P13" i="37"/>
  <c r="P14" i="37"/>
  <c r="P15" i="37"/>
  <c r="P16" i="37"/>
  <c r="P11" i="37"/>
  <c r="G11" i="37"/>
  <c r="H11" i="37"/>
  <c r="I11" i="37"/>
  <c r="J11" i="37"/>
  <c r="K11" i="37"/>
  <c r="L11" i="37"/>
  <c r="M11" i="37"/>
  <c r="N11" i="37"/>
  <c r="O11" i="37"/>
  <c r="G12" i="37"/>
  <c r="H12" i="37"/>
  <c r="I12" i="37"/>
  <c r="J12" i="37"/>
  <c r="K12" i="37"/>
  <c r="L12" i="37"/>
  <c r="M12" i="37"/>
  <c r="N12" i="37"/>
  <c r="O12" i="37"/>
  <c r="G13" i="37"/>
  <c r="H13" i="37"/>
  <c r="I13" i="37"/>
  <c r="J13" i="37"/>
  <c r="K13" i="37"/>
  <c r="L13" i="37"/>
  <c r="M13" i="37"/>
  <c r="N13" i="37"/>
  <c r="O13" i="37"/>
  <c r="G14" i="37"/>
  <c r="H14" i="37"/>
  <c r="I14" i="37"/>
  <c r="J14" i="37"/>
  <c r="K14" i="37"/>
  <c r="L14" i="37"/>
  <c r="M14" i="37"/>
  <c r="N14" i="37"/>
  <c r="O14" i="37"/>
  <c r="G15" i="37"/>
  <c r="H15" i="37"/>
  <c r="I15" i="37"/>
  <c r="J15" i="37"/>
  <c r="K15" i="37"/>
  <c r="L15" i="37"/>
  <c r="M15" i="37"/>
  <c r="N15" i="37"/>
  <c r="O15" i="37"/>
  <c r="G16" i="37"/>
  <c r="H16" i="37"/>
  <c r="I16" i="37"/>
  <c r="J16" i="37"/>
  <c r="K16" i="37"/>
  <c r="L16" i="37"/>
  <c r="M16" i="37"/>
  <c r="N16" i="37"/>
  <c r="O16" i="37"/>
  <c r="F12" i="37"/>
  <c r="F13" i="37"/>
  <c r="F14" i="37"/>
  <c r="F15" i="37"/>
  <c r="F16" i="37"/>
  <c r="F11" i="37"/>
  <c r="P4" i="37"/>
  <c r="P5" i="37"/>
  <c r="P6" i="37"/>
  <c r="P7" i="37"/>
  <c r="P8" i="37"/>
  <c r="P9" i="37"/>
  <c r="P3" i="37"/>
  <c r="N3" i="37"/>
  <c r="K4" i="37"/>
  <c r="L4" i="37"/>
  <c r="M4" i="37"/>
  <c r="N4" i="37"/>
  <c r="O4" i="37"/>
  <c r="K5" i="37"/>
  <c r="L5" i="37"/>
  <c r="M5" i="37"/>
  <c r="N5" i="37"/>
  <c r="O5" i="37"/>
  <c r="K6" i="37"/>
  <c r="L6" i="37"/>
  <c r="M6" i="37"/>
  <c r="N6" i="37"/>
  <c r="O6" i="37"/>
  <c r="K7" i="37"/>
  <c r="L7" i="37"/>
  <c r="M7" i="37"/>
  <c r="N7" i="37"/>
  <c r="O7" i="37"/>
  <c r="K8" i="37"/>
  <c r="L8" i="37"/>
  <c r="M8" i="37"/>
  <c r="N8" i="37"/>
  <c r="O8" i="37"/>
  <c r="K9" i="37"/>
  <c r="L9" i="37"/>
  <c r="M9" i="37"/>
  <c r="N9" i="37"/>
  <c r="O9" i="37"/>
  <c r="L3" i="37"/>
  <c r="M3" i="37"/>
  <c r="O3" i="37"/>
  <c r="K3" i="37"/>
  <c r="F4" i="37"/>
  <c r="G4" i="37"/>
  <c r="H4" i="37"/>
  <c r="I4" i="37"/>
  <c r="J4" i="37"/>
  <c r="F5" i="37"/>
  <c r="G5" i="37"/>
  <c r="H5" i="37"/>
  <c r="I5" i="37"/>
  <c r="J5" i="37"/>
  <c r="F6" i="37"/>
  <c r="G6" i="37"/>
  <c r="H6" i="37"/>
  <c r="I6" i="37"/>
  <c r="J6" i="37"/>
  <c r="F7" i="37"/>
  <c r="G7" i="37"/>
  <c r="H7" i="37"/>
  <c r="I7" i="37"/>
  <c r="J7" i="37"/>
  <c r="F8" i="37"/>
  <c r="G8" i="37"/>
  <c r="H8" i="37"/>
  <c r="I8" i="37"/>
  <c r="J8" i="37"/>
  <c r="F9" i="37"/>
  <c r="G9" i="37"/>
  <c r="H9" i="37"/>
  <c r="I9" i="37"/>
  <c r="J9" i="37"/>
  <c r="G3" i="37"/>
  <c r="H3" i="37"/>
  <c r="I3" i="37"/>
  <c r="J3" i="37"/>
  <c r="F3" i="37"/>
  <c r="F9" i="36"/>
  <c r="G9" i="36"/>
  <c r="H9" i="36"/>
  <c r="I9" i="36"/>
  <c r="C29" i="37" s="1"/>
  <c r="J9" i="36"/>
  <c r="D29" i="37" s="1"/>
  <c r="K9" i="36"/>
  <c r="E29" i="37" s="1"/>
  <c r="E9" i="36"/>
  <c r="B29" i="37"/>
  <c r="C23" i="37"/>
  <c r="D23" i="37"/>
  <c r="E23" i="37"/>
  <c r="C24" i="37"/>
  <c r="D24" i="37"/>
  <c r="E24" i="37"/>
  <c r="C25" i="37"/>
  <c r="D25" i="37"/>
  <c r="E25" i="37"/>
  <c r="C26" i="37"/>
  <c r="D26" i="37"/>
  <c r="E26" i="37"/>
  <c r="C27" i="37"/>
  <c r="D27" i="37"/>
  <c r="E27" i="37"/>
  <c r="C28" i="37"/>
  <c r="D28" i="37"/>
  <c r="E28" i="37"/>
  <c r="B24" i="37"/>
  <c r="B25" i="37"/>
  <c r="B26" i="37"/>
  <c r="B27" i="37"/>
  <c r="B28" i="37"/>
  <c r="B23" i="37"/>
  <c r="C18" i="37"/>
  <c r="D18" i="37"/>
  <c r="E18" i="37"/>
  <c r="C19" i="37"/>
  <c r="D19" i="37"/>
  <c r="E19" i="37"/>
  <c r="C20" i="37"/>
  <c r="D20" i="37"/>
  <c r="E20" i="37"/>
  <c r="C21" i="37"/>
  <c r="D21" i="37"/>
  <c r="E21" i="37"/>
  <c r="B19" i="37"/>
  <c r="B20" i="37"/>
  <c r="B21" i="37"/>
  <c r="B18" i="37"/>
  <c r="C16" i="37"/>
  <c r="D16" i="37"/>
  <c r="E16" i="37"/>
  <c r="C11" i="37"/>
  <c r="D11" i="37"/>
  <c r="E11" i="37"/>
  <c r="C12" i="37"/>
  <c r="D12" i="37"/>
  <c r="E12" i="37"/>
  <c r="C13" i="37"/>
  <c r="D13" i="37"/>
  <c r="E13" i="37"/>
  <c r="C14" i="37"/>
  <c r="D14" i="37"/>
  <c r="E14" i="37"/>
  <c r="C15" i="37"/>
  <c r="D15" i="37"/>
  <c r="E15" i="37"/>
  <c r="B12" i="37"/>
  <c r="B13" i="37"/>
  <c r="B14" i="37"/>
  <c r="B15" i="37"/>
  <c r="B16" i="37"/>
  <c r="B11" i="37"/>
  <c r="B4" i="37"/>
  <c r="C4" i="37"/>
  <c r="D4" i="37"/>
  <c r="E4" i="37"/>
  <c r="B5" i="37"/>
  <c r="C5" i="37"/>
  <c r="D5" i="37"/>
  <c r="E5" i="37"/>
  <c r="B6" i="37"/>
  <c r="C6" i="37"/>
  <c r="D6" i="37"/>
  <c r="E6" i="37"/>
  <c r="B7" i="37"/>
  <c r="C7" i="37"/>
  <c r="D7" i="37"/>
  <c r="E7" i="37"/>
  <c r="B8" i="37"/>
  <c r="C8" i="37"/>
  <c r="D8" i="37"/>
  <c r="E8" i="37"/>
  <c r="B9" i="37"/>
  <c r="C9" i="37"/>
  <c r="D9" i="37"/>
  <c r="E9" i="37"/>
  <c r="C3" i="37"/>
  <c r="D3" i="37"/>
  <c r="E3" i="37"/>
  <c r="B3" i="37"/>
  <c r="L9" i="36"/>
  <c r="L4" i="36"/>
  <c r="L5" i="36"/>
  <c r="L6" i="36"/>
  <c r="L7" i="36"/>
  <c r="L8" i="36"/>
  <c r="L3" i="36"/>
  <c r="J3" i="36"/>
  <c r="K3" i="36"/>
  <c r="J4" i="36"/>
  <c r="K4" i="36"/>
  <c r="J5" i="36"/>
  <c r="K5" i="36"/>
  <c r="J6" i="36"/>
  <c r="K6" i="36"/>
  <c r="J7" i="36"/>
  <c r="K7" i="36"/>
  <c r="J8" i="36"/>
  <c r="K8" i="36"/>
  <c r="I4" i="36"/>
  <c r="I5" i="36"/>
  <c r="I6" i="36"/>
  <c r="I7" i="36"/>
  <c r="I8" i="36"/>
  <c r="I3" i="36"/>
  <c r="G4" i="36"/>
  <c r="G5" i="36"/>
  <c r="G6" i="36"/>
  <c r="G7" i="36"/>
  <c r="G8" i="36"/>
  <c r="G3" i="36"/>
  <c r="F4" i="36"/>
  <c r="F5" i="36"/>
  <c r="F6" i="36"/>
  <c r="F7" i="36"/>
  <c r="F8" i="36"/>
  <c r="F3" i="36"/>
  <c r="E4" i="36"/>
  <c r="E5" i="36"/>
  <c r="E6" i="36"/>
  <c r="E7" i="36"/>
  <c r="E8" i="36"/>
  <c r="E3" i="36"/>
  <c r="B14" i="36"/>
  <c r="A24" i="37"/>
  <c r="A25" i="37"/>
  <c r="A26" i="37"/>
  <c r="A27" i="37"/>
  <c r="A28" i="37"/>
  <c r="A29" i="37"/>
  <c r="A23" i="37"/>
  <c r="A19" i="37"/>
  <c r="A20" i="37"/>
  <c r="A21" i="37"/>
  <c r="A18" i="37"/>
  <c r="A14" i="37"/>
  <c r="A15" i="37"/>
  <c r="A16" i="37"/>
  <c r="A12" i="37"/>
  <c r="A13" i="37"/>
  <c r="A11" i="37"/>
  <c r="A8" i="37"/>
  <c r="A9" i="37"/>
  <c r="A4" i="37"/>
  <c r="A5" i="37"/>
  <c r="A6" i="37"/>
  <c r="A7" i="37"/>
  <c r="A3" i="37"/>
  <c r="D4" i="36"/>
  <c r="D5" i="36"/>
  <c r="D6" i="36"/>
  <c r="D7" i="36"/>
  <c r="D8" i="36"/>
  <c r="D3" i="36"/>
  <c r="C4" i="36"/>
  <c r="C5" i="36"/>
  <c r="C6" i="36"/>
  <c r="C7" i="36"/>
  <c r="C8" i="36"/>
  <c r="C3" i="36"/>
  <c r="P4" i="35"/>
  <c r="P5" i="35"/>
  <c r="P3" i="35"/>
  <c r="X3" i="34"/>
  <c r="W3" i="34"/>
  <c r="E4" i="35"/>
  <c r="E5" i="35"/>
  <c r="E3" i="35"/>
  <c r="C29" i="35" l="1"/>
  <c r="I6" i="35"/>
  <c r="F5" i="35"/>
  <c r="J5" i="35" s="1"/>
  <c r="F4" i="35"/>
  <c r="J4" i="35" s="1"/>
  <c r="F3" i="35"/>
  <c r="J3" i="35" s="1"/>
  <c r="M3" i="35" l="1"/>
  <c r="R3" i="35"/>
  <c r="M4" i="35"/>
  <c r="R4" i="35"/>
  <c r="M5" i="35"/>
  <c r="R5" i="35"/>
  <c r="O3" i="35"/>
  <c r="J6" i="35"/>
  <c r="G5" i="35"/>
  <c r="K5" i="35" s="1"/>
  <c r="L5" i="35" s="1"/>
  <c r="G4" i="35"/>
  <c r="K4" i="35" s="1"/>
  <c r="L4" i="35" s="1"/>
  <c r="G3" i="35"/>
  <c r="K3" i="35" s="1"/>
  <c r="M6" i="35" l="1"/>
  <c r="H5" i="35"/>
  <c r="K6" i="35"/>
  <c r="L6" i="35" s="1"/>
  <c r="O4" i="35"/>
  <c r="H3" i="35"/>
  <c r="H4" i="35"/>
  <c r="O5" i="35"/>
  <c r="L3" i="35"/>
  <c r="S5" i="35" l="1"/>
  <c r="S4" i="35"/>
  <c r="R6" i="35" l="1"/>
  <c r="O6" i="35"/>
  <c r="S3" i="35" l="1"/>
  <c r="S6" i="35" s="1"/>
  <c r="W8" i="34" l="1"/>
  <c r="S8" i="34"/>
  <c r="S4" i="34"/>
  <c r="S5" i="34"/>
  <c r="S6" i="34"/>
  <c r="S7" i="34"/>
  <c r="S3" i="34"/>
  <c r="AB3" i="34" s="1"/>
  <c r="K4" i="34"/>
  <c r="K5" i="34"/>
  <c r="K6" i="34"/>
  <c r="K7" i="34"/>
  <c r="K3" i="34"/>
  <c r="AA4" i="34"/>
  <c r="AA5" i="34"/>
  <c r="AA6" i="34"/>
  <c r="AA7" i="34"/>
  <c r="AA3" i="34"/>
  <c r="AA8" i="34" s="1"/>
  <c r="X4" i="34"/>
  <c r="X5" i="34"/>
  <c r="X6" i="34"/>
  <c r="X7" i="34"/>
  <c r="Y4" i="34"/>
  <c r="Y5" i="34"/>
  <c r="Y6" i="34"/>
  <c r="Y7" i="34"/>
  <c r="Y3" i="34"/>
  <c r="W4" i="34"/>
  <c r="AB4" i="34" s="1"/>
  <c r="W5" i="34"/>
  <c r="AB5" i="34" s="1"/>
  <c r="W6" i="34"/>
  <c r="AB6" i="34" s="1"/>
  <c r="W7" i="34"/>
  <c r="AB7" i="34" s="1"/>
  <c r="R4" i="34"/>
  <c r="R5" i="34"/>
  <c r="R6" i="34"/>
  <c r="R7" i="34"/>
  <c r="R8" i="34"/>
  <c r="R3" i="34"/>
  <c r="Q8" i="34"/>
  <c r="Q4" i="34"/>
  <c r="Q5" i="34"/>
  <c r="Q6" i="34"/>
  <c r="Q7" i="34"/>
  <c r="Q3" i="34"/>
  <c r="P8" i="34"/>
  <c r="P4" i="34"/>
  <c r="P5" i="34"/>
  <c r="P6" i="34"/>
  <c r="P7" i="34"/>
  <c r="P3" i="34"/>
  <c r="O8" i="34"/>
  <c r="N4" i="34"/>
  <c r="N5" i="34"/>
  <c r="N6" i="34"/>
  <c r="N7" i="34"/>
  <c r="E16" i="34" s="1"/>
  <c r="F16" i="34" s="1"/>
  <c r="N3" i="34"/>
  <c r="M4" i="34"/>
  <c r="M5" i="34"/>
  <c r="M6" i="34"/>
  <c r="M7" i="34"/>
  <c r="M3" i="34"/>
  <c r="L4" i="34"/>
  <c r="L5" i="34"/>
  <c r="L6" i="34"/>
  <c r="L7" i="34"/>
  <c r="E18" i="34" s="1"/>
  <c r="F18" i="34" s="1"/>
  <c r="L3" i="34"/>
  <c r="D13" i="33"/>
  <c r="H10" i="33"/>
  <c r="D3" i="34"/>
  <c r="E3" i="34"/>
  <c r="F3" i="34"/>
  <c r="G3" i="34"/>
  <c r="D4" i="34"/>
  <c r="E4" i="34"/>
  <c r="F4" i="34"/>
  <c r="G4" i="34"/>
  <c r="D5" i="34"/>
  <c r="E5" i="34"/>
  <c r="F5" i="34"/>
  <c r="G5" i="34"/>
  <c r="D6" i="34"/>
  <c r="E6" i="34"/>
  <c r="F6" i="34"/>
  <c r="G6" i="34"/>
  <c r="D7" i="34"/>
  <c r="E7" i="34"/>
  <c r="F7" i="34"/>
  <c r="G7" i="34"/>
  <c r="C4" i="34"/>
  <c r="C5" i="34"/>
  <c r="C6" i="34"/>
  <c r="C7" i="34"/>
  <c r="C3" i="34"/>
  <c r="C3" i="33"/>
  <c r="C31" i="34"/>
  <c r="G25" i="34"/>
  <c r="H24" i="34"/>
  <c r="G18" i="34"/>
  <c r="G16" i="34"/>
  <c r="AB8" i="34" l="1"/>
  <c r="H5" i="34"/>
  <c r="I5" i="34" s="1"/>
  <c r="H18" i="34"/>
  <c r="H16" i="34"/>
  <c r="H6" i="34"/>
  <c r="I6" i="34" s="1"/>
  <c r="H7" i="34"/>
  <c r="I7" i="34" s="1"/>
  <c r="H4" i="34"/>
  <c r="I4" i="34" s="1"/>
  <c r="H3" i="34" l="1"/>
  <c r="I3" i="34" s="1"/>
  <c r="AA4" i="33" l="1"/>
  <c r="AA5" i="33"/>
  <c r="AA6" i="33"/>
  <c r="AA7" i="33"/>
  <c r="AA8" i="33"/>
  <c r="AA3" i="33"/>
  <c r="S3" i="33"/>
  <c r="G19" i="33"/>
  <c r="G17" i="33"/>
  <c r="X4" i="33"/>
  <c r="G13" i="33" s="1"/>
  <c r="H13" i="33" s="1"/>
  <c r="X5" i="33"/>
  <c r="X6" i="33"/>
  <c r="X7" i="33"/>
  <c r="X8" i="33"/>
  <c r="X3" i="33"/>
  <c r="H25" i="33"/>
  <c r="F13" i="33" s="1"/>
  <c r="O9" i="33"/>
  <c r="Y3" i="33" l="1"/>
  <c r="Y8" i="33"/>
  <c r="Y7" i="33"/>
  <c r="Y6" i="33"/>
  <c r="Y5" i="33"/>
  <c r="Y4" i="33"/>
  <c r="L7" i="33" l="1"/>
  <c r="P7" i="33" s="1"/>
  <c r="L8" i="33"/>
  <c r="P8" i="33" s="1"/>
  <c r="L6" i="33"/>
  <c r="P6" i="33" s="1"/>
  <c r="L4" i="33"/>
  <c r="P4" i="33" s="1"/>
  <c r="L5" i="33"/>
  <c r="P5" i="33" s="1"/>
  <c r="L3" i="33"/>
  <c r="P3" i="33" s="1"/>
  <c r="G3" i="33"/>
  <c r="F3" i="33"/>
  <c r="E3" i="33"/>
  <c r="C4" i="33"/>
  <c r="D4" i="33"/>
  <c r="E4" i="33"/>
  <c r="F4" i="33"/>
  <c r="G4" i="33"/>
  <c r="C5" i="33"/>
  <c r="D5" i="33"/>
  <c r="E5" i="33"/>
  <c r="F5" i="33"/>
  <c r="G5" i="33"/>
  <c r="C6" i="33"/>
  <c r="D6" i="33"/>
  <c r="E6" i="33"/>
  <c r="F6" i="33"/>
  <c r="G6" i="33"/>
  <c r="C7" i="33"/>
  <c r="D7" i="33"/>
  <c r="E7" i="33"/>
  <c r="F7" i="33"/>
  <c r="G7" i="33"/>
  <c r="C8" i="33"/>
  <c r="D8" i="33"/>
  <c r="E8" i="33"/>
  <c r="F8" i="33"/>
  <c r="G8" i="33"/>
  <c r="D3" i="33"/>
  <c r="G26" i="33"/>
  <c r="H3" i="33" l="1"/>
  <c r="I3" i="33" s="1"/>
  <c r="P9" i="33"/>
  <c r="L9" i="33"/>
  <c r="E19" i="33" s="1"/>
  <c r="H19" i="33" s="1"/>
  <c r="H8" i="33"/>
  <c r="H7" i="33"/>
  <c r="H4" i="33"/>
  <c r="H6" i="33"/>
  <c r="H5" i="33"/>
  <c r="I6" i="33" l="1"/>
  <c r="I8" i="33"/>
  <c r="I5" i="33"/>
  <c r="I4" i="33"/>
  <c r="I7" i="33"/>
  <c r="K3" i="33"/>
  <c r="G32" i="33"/>
  <c r="C32" i="33"/>
  <c r="K4" i="33" l="1"/>
  <c r="K5" i="33"/>
  <c r="K7" i="33"/>
  <c r="K8" i="33"/>
  <c r="K6" i="33"/>
  <c r="M5" i="33"/>
  <c r="M3" i="33"/>
  <c r="Q3" i="33" s="1"/>
  <c r="M4" i="33"/>
  <c r="M8" i="33"/>
  <c r="M6" i="33"/>
  <c r="M7" i="33"/>
  <c r="N5" i="33" l="1"/>
  <c r="V5" i="33" s="1"/>
  <c r="Q5" i="33"/>
  <c r="N7" i="33"/>
  <c r="V7" i="33" s="1"/>
  <c r="Q7" i="33"/>
  <c r="N6" i="33"/>
  <c r="V6" i="33" s="1"/>
  <c r="Q6" i="33"/>
  <c r="N8" i="33"/>
  <c r="V8" i="33" s="1"/>
  <c r="Q8" i="33"/>
  <c r="N4" i="33"/>
  <c r="V4" i="33" s="1"/>
  <c r="Q4" i="33"/>
  <c r="N3" i="33"/>
  <c r="V3" i="33" s="1"/>
  <c r="M9" i="33"/>
  <c r="Q9" i="33" l="1"/>
  <c r="R3" i="33"/>
  <c r="R4" i="33"/>
  <c r="R8" i="33"/>
  <c r="R6" i="33"/>
  <c r="R7" i="33"/>
  <c r="R5" i="33"/>
  <c r="N9" i="33"/>
  <c r="V9" i="33" s="1"/>
  <c r="Z5" i="33" l="1"/>
  <c r="Z7" i="33"/>
  <c r="Z8" i="33"/>
  <c r="Z3" i="33"/>
  <c r="Z6" i="33"/>
  <c r="Z4" i="33"/>
  <c r="S5" i="33"/>
  <c r="S7" i="33"/>
  <c r="S6" i="33"/>
  <c r="S8" i="33"/>
  <c r="S4" i="33"/>
  <c r="S9" i="33"/>
  <c r="R9" i="33"/>
  <c r="T3" i="33" s="1"/>
  <c r="F19" i="33"/>
  <c r="E17" i="33"/>
  <c r="Z9" i="33" l="1"/>
  <c r="F17" i="33"/>
  <c r="H17" i="33"/>
  <c r="AA9" i="33"/>
  <c r="T5" i="33"/>
  <c r="T8" i="33"/>
  <c r="U8" i="33" s="1"/>
  <c r="T6" i="33"/>
  <c r="U6" i="33" s="1"/>
  <c r="T7" i="33"/>
  <c r="U7" i="33" s="1"/>
  <c r="U5" i="33"/>
  <c r="T4" i="33"/>
  <c r="U4" i="33" s="1"/>
  <c r="U3" i="33"/>
  <c r="AB3" i="33" s="1"/>
  <c r="W4" i="33" l="1"/>
  <c r="AB4" i="33"/>
  <c r="W5" i="33"/>
  <c r="AB5" i="33"/>
  <c r="W7" i="33"/>
  <c r="AB7" i="33"/>
  <c r="W6" i="33"/>
  <c r="AB6" i="33"/>
  <c r="W8" i="33"/>
  <c r="AB8" i="33"/>
  <c r="AB9" i="33"/>
  <c r="W3" i="33"/>
  <c r="U9" i="33"/>
  <c r="T9" i="33"/>
  <c r="W9" i="33"/>
  <c r="H31" i="14" l="1"/>
  <c r="I31" i="14" s="1"/>
  <c r="I30" i="14"/>
  <c r="H30" i="14"/>
  <c r="G30" i="14"/>
  <c r="I29" i="14"/>
  <c r="H29" i="14"/>
  <c r="G29" i="14"/>
  <c r="I28" i="14"/>
  <c r="H28" i="14"/>
  <c r="G28" i="14" s="1"/>
  <c r="H25" i="14"/>
  <c r="I25" i="14" s="1"/>
  <c r="I24" i="14"/>
  <c r="H24" i="14"/>
  <c r="G24" i="14"/>
  <c r="I23" i="14"/>
  <c r="H23" i="14"/>
  <c r="G23" i="14"/>
  <c r="I22" i="14"/>
  <c r="H22" i="14"/>
  <c r="G22" i="14" s="1"/>
  <c r="H19" i="14"/>
  <c r="I19" i="14" s="1"/>
  <c r="I18" i="14"/>
  <c r="H18" i="14"/>
  <c r="G18" i="14"/>
  <c r="I17" i="14"/>
  <c r="H17" i="14"/>
  <c r="G17" i="14"/>
  <c r="I16" i="14"/>
  <c r="H16" i="14"/>
  <c r="G16" i="14" s="1"/>
  <c r="H13" i="14"/>
  <c r="I13" i="14" s="1"/>
  <c r="I12" i="14"/>
  <c r="H12" i="14"/>
  <c r="G12" i="14"/>
  <c r="I11" i="14"/>
  <c r="H11" i="14"/>
  <c r="G11" i="14"/>
  <c r="I10" i="14"/>
  <c r="H10" i="14"/>
  <c r="G10" i="14" s="1"/>
  <c r="H7" i="14"/>
  <c r="I7" i="14" s="1"/>
  <c r="I6" i="14"/>
  <c r="H6" i="14"/>
  <c r="G6" i="14"/>
  <c r="I5" i="14"/>
  <c r="H5" i="14"/>
  <c r="G5" i="14"/>
  <c r="I4" i="14"/>
  <c r="H4" i="14"/>
  <c r="G4" i="14" s="1"/>
  <c r="K29" i="13"/>
  <c r="L29" i="13" s="1"/>
  <c r="J29" i="13"/>
  <c r="K28" i="13"/>
  <c r="J28" i="13"/>
  <c r="L28" i="13" s="1"/>
  <c r="L27" i="13"/>
  <c r="K27" i="13"/>
  <c r="J27" i="13"/>
  <c r="L26" i="13"/>
  <c r="K26" i="13"/>
  <c r="J26" i="13"/>
  <c r="K23" i="13"/>
  <c r="L23" i="13" s="1"/>
  <c r="J23" i="13"/>
  <c r="K22" i="13"/>
  <c r="J22" i="13"/>
  <c r="L22" i="13" s="1"/>
  <c r="L21" i="13"/>
  <c r="K21" i="13"/>
  <c r="J21" i="13"/>
  <c r="L20" i="13"/>
  <c r="K20" i="13"/>
  <c r="J20" i="13"/>
  <c r="K17" i="13"/>
  <c r="L17" i="13" s="1"/>
  <c r="J17" i="13"/>
  <c r="K16" i="13"/>
  <c r="J16" i="13"/>
  <c r="L16" i="13" s="1"/>
  <c r="L15" i="13"/>
  <c r="K15" i="13"/>
  <c r="J15" i="13"/>
  <c r="L14" i="13"/>
  <c r="K14" i="13"/>
  <c r="J14" i="13"/>
  <c r="K11" i="13"/>
  <c r="L11" i="13" s="1"/>
  <c r="J11" i="13"/>
  <c r="K10" i="13"/>
  <c r="J10" i="13"/>
  <c r="L10" i="13" s="1"/>
  <c r="L9" i="13"/>
  <c r="K9" i="13"/>
  <c r="J9" i="13"/>
  <c r="L8" i="13"/>
  <c r="K8" i="13"/>
  <c r="J8" i="13"/>
  <c r="K5" i="13"/>
  <c r="L5" i="13" s="1"/>
  <c r="J5" i="13"/>
  <c r="K4" i="13"/>
  <c r="L4" i="13" s="1"/>
  <c r="J4" i="13"/>
  <c r="L3" i="13"/>
  <c r="K3" i="13"/>
  <c r="J3" i="13"/>
  <c r="L2" i="13"/>
  <c r="K2" i="13"/>
  <c r="J2" i="13"/>
  <c r="J28" i="12"/>
  <c r="J27" i="12"/>
  <c r="J26" i="12"/>
  <c r="J23" i="12"/>
  <c r="J22" i="12"/>
  <c r="J21" i="12"/>
  <c r="J20" i="12"/>
  <c r="G17" i="12"/>
  <c r="G16" i="12"/>
  <c r="G15" i="12"/>
  <c r="G14" i="12"/>
  <c r="V42" i="11"/>
  <c r="V43" i="11" s="1"/>
  <c r="V44" i="11" s="1"/>
  <c r="U42" i="11"/>
  <c r="U43" i="11" s="1"/>
  <c r="U44" i="11" s="1"/>
  <c r="T42" i="11"/>
  <c r="T43" i="11" s="1"/>
  <c r="T44" i="11" s="1"/>
  <c r="S42" i="11"/>
  <c r="S43" i="11" s="1"/>
  <c r="S44" i="11" s="1"/>
  <c r="R42" i="11"/>
  <c r="R43" i="11" s="1"/>
  <c r="R44" i="11" s="1"/>
  <c r="Q42" i="11"/>
  <c r="Q43" i="11" s="1"/>
  <c r="Q44" i="11" s="1"/>
  <c r="P42" i="11"/>
  <c r="P43" i="11" s="1"/>
  <c r="P44" i="11" s="1"/>
  <c r="O42" i="11"/>
  <c r="O43" i="11" s="1"/>
  <c r="O44" i="11" s="1"/>
  <c r="N42" i="11"/>
  <c r="N43" i="11" s="1"/>
  <c r="N44" i="11" s="1"/>
  <c r="M42" i="11"/>
  <c r="M43" i="11" s="1"/>
  <c r="M44" i="11" s="1"/>
  <c r="L42" i="11"/>
  <c r="L43" i="11" s="1"/>
  <c r="L44" i="11" s="1"/>
  <c r="K42" i="11"/>
  <c r="K43" i="11" s="1"/>
  <c r="K44" i="11" s="1"/>
  <c r="J42" i="11"/>
  <c r="J43" i="11" s="1"/>
  <c r="J44" i="11" s="1"/>
  <c r="I42" i="11"/>
  <c r="I43" i="11" s="1"/>
  <c r="I44" i="11" s="1"/>
  <c r="H42" i="11"/>
  <c r="H43" i="11" s="1"/>
  <c r="H44" i="11" s="1"/>
  <c r="G42" i="11"/>
  <c r="G43" i="11" s="1"/>
  <c r="G44" i="11" s="1"/>
  <c r="F42" i="11"/>
  <c r="F43" i="11" s="1"/>
  <c r="F44" i="11" s="1"/>
  <c r="E42" i="11"/>
  <c r="E43" i="11" s="1"/>
  <c r="E44" i="11" s="1"/>
  <c r="D42" i="11"/>
  <c r="D43" i="11" s="1"/>
  <c r="D44" i="11" s="1"/>
  <c r="C42" i="11"/>
  <c r="C43" i="11" s="1"/>
  <c r="C44" i="11" s="1"/>
  <c r="W41" i="11"/>
  <c r="W40" i="11"/>
  <c r="W39" i="11"/>
  <c r="W38" i="11"/>
  <c r="W37" i="11"/>
  <c r="W36" i="11"/>
  <c r="W35" i="11"/>
  <c r="W34" i="11"/>
  <c r="W33" i="11"/>
  <c r="W32" i="11"/>
  <c r="W31" i="11"/>
  <c r="W30" i="11"/>
  <c r="W29" i="11"/>
  <c r="W28" i="11"/>
  <c r="W27" i="11"/>
  <c r="W26" i="11"/>
  <c r="W25" i="11"/>
  <c r="W24" i="11"/>
  <c r="W23" i="11"/>
  <c r="W22" i="11"/>
  <c r="W21" i="11"/>
  <c r="W20" i="11"/>
  <c r="W19" i="11"/>
  <c r="W18" i="11"/>
  <c r="W17" i="11"/>
  <c r="W16" i="11"/>
  <c r="W15" i="11"/>
  <c r="W14" i="11"/>
  <c r="W13" i="11"/>
  <c r="W12" i="11"/>
  <c r="W11" i="11"/>
  <c r="W10" i="11"/>
  <c r="W9" i="11"/>
  <c r="W8" i="11"/>
  <c r="W7" i="11"/>
  <c r="W6" i="11"/>
  <c r="W5" i="11"/>
  <c r="W4" i="11"/>
  <c r="W3" i="11"/>
  <c r="W2" i="11"/>
  <c r="J31" i="5"/>
  <c r="I31" i="5"/>
  <c r="H31" i="5"/>
  <c r="I30" i="5"/>
  <c r="J30" i="5" s="1"/>
  <c r="H30" i="5"/>
  <c r="I29" i="5"/>
  <c r="J29" i="5" s="1"/>
  <c r="H29" i="5"/>
  <c r="I28" i="5"/>
  <c r="H28" i="5" s="1"/>
  <c r="J25" i="5"/>
  <c r="I25" i="5"/>
  <c r="H25" i="5"/>
  <c r="I24" i="5"/>
  <c r="J24" i="5" s="1"/>
  <c r="H24" i="5"/>
  <c r="I23" i="5"/>
  <c r="J23" i="5" s="1"/>
  <c r="H23" i="5"/>
  <c r="I22" i="5"/>
  <c r="H22" i="5" s="1"/>
  <c r="J19" i="5"/>
  <c r="I19" i="5"/>
  <c r="H19" i="5"/>
  <c r="I18" i="5"/>
  <c r="J18" i="5" s="1"/>
  <c r="H18" i="5"/>
  <c r="I17" i="5"/>
  <c r="J17" i="5" s="1"/>
  <c r="H17" i="5"/>
  <c r="I16" i="5"/>
  <c r="H16" i="5" s="1"/>
  <c r="J13" i="5"/>
  <c r="I13" i="5"/>
  <c r="H13" i="5"/>
  <c r="I12" i="5"/>
  <c r="J12" i="5" s="1"/>
  <c r="H12" i="5"/>
  <c r="I11" i="5"/>
  <c r="J11" i="5" s="1"/>
  <c r="H11" i="5"/>
  <c r="I10" i="5"/>
  <c r="H10" i="5" s="1"/>
  <c r="J7" i="5"/>
  <c r="I7" i="5"/>
  <c r="H7" i="5"/>
  <c r="I6" i="5"/>
  <c r="J6" i="5" s="1"/>
  <c r="H6" i="5"/>
  <c r="I5" i="5"/>
  <c r="J5" i="5" s="1"/>
  <c r="H5" i="5"/>
  <c r="I4" i="5"/>
  <c r="H4" i="5" s="1"/>
  <c r="J4" i="5" l="1"/>
  <c r="J10" i="5"/>
  <c r="J16" i="5"/>
  <c r="J22" i="5"/>
  <c r="J28" i="5"/>
  <c r="G7" i="14"/>
  <c r="G13" i="14"/>
  <c r="G19" i="14"/>
  <c r="G25" i="14"/>
  <c r="G31" i="14"/>
</calcChain>
</file>

<file path=xl/sharedStrings.xml><?xml version="1.0" encoding="utf-8"?>
<sst xmlns="http://schemas.openxmlformats.org/spreadsheetml/2006/main" count="775" uniqueCount="281">
  <si>
    <t>Assumptions</t>
  </si>
  <si>
    <t>Total</t>
  </si>
  <si>
    <t>Labor Category</t>
  </si>
  <si>
    <t>Program Operations Services - Level 2</t>
  </si>
  <si>
    <t>Program Operations Services - Level 1</t>
  </si>
  <si>
    <t>Engineering Services - Level 4</t>
  </si>
  <si>
    <t>Engineering Services - Level 3</t>
  </si>
  <si>
    <t>Engineering Services - Level 2</t>
  </si>
  <si>
    <t>Scientific Information Services - Level 3</t>
  </si>
  <si>
    <t>Scientific Information Services - Level 2</t>
  </si>
  <si>
    <t>Program Operations Services - Level 4</t>
  </si>
  <si>
    <t>Level</t>
  </si>
  <si>
    <t>Experience (yrs)</t>
  </si>
  <si>
    <t>Lower Range</t>
  </si>
  <si>
    <t>Average</t>
  </si>
  <si>
    <t>Upper Range</t>
  </si>
  <si>
    <t>ProTech Ceiling</t>
  </si>
  <si>
    <t>OASIS Ceiling</t>
  </si>
  <si>
    <t>Scientific Services</t>
  </si>
  <si>
    <t>Average-centered range -/+ two standard deviations</t>
  </si>
  <si>
    <t>Average-centered range -/+ one standard deviation</t>
  </si>
  <si>
    <t>Examples: Astronomy, Atmospheric Sciences, Chemistry, Climatology, Earth Science, Environmental Science, Geodesy, Geology, Materials Science, Meteorology, Oceanography, Physics, Space Science</t>
  </si>
  <si>
    <t>Scientific Services - Level 1</t>
  </si>
  <si>
    <t>0 &lt; yrs &lt; 5</t>
  </si>
  <si>
    <t>Scientific Services - Level 2</t>
  </si>
  <si>
    <t>5 &lt; yrs &lt; 10</t>
  </si>
  <si>
    <t>Scientific Services - Level 3</t>
  </si>
  <si>
    <t>10 &lt; yrs &lt; 15</t>
  </si>
  <si>
    <t>Scientific Services - Level 4</t>
  </si>
  <si>
    <t>15 &lt; yrs &lt; 20</t>
  </si>
  <si>
    <t>Scientific Services - Level 5</t>
  </si>
  <si>
    <t>&gt; 20</t>
  </si>
  <si>
    <t>Engineering Services</t>
  </si>
  <si>
    <t>Examples: Electrical, Electronic, Chemical, Electronics, Equipment, General, Materials, Mechanical, Systems</t>
  </si>
  <si>
    <t>Engineering Services - Level 1</t>
  </si>
  <si>
    <t>Engineering Services - Level 5</t>
  </si>
  <si>
    <t>Analytical Services</t>
  </si>
  <si>
    <t>Examples: Computer Science, Mathematics, Operations Research, Statistics</t>
  </si>
  <si>
    <t>Analytical Services -Level 1</t>
  </si>
  <si>
    <t>Analytical Services -Level 2</t>
  </si>
  <si>
    <t>Analytical Services -Level 3</t>
  </si>
  <si>
    <t>Analytical Services -Level 4</t>
  </si>
  <si>
    <t>Analytical Services -Level 5</t>
  </si>
  <si>
    <t>Program Operation Services</t>
  </si>
  <si>
    <t>Examples: Budget Analysis, Education and Training, Financial Management, International Cooperation, Management and Program Analysis, Program Management, Technical Writing and Editing</t>
  </si>
  <si>
    <t>Program Operations Services - Level 3</t>
  </si>
  <si>
    <t>Program Operations Services - Level 5</t>
  </si>
  <si>
    <t>Scientific Information Services</t>
  </si>
  <si>
    <t>Examples: Data Collection, Data Processing, Image Analysis, Information Systems, Quality Control Inspection, Scientific Applications Programming, Scientific Systems Analysis, Web Designing</t>
  </si>
  <si>
    <t>Scientific Information Services - Level 1</t>
  </si>
  <si>
    <t>Scientific Information Services - Level 4</t>
  </si>
  <si>
    <t>Scientific Information Services - Level 5</t>
  </si>
  <si>
    <t>To Add Custom Labor Categories</t>
  </si>
  <si>
    <t>Add custom labor categories to the tool by</t>
  </si>
  <si>
    <t>Custom Labor Category 1</t>
  </si>
  <si>
    <t>over-writing any of the 12 "Custom Labor Category"</t>
  </si>
  <si>
    <t>Custom Labor Category 2</t>
  </si>
  <si>
    <t>instances in Column C.</t>
  </si>
  <si>
    <t>Custom Labor Category 3</t>
  </si>
  <si>
    <t>If a range of rates for the labor category is available,</t>
  </si>
  <si>
    <t>Custom Labor Category 4</t>
  </si>
  <si>
    <t>place the low, average, and high rates in Columns E, F, G</t>
  </si>
  <si>
    <t>Custom Labor Category 5</t>
  </si>
  <si>
    <t>respectively.</t>
  </si>
  <si>
    <t>Custom Labor Category 6</t>
  </si>
  <si>
    <t>If a single rate for the labor category is available,</t>
  </si>
  <si>
    <t>Custom Labor Category 7</t>
  </si>
  <si>
    <t>place it in Colums E, F, and G.</t>
  </si>
  <si>
    <t>Custom Labor Category 8</t>
  </si>
  <si>
    <t>Custom Labor Category 9</t>
  </si>
  <si>
    <t>Custom Labor Category 10</t>
  </si>
  <si>
    <t>Please contact the ProTech PMO if more than twelve</t>
  </si>
  <si>
    <t>Custom Labor Category 11</t>
  </si>
  <si>
    <t>custom labor categories are needed.</t>
  </si>
  <si>
    <t>Custom Labor Category 12</t>
  </si>
  <si>
    <t>Note: Advanced degrees from an accredited institution and/or professional credentials from a recognized entity may be cumulatively tallied and substituted for experience. Masters and associates degrees are equivalent to two years of experience; bachelors and doctoral degrees are equivalent to four years of experience. Requirements for specialized degrees, credentials, and experience will be specified at the task order level.</t>
  </si>
  <si>
    <t>Satellite Domain</t>
  </si>
  <si>
    <t>Rev 1.0 - September 2017</t>
  </si>
  <si>
    <t>ss1</t>
  </si>
  <si>
    <t>ss2</t>
  </si>
  <si>
    <t>ss3</t>
  </si>
  <si>
    <t>ss4</t>
  </si>
  <si>
    <t>es1</t>
  </si>
  <si>
    <t>es2</t>
  </si>
  <si>
    <t>es3</t>
  </si>
  <si>
    <t>es4</t>
  </si>
  <si>
    <t>as1</t>
  </si>
  <si>
    <t>as2</t>
  </si>
  <si>
    <t>as3</t>
  </si>
  <si>
    <t>as4</t>
  </si>
  <si>
    <t>pos1</t>
  </si>
  <si>
    <t>pos2</t>
  </si>
  <si>
    <t>pos3</t>
  </si>
  <si>
    <t>pos4</t>
  </si>
  <si>
    <t>sis1</t>
  </si>
  <si>
    <t>sis2</t>
  </si>
  <si>
    <t>sis3</t>
  </si>
  <si>
    <t>sis4</t>
  </si>
  <si>
    <t>Project Manager</t>
  </si>
  <si>
    <t>x</t>
  </si>
  <si>
    <t>Sr. Support Scientist IV</t>
  </si>
  <si>
    <t>Support Scientist III</t>
  </si>
  <si>
    <t xml:space="preserve">Support Scientist II </t>
  </si>
  <si>
    <t>Support Scientist I</t>
  </si>
  <si>
    <t>Scientific Analyst IV</t>
  </si>
  <si>
    <t>Scientific Analyst III</t>
  </si>
  <si>
    <t xml:space="preserve">Scientific Analyst II </t>
  </si>
  <si>
    <t>Scientific Analyst I</t>
  </si>
  <si>
    <t>Scientific/Engineering Tech.</t>
  </si>
  <si>
    <t>Engineer V</t>
  </si>
  <si>
    <t>Engineer IV</t>
  </si>
  <si>
    <t>Engineer III</t>
  </si>
  <si>
    <t xml:space="preserve">Engineer II </t>
  </si>
  <si>
    <t>Engineer I</t>
  </si>
  <si>
    <t>Principal Engineer</t>
  </si>
  <si>
    <t>Engineering Mgr./Sr. Engineering Consultant</t>
  </si>
  <si>
    <t>Engineering Consultant/Tech. Consultant</t>
  </si>
  <si>
    <t>Sr. Proj. Engineer/ Consultant</t>
  </si>
  <si>
    <t>Proj. Engineer/Proj. Manager</t>
  </si>
  <si>
    <t>Sr. Engineer/Sr. Scientist</t>
  </si>
  <si>
    <t>Lead Engineer/Scientist</t>
  </si>
  <si>
    <t>Engineer/Sr. Tech. Asst.</t>
  </si>
  <si>
    <t>Asst. Engineer/Designer/Lab Tech.</t>
  </si>
  <si>
    <t>Director/Chief Eng. or Scientist</t>
  </si>
  <si>
    <t>Sr. Prog. Mgr./Sr. Rsch. Eng. III  or Principal Scientist</t>
  </si>
  <si>
    <t>Prog. Mgr./Sr. Rsch. Engr. II or Sr. Rsch. Scientist II</t>
  </si>
  <si>
    <t>Sr. Proj. Leader/Sr. Rsch. Engr. I or Sr. Rsch. Scientist I</t>
  </si>
  <si>
    <t>Proj. Leader/Rsch. Engr. III or Rsch. Scientist III</t>
  </si>
  <si>
    <t>Rsc. Engr. II or Rsch. Scientist II</t>
  </si>
  <si>
    <t>Rsch. Eng. I or Rsch. Scientist I</t>
  </si>
  <si>
    <t>Eng. III or Scientist III</t>
  </si>
  <si>
    <t>Eng. II or Scientist II</t>
  </si>
  <si>
    <t>Eng. I or Scientist I</t>
  </si>
  <si>
    <t>Rsch. Asst. III/Admin. Asst. III</t>
  </si>
  <si>
    <t>Rsch. Asst. II/Admin. Asst. II</t>
  </si>
  <si>
    <t>Rsch. Asst. I/Admin. Asst. I</t>
  </si>
  <si>
    <t>Technician III</t>
  </si>
  <si>
    <t xml:space="preserve">Technician II </t>
  </si>
  <si>
    <t>Technician I</t>
  </si>
  <si>
    <t>4 &lt; yrs &lt; 8</t>
  </si>
  <si>
    <t>8 &lt; yrs &lt; 16</t>
  </si>
  <si>
    <t>16 &lt; yrs &lt; 25</t>
  </si>
  <si>
    <t>yrs &gt; 25</t>
  </si>
  <si>
    <t xml:space="preserve"> Examples: Electrical, Electronic, Chemical, Electronics, Equipment, General, Materials, Mechanical, Systems</t>
  </si>
  <si>
    <t>Computer Science</t>
  </si>
  <si>
    <t>Operations Res</t>
  </si>
  <si>
    <t>Statistics</t>
  </si>
  <si>
    <t>Budget</t>
  </si>
  <si>
    <t>Training</t>
  </si>
  <si>
    <t>Account</t>
  </si>
  <si>
    <t>Prog Analysis</t>
  </si>
  <si>
    <t>Prog Mgmt</t>
  </si>
  <si>
    <t>Tech Writer</t>
  </si>
  <si>
    <t>Data Proc</t>
  </si>
  <si>
    <t>Image Analysis</t>
  </si>
  <si>
    <t>Qual Control</t>
  </si>
  <si>
    <t>Application Pgmr</t>
  </si>
  <si>
    <t>Scientific Analysis</t>
  </si>
  <si>
    <t>Web Designer</t>
  </si>
  <si>
    <t>Astronomy</t>
  </si>
  <si>
    <t>Geoscience</t>
  </si>
  <si>
    <t>Chemist</t>
  </si>
  <si>
    <t xml:space="preserve">Physics        Materials </t>
  </si>
  <si>
    <t>StdDev</t>
  </si>
  <si>
    <t>SD/Ave</t>
  </si>
  <si>
    <t>Electrical</t>
  </si>
  <si>
    <t>Chemical</t>
  </si>
  <si>
    <t>Aerospace</t>
  </si>
  <si>
    <t>Mechanical</t>
  </si>
  <si>
    <t>Material</t>
  </si>
  <si>
    <t>Finan Mgr</t>
  </si>
  <si>
    <t>Mgmt Analysis</t>
  </si>
  <si>
    <t>Computer Oper</t>
  </si>
  <si>
    <t>Cart &amp; Photo</t>
  </si>
  <si>
    <t>Inspector</t>
  </si>
  <si>
    <t>Software Dev</t>
  </si>
  <si>
    <t>SciTech</t>
  </si>
  <si>
    <t>GSA Calc</t>
  </si>
  <si>
    <t>OASIS</t>
  </si>
  <si>
    <t>Rates</t>
  </si>
  <si>
    <t>Labor Categories and Rates</t>
  </si>
  <si>
    <r>
      <rPr>
        <sz val="11"/>
        <color theme="1"/>
        <rFont val="Calibri"/>
        <family val="2"/>
      </rPr>
      <t xml:space="preserve">
Recommended ProTech Satellite Domain labor rates appear on tab </t>
    </r>
    <r>
      <rPr>
        <b/>
        <sz val="11"/>
        <color theme="1"/>
        <rFont val="Calibri"/>
        <family val="2"/>
      </rPr>
      <t>"ProTech LCats &amp; Rates"</t>
    </r>
    <r>
      <rPr>
        <sz val="11"/>
        <color theme="1"/>
        <rFont val="Calibri"/>
        <family val="2"/>
      </rPr>
      <t xml:space="preserve">, in Column H "Average". Since the rates were averaged from several sources, it is possible to also identify a range of rates, bounded by one sample standard deviation below (Column G) and above (Column I) the average rate.  Rates below the Lower Range bounds should be judged unrealistic: Programs are likely to have difficulty filling and/or retaining quality staff at such rates. Rates above the Upper Range bound may in fact be realistic and reasonable.  The "ProTech Ceiling" guidance of Column J is an </t>
    </r>
    <r>
      <rPr>
        <i/>
        <sz val="11"/>
        <color theme="1"/>
        <rFont val="Calibri"/>
        <family val="2"/>
      </rPr>
      <t>average of awarded ceiling rates</t>
    </r>
    <r>
      <rPr>
        <sz val="11"/>
        <color theme="1"/>
        <rFont val="Calibri"/>
        <family val="2"/>
      </rPr>
      <t xml:space="preserve">. Assessment will need to be conducted on a company-by-company basis. "OASIS Ceiling" rates are generally higher than ProTech ceiling rates and are based on larger samples of wider geographic distribution.
Rate uniformity may be an issue to consider. While small rate variations occur between different types of scientists, engineers, and analysts, significant rate variations were identified among categories in the Program Operation Services and Scientific Information Services. Program managers, for instance, generally outearn trainers or technical writers, application developers generally outearn data processors. Accordingly, cost estimate biases may be observed in requirements where, for instance, technical writers or trainers significantly outnumber program, budget and/or financial managers. The bias will not be observed in cases with nearly equal numbers of these labor categories. Columns K and L of tab </t>
    </r>
    <r>
      <rPr>
        <b/>
        <sz val="11"/>
        <color theme="1"/>
        <rFont val="Calibri"/>
        <family val="2"/>
      </rPr>
      <t>"Source 3, OASIS Blended"</t>
    </r>
    <r>
      <rPr>
        <sz val="11"/>
        <color theme="1"/>
        <rFont val="Calibri"/>
        <family val="2"/>
      </rPr>
      <t xml:space="preserve"> provide analysis of this issue.
For initial release 1.0 labor rates for ProTech Satellite Domain labor categories were developed considering three sources. This information is provided for reference, but probably unnecessary for IGCE development or price realism/reasonableness determination. 
(1) Final-year rates from the SciTech IDIQ, delivered by NESDIS CFO acquisition liaison. Different SciTech and ProTech labor categories and, in some cases, levels, necessitated a mapping and blending of SciTech rates. The mapping is found on tab </t>
    </r>
    <r>
      <rPr>
        <b/>
        <sz val="11"/>
        <color theme="1"/>
        <rFont val="Calibri"/>
        <family val="2"/>
      </rPr>
      <t>"Source 1, SciTech Blended."</t>
    </r>
    <r>
      <rPr>
        <sz val="11"/>
        <color theme="1"/>
        <rFont val="Calibri"/>
        <family val="2"/>
      </rPr>
      <t xml:space="preserve">  
(2) GSA Contract-Awarded Labor Category (CALC) rates -- refer to https://calc.gsa.gov. As with SciTech rates, there was not a ready one-to-one relationship to ProTech labor catgories and levels, so mapping and blending was required. Aspects of the mapping and blending are found in </t>
    </r>
    <r>
      <rPr>
        <b/>
        <sz val="11"/>
        <color theme="1"/>
        <rFont val="Calibri"/>
        <family val="2"/>
      </rPr>
      <t>"Source 2, GSA CALC Blended."</t>
    </r>
    <r>
      <rPr>
        <sz val="11"/>
        <color theme="1"/>
        <rFont val="Calibri"/>
        <family val="2"/>
      </rPr>
      <t xml:space="preserve"> For any given ProTech labor category, the CALC tool offered many different possible mappings and levels. In general, the mapping based on the largest number of contracts was judged to be the most widely representative and used. Note that several higher levels of labor categories were not found to have suitable mappings and therefore left blank.
(3) OASIS IDIQ ceiling rates -- refer to https://portal.fas.gsa.gov (registration as a federal employee required). </t>
    </r>
  </si>
  <si>
    <t>Shift</t>
  </si>
  <si>
    <t>Rate</t>
  </si>
  <si>
    <t>Fringe</t>
  </si>
  <si>
    <t>Hours</t>
  </si>
  <si>
    <t>SCA</t>
  </si>
  <si>
    <t>FACILITIES MANAGER</t>
  </si>
  <si>
    <t>Exempt</t>
  </si>
  <si>
    <t>IT MANAGER</t>
  </si>
  <si>
    <t>OPERATIONS MANAGER</t>
  </si>
  <si>
    <t>PROJECT MANAGER</t>
  </si>
  <si>
    <t>SAFETY MANAGER</t>
  </si>
  <si>
    <t>SECURITY GUARD MANAGER</t>
  </si>
  <si>
    <t>Teamsters</t>
  </si>
  <si>
    <t>M&amp;O LABORER</t>
  </si>
  <si>
    <t>PLUMBER</t>
  </si>
  <si>
    <t>POWERHOUSE ELECTRICIAN</t>
  </si>
  <si>
    <t>POWERHOUSE OPERATING ENGINEER</t>
  </si>
  <si>
    <t>POWERHOUSE OPERATING ENGINEER Lead</t>
  </si>
  <si>
    <t>FJCC</t>
  </si>
  <si>
    <t>H&amp;W</t>
  </si>
  <si>
    <t>Calculation</t>
  </si>
  <si>
    <t>Productive Hours</t>
  </si>
  <si>
    <t>Social Security</t>
  </si>
  <si>
    <t>Medicare</t>
  </si>
  <si>
    <t>FUTA</t>
  </si>
  <si>
    <t>SUTA</t>
  </si>
  <si>
    <t>Workman's Comp</t>
  </si>
  <si>
    <t>Pension</t>
  </si>
  <si>
    <t>Non-Shift</t>
  </si>
  <si>
    <t>Shift Lead</t>
  </si>
  <si>
    <t>IT</t>
  </si>
  <si>
    <t>Logistics</t>
  </si>
  <si>
    <t>Antenna Tech</t>
  </si>
  <si>
    <t>Validate</t>
  </si>
  <si>
    <t>Total Compensable Hours</t>
  </si>
  <si>
    <t>O&amp;M</t>
  </si>
  <si>
    <t>NonProductive</t>
  </si>
  <si>
    <t>Productive</t>
  </si>
  <si>
    <t>FTE's</t>
  </si>
  <si>
    <t>Hours Cap</t>
  </si>
  <si>
    <t>Yes</t>
  </si>
  <si>
    <t>Total Labor Cost</t>
  </si>
  <si>
    <t>Classification</t>
  </si>
  <si>
    <t>Shift/Day Float</t>
  </si>
  <si>
    <t>Wage Rate</t>
  </si>
  <si>
    <t>Subtotal</t>
  </si>
  <si>
    <t>Up to $184,500</t>
  </si>
  <si>
    <t>Additional 0.9% &gt; $200,000</t>
  </si>
  <si>
    <t>0.6% X for 1st $7,000</t>
  </si>
  <si>
    <t>Employee Assistance Program</t>
  </si>
  <si>
    <t>Health &amp; Welfare</t>
  </si>
  <si>
    <t>Teamsters 401K Employer Expense</t>
  </si>
  <si>
    <t>Benefit Administration Allocation</t>
  </si>
  <si>
    <t>Unit</t>
  </si>
  <si>
    <t>FTE Basis</t>
  </si>
  <si>
    <t>Basis
(Writeup)</t>
  </si>
  <si>
    <t>Narrative</t>
  </si>
  <si>
    <t>Nonproductive Hours</t>
  </si>
  <si>
    <t>Total Productive Hours X $1.45 per hour</t>
  </si>
  <si>
    <t>Total Compensable Hours X $8.10 per Hours</t>
  </si>
  <si>
    <t>Leave not included in total compensable hours above</t>
  </si>
  <si>
    <t>Total Cost</t>
  </si>
  <si>
    <t>Assuming 144 hours X Taxes</t>
  </si>
  <si>
    <t>VOLUNTARY BENEFITS
Fringe Excluded from FAR 52.222-43
(Additional Company Fringe Excluded from CBA)</t>
  </si>
  <si>
    <t>Applicable</t>
  </si>
  <si>
    <t>No</t>
  </si>
  <si>
    <t>Supplemental Pension</t>
  </si>
  <si>
    <t>Other Voluntary Benefits - Fringe Excluded from FAR 52.222-43
(Additional Company Fringe Excluded from CBA)</t>
  </si>
  <si>
    <t>Other Mandatory Benefits</t>
  </si>
  <si>
    <t>New FAR 52.222-43 Wage Rates</t>
  </si>
  <si>
    <t>Productive Hours Based on FTES</t>
  </si>
  <si>
    <t>Nonproductive Hours Based on FTE</t>
  </si>
  <si>
    <t>Total Compensable Hours Based on FTE's</t>
  </si>
  <si>
    <t>FAR 52.222-43 Adjustment</t>
  </si>
  <si>
    <t>Please see RFI Request</t>
  </si>
  <si>
    <t>Mandatory and Voluntary
Total Wages and Fringe</t>
  </si>
  <si>
    <t>VOLUNTARY
Total Wages and Fringe Not Subject to FAR 52.222-43</t>
  </si>
  <si>
    <t>MANDATORY FRINGE BENEFITS
Columns C Through G</t>
  </si>
  <si>
    <t xml:space="preserve">Total </t>
  </si>
  <si>
    <t>Sum of Columns</t>
  </si>
  <si>
    <t>Wage Rate &amp; MANDATORY FRINGE BENEFITS (Columns C Through G) but not Other Mandatory Benefits</t>
  </si>
  <si>
    <t>MANDATORY AND VOLUNTARY- Total Wage and Fringe 
(Excluding Other Mandatory)</t>
  </si>
  <si>
    <t>Other Mandatory</t>
  </si>
  <si>
    <t>TOTAL MANDATORY</t>
  </si>
  <si>
    <t>MANDATORY</t>
  </si>
  <si>
    <t>TOTAL</t>
  </si>
  <si>
    <t>MANDATORY FRINGE BENEFITS</t>
  </si>
  <si>
    <t>New CBA Rate</t>
  </si>
  <si>
    <t>Labor Category and CBA Required Wage</t>
  </si>
  <si>
    <t>Total Package Rate</t>
  </si>
  <si>
    <t>Other Mandatory Benefits (Not Applicable for FJCC)</t>
  </si>
  <si>
    <t>New Package Rate</t>
  </si>
  <si>
    <t>Administrative Assistant (01020)</t>
  </si>
  <si>
    <t>Guard I (27101)</t>
  </si>
  <si>
    <t>Guard II (27102</t>
  </si>
  <si>
    <t>SCA Rate</t>
  </si>
  <si>
    <t>New DL and H&amp;W Rate</t>
  </si>
  <si>
    <t>Labor Category and SCA Required Wage</t>
  </si>
  <si>
    <t>Total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</si>
</sst>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quot;$&quot;#,##0.00"/>
    <numFmt numFmtId="166" formatCode="0.0"/>
  </numFmts>
  <fonts count="25" x14ac:knownFonts="1">
    <font>
      <sz val="11"/>
      <color theme="1"/>
      <name val="Calibri"/>
      <scheme val="minor"/>
    </font>
    <font>
      <sz val="11"/>
      <color theme="1"/>
      <name val="Calibri"/>
      <family val="2"/>
    </font>
    <font>
      <b/>
      <sz val="11"/>
      <color theme="0"/>
      <name val="Calibri"/>
      <family val="2"/>
    </font>
    <font>
      <sz val="11"/>
      <name val="Calibri"/>
      <family val="2"/>
    </font>
    <font>
      <b/>
      <sz val="11"/>
      <color rgb="FFFFFFFF"/>
      <name val="Calibri"/>
      <family val="2"/>
    </font>
    <font>
      <b/>
      <sz val="11"/>
      <color theme="1"/>
      <name val="Calibri"/>
      <family val="2"/>
    </font>
    <font>
      <sz val="11"/>
      <color rgb="FF000000"/>
      <name val="Calibri"/>
      <family val="2"/>
    </font>
    <font>
      <b/>
      <sz val="11"/>
      <color rgb="FF000000"/>
      <name val="Calibri"/>
      <family val="2"/>
    </font>
    <font>
      <sz val="14"/>
      <color rgb="FFFFFFFF"/>
      <name val="Calibri"/>
      <family val="2"/>
    </font>
    <font>
      <i/>
      <sz val="11"/>
      <color rgb="FF000000"/>
      <name val="Calibri"/>
      <family val="2"/>
    </font>
    <font>
      <i/>
      <sz val="11"/>
      <color theme="1"/>
      <name val="Calibri"/>
      <family val="2"/>
    </font>
    <font>
      <sz val="12"/>
      <color rgb="FF000000"/>
      <name val="Calibri"/>
      <family val="2"/>
    </font>
    <font>
      <b/>
      <i/>
      <sz val="11"/>
      <color rgb="FF000000"/>
      <name val="Calibri"/>
      <family val="2"/>
    </font>
    <font>
      <sz val="14"/>
      <color theme="0"/>
      <name val="Calibri"/>
      <family val="2"/>
    </font>
    <font>
      <sz val="12"/>
      <color theme="1"/>
      <name val="Calibri"/>
      <family val="2"/>
    </font>
    <font>
      <b/>
      <sz val="16"/>
      <color theme="0"/>
      <name val="Calibri"/>
      <family val="2"/>
    </font>
    <font>
      <b/>
      <sz val="12"/>
      <color theme="0"/>
      <name val="Calibri"/>
      <family val="2"/>
    </font>
    <font>
      <sz val="11"/>
      <color theme="1"/>
      <name val="Calibri"/>
      <family val="2"/>
      <scheme val="minor"/>
    </font>
    <font>
      <sz val="11"/>
      <color theme="1"/>
      <name val="Times New Roman"/>
      <family val="1"/>
    </font>
    <font>
      <b/>
      <sz val="11"/>
      <color theme="1"/>
      <name val="Times New Roman"/>
      <family val="1"/>
    </font>
    <font>
      <sz val="11"/>
      <color indexed="8"/>
      <name val="Calibri"/>
      <family val="2"/>
      <scheme val="minor"/>
    </font>
    <font>
      <sz val="10"/>
      <name val="Arial"/>
      <family val="2"/>
    </font>
    <font>
      <sz val="10"/>
      <color theme="1"/>
      <name val="Times New Roman"/>
      <family val="1"/>
    </font>
    <font>
      <b/>
      <sz val="10"/>
      <color theme="1"/>
      <name val="Times New Roman"/>
      <family val="1"/>
    </font>
    <font>
      <b/>
      <sz val="10"/>
      <name val="Times New Roman"/>
      <family val="1"/>
    </font>
  </fonts>
  <fills count="11">
    <fill>
      <patternFill patternType="none"/>
    </fill>
    <fill>
      <patternFill patternType="gray125"/>
    </fill>
    <fill>
      <patternFill patternType="solid">
        <fgColor theme="4"/>
        <bgColor theme="4"/>
      </patternFill>
    </fill>
    <fill>
      <patternFill patternType="solid">
        <fgColor rgb="FFC6D9F0"/>
        <bgColor rgb="FFC6D9F0"/>
      </patternFill>
    </fill>
    <fill>
      <patternFill patternType="solid">
        <fgColor rgb="FF4F81BD"/>
        <bgColor rgb="FF4F81BD"/>
      </patternFill>
    </fill>
    <fill>
      <patternFill patternType="solid">
        <fgColor rgb="FFC5D9F1"/>
        <bgColor rgb="FFC5D9F1"/>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0000"/>
        <bgColor indexed="64"/>
      </patternFill>
    </fill>
  </fills>
  <borders count="5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right style="thin">
        <color rgb="FF000000"/>
      </right>
      <top style="medium">
        <color rgb="FF000000"/>
      </top>
      <bottom style="medium">
        <color rgb="FF000000"/>
      </bottom>
      <diagonal/>
    </border>
    <border>
      <left style="thin">
        <color rgb="FF000000"/>
      </left>
      <right style="thin">
        <color rgb="FF000000"/>
      </right>
      <top/>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43" fontId="17" fillId="0" borderId="0" applyFont="0" applyFill="0" applyBorder="0" applyAlignment="0" applyProtection="0"/>
    <xf numFmtId="9" fontId="17" fillId="0" borderId="0" applyFont="0" applyFill="0" applyBorder="0" applyAlignment="0" applyProtection="0"/>
    <xf numFmtId="0" fontId="20" fillId="0" borderId="24"/>
    <xf numFmtId="0" fontId="21" fillId="0" borderId="24"/>
  </cellStyleXfs>
  <cellXfs count="238">
    <xf numFmtId="0" fontId="0" fillId="0" borderId="0" xfId="0" applyFont="1" applyAlignment="1"/>
    <xf numFmtId="0" fontId="1" fillId="0" borderId="4" xfId="0" applyFont="1" applyBorder="1"/>
    <xf numFmtId="0" fontId="2" fillId="2" borderId="4" xfId="0" applyFont="1" applyFill="1" applyBorder="1" applyAlignment="1">
      <alignment horizontal="center"/>
    </xf>
    <xf numFmtId="44" fontId="1" fillId="0" borderId="4" xfId="0" applyNumberFormat="1" applyFont="1" applyBorder="1"/>
    <xf numFmtId="0" fontId="5" fillId="0" borderId="4" xfId="0" applyFont="1" applyBorder="1"/>
    <xf numFmtId="44" fontId="5" fillId="0" borderId="4" xfId="0" applyNumberFormat="1" applyFont="1" applyBorder="1"/>
    <xf numFmtId="44" fontId="5" fillId="3" borderId="4" xfId="0" applyNumberFormat="1" applyFont="1" applyFill="1" applyBorder="1"/>
    <xf numFmtId="44" fontId="1" fillId="0" borderId="1" xfId="0" applyNumberFormat="1" applyFont="1" applyBorder="1"/>
    <xf numFmtId="0" fontId="1" fillId="0" borderId="0" xfId="0" applyFont="1"/>
    <xf numFmtId="44" fontId="1" fillId="0" borderId="0" xfId="0" applyNumberFormat="1" applyFont="1"/>
    <xf numFmtId="0" fontId="1" fillId="0" borderId="1" xfId="0" applyFont="1" applyBorder="1"/>
    <xf numFmtId="0" fontId="1" fillId="0" borderId="0" xfId="0" applyFont="1" applyAlignment="1">
      <alignment horizontal="center"/>
    </xf>
    <xf numFmtId="0" fontId="1" fillId="0" borderId="3" xfId="0" applyFont="1" applyBorder="1"/>
    <xf numFmtId="0" fontId="6" fillId="0" borderId="0" xfId="0" applyFont="1" applyAlignment="1"/>
    <xf numFmtId="0" fontId="6" fillId="0" borderId="0" xfId="0" applyFont="1" applyAlignment="1">
      <alignment horizontal="center"/>
    </xf>
    <xf numFmtId="0" fontId="7" fillId="0" borderId="0" xfId="0" applyFont="1" applyAlignment="1"/>
    <xf numFmtId="0" fontId="4" fillId="4" borderId="0" xfId="0" applyFont="1" applyFill="1" applyAlignment="1">
      <alignment horizontal="center"/>
    </xf>
    <xf numFmtId="0" fontId="8" fillId="4" borderId="0" xfId="0" applyFont="1" applyFill="1" applyAlignment="1"/>
    <xf numFmtId="0" fontId="6" fillId="5" borderId="0" xfId="0" applyFont="1" applyFill="1" applyAlignment="1"/>
    <xf numFmtId="0" fontId="6" fillId="5" borderId="0" xfId="0" applyFont="1" applyFill="1" applyAlignment="1">
      <alignment horizontal="center"/>
    </xf>
    <xf numFmtId="44" fontId="6" fillId="5" borderId="0" xfId="0" applyNumberFormat="1" applyFont="1" applyFill="1" applyAlignment="1">
      <alignment horizontal="right"/>
    </xf>
    <xf numFmtId="44" fontId="7" fillId="5" borderId="0" xfId="0" applyNumberFormat="1" applyFont="1" applyFill="1" applyAlignment="1">
      <alignment horizontal="right"/>
    </xf>
    <xf numFmtId="44" fontId="1" fillId="3" borderId="4" xfId="0" applyNumberFormat="1" applyFont="1" applyFill="1" applyBorder="1"/>
    <xf numFmtId="44" fontId="6" fillId="0" borderId="0" xfId="0" applyNumberFormat="1" applyFont="1" applyAlignment="1">
      <alignment horizontal="right"/>
    </xf>
    <xf numFmtId="44" fontId="7" fillId="0" borderId="0" xfId="0" applyNumberFormat="1" applyFont="1" applyAlignment="1">
      <alignment horizontal="right"/>
    </xf>
    <xf numFmtId="165" fontId="6" fillId="5" borderId="0" xfId="0" applyNumberFormat="1" applyFont="1" applyFill="1" applyAlignment="1">
      <alignment horizontal="right"/>
    </xf>
    <xf numFmtId="165" fontId="7" fillId="5" borderId="0" xfId="0" applyNumberFormat="1" applyFont="1" applyFill="1" applyAlignment="1">
      <alignment horizontal="right"/>
    </xf>
    <xf numFmtId="44" fontId="6" fillId="0" borderId="0" xfId="0" applyNumberFormat="1" applyFont="1" applyAlignment="1"/>
    <xf numFmtId="6" fontId="6" fillId="5" borderId="0" xfId="0" applyNumberFormat="1" applyFont="1" applyFill="1" applyAlignment="1">
      <alignment horizontal="right"/>
    </xf>
    <xf numFmtId="6" fontId="7" fillId="5" borderId="0" xfId="0" applyNumberFormat="1" applyFont="1" applyFill="1" applyAlignment="1">
      <alignment horizontal="right"/>
    </xf>
    <xf numFmtId="6" fontId="6" fillId="0" borderId="0" xfId="0" applyNumberFormat="1" applyFont="1" applyAlignment="1">
      <alignment horizontal="right"/>
    </xf>
    <xf numFmtId="6" fontId="7" fillId="0" borderId="0" xfId="0" applyNumberFormat="1" applyFont="1" applyAlignment="1">
      <alignment horizontal="right"/>
    </xf>
    <xf numFmtId="165" fontId="7" fillId="0" borderId="0" xfId="0" applyNumberFormat="1" applyFont="1" applyAlignment="1">
      <alignment horizontal="right"/>
    </xf>
    <xf numFmtId="0" fontId="10" fillId="0" borderId="14" xfId="0" applyFont="1" applyBorder="1" applyAlignment="1">
      <alignment horizontal="left" vertical="top" wrapText="1"/>
    </xf>
    <xf numFmtId="0" fontId="10" fillId="0" borderId="15" xfId="0" applyFont="1" applyBorder="1" applyAlignment="1">
      <alignment horizontal="left" vertical="top" wrapText="1"/>
    </xf>
    <xf numFmtId="0" fontId="6" fillId="0" borderId="0" xfId="0" applyFont="1" applyAlignment="1">
      <alignment horizontal="left" vertical="top"/>
    </xf>
    <xf numFmtId="0" fontId="7" fillId="5" borderId="0" xfId="0" applyFont="1" applyFill="1" applyAlignment="1"/>
    <xf numFmtId="0" fontId="1" fillId="5" borderId="0" xfId="0" applyFont="1" applyFill="1" applyAlignment="1"/>
    <xf numFmtId="0" fontId="10" fillId="0" borderId="0" xfId="0" applyFont="1" applyAlignment="1">
      <alignment horizontal="left" vertical="top" wrapText="1"/>
    </xf>
    <xf numFmtId="0" fontId="10" fillId="0" borderId="17" xfId="0" applyFont="1" applyBorder="1" applyAlignment="1">
      <alignment horizontal="left" vertical="top" wrapText="1"/>
    </xf>
    <xf numFmtId="0" fontId="10" fillId="0" borderId="13" xfId="0" applyFont="1" applyBorder="1" applyAlignment="1">
      <alignment horizontal="left" vertical="top" wrapText="1"/>
    </xf>
    <xf numFmtId="0" fontId="10" fillId="0" borderId="12" xfId="0" applyFont="1" applyBorder="1" applyAlignment="1">
      <alignment horizontal="left" vertical="top" wrapText="1"/>
    </xf>
    <xf numFmtId="0" fontId="12" fillId="0" borderId="0" xfId="0" applyFont="1" applyAlignment="1">
      <alignment horizontal="left" vertical="top"/>
    </xf>
    <xf numFmtId="0" fontId="1" fillId="2" borderId="19" xfId="0" applyFont="1" applyFill="1" applyBorder="1"/>
    <xf numFmtId="44" fontId="1" fillId="0" borderId="25" xfId="0" applyNumberFormat="1" applyFont="1" applyBorder="1"/>
    <xf numFmtId="0" fontId="1" fillId="3" borderId="4" xfId="0" applyFont="1" applyFill="1" applyBorder="1"/>
    <xf numFmtId="44" fontId="1" fillId="3" borderId="8" xfId="0" applyNumberFormat="1" applyFont="1" applyFill="1" applyBorder="1"/>
    <xf numFmtId="44" fontId="1" fillId="3" borderId="9" xfId="0" applyNumberFormat="1" applyFont="1" applyFill="1" applyBorder="1"/>
    <xf numFmtId="44" fontId="1" fillId="3" borderId="11" xfId="0" applyNumberFormat="1" applyFont="1" applyFill="1" applyBorder="1"/>
    <xf numFmtId="44" fontId="1" fillId="0" borderId="8" xfId="0" applyNumberFormat="1" applyFont="1" applyBorder="1"/>
    <xf numFmtId="44" fontId="1" fillId="0" borderId="9" xfId="0" applyNumberFormat="1" applyFont="1" applyBorder="1"/>
    <xf numFmtId="44" fontId="1" fillId="0" borderId="11" xfId="0" applyNumberFormat="1" applyFont="1" applyBorder="1"/>
    <xf numFmtId="0" fontId="1" fillId="3" borderId="8" xfId="0" applyFont="1" applyFill="1" applyBorder="1"/>
    <xf numFmtId="0" fontId="1" fillId="3" borderId="9" xfId="0" applyFont="1" applyFill="1" applyBorder="1"/>
    <xf numFmtId="0" fontId="1" fillId="3" borderId="10" xfId="0" applyFont="1" applyFill="1" applyBorder="1"/>
    <xf numFmtId="0" fontId="1" fillId="0" borderId="8" xfId="0" applyFont="1" applyBorder="1"/>
    <xf numFmtId="0" fontId="1" fillId="0" borderId="9" xfId="0" applyFont="1" applyBorder="1"/>
    <xf numFmtId="0" fontId="1" fillId="0" borderId="11" xfId="0" applyFont="1" applyBorder="1"/>
    <xf numFmtId="0" fontId="1" fillId="3" borderId="26" xfId="0" applyFont="1" applyFill="1" applyBorder="1"/>
    <xf numFmtId="0" fontId="1" fillId="3" borderId="11" xfId="0" applyFont="1" applyFill="1" applyBorder="1"/>
    <xf numFmtId="0" fontId="13" fillId="2" borderId="4" xfId="0" applyFont="1" applyFill="1" applyBorder="1"/>
    <xf numFmtId="0" fontId="1" fillId="0" borderId="4" xfId="0" applyFont="1" applyBorder="1" applyAlignment="1">
      <alignment horizontal="center"/>
    </xf>
    <xf numFmtId="0" fontId="1" fillId="3" borderId="4" xfId="0" applyFont="1" applyFill="1" applyBorder="1" applyAlignment="1">
      <alignment horizontal="center"/>
    </xf>
    <xf numFmtId="16" fontId="1" fillId="3" borderId="4" xfId="0" applyNumberFormat="1" applyFont="1" applyFill="1" applyBorder="1" applyAlignment="1">
      <alignment horizontal="center"/>
    </xf>
    <xf numFmtId="16" fontId="1" fillId="0" borderId="4" xfId="0" applyNumberFormat="1" applyFont="1" applyBorder="1" applyAlignment="1">
      <alignment horizontal="center"/>
    </xf>
    <xf numFmtId="0" fontId="1" fillId="0" borderId="27" xfId="0" applyFont="1" applyBorder="1"/>
    <xf numFmtId="166" fontId="1" fillId="0" borderId="0" xfId="0" applyNumberFormat="1" applyFont="1"/>
    <xf numFmtId="164" fontId="1" fillId="0" borderId="4" xfId="0" applyNumberFormat="1" applyFont="1" applyBorder="1" applyAlignment="1">
      <alignment horizontal="center"/>
    </xf>
    <xf numFmtId="44" fontId="1" fillId="3" borderId="5" xfId="0" applyNumberFormat="1" applyFont="1" applyFill="1" applyBorder="1"/>
    <xf numFmtId="164" fontId="1" fillId="3" borderId="4" xfId="0" applyNumberFormat="1" applyFont="1" applyFill="1" applyBorder="1"/>
    <xf numFmtId="164" fontId="1" fillId="0" borderId="4" xfId="0" applyNumberFormat="1" applyFont="1" applyBorder="1"/>
    <xf numFmtId="164" fontId="1" fillId="0" borderId="0" xfId="0" applyNumberFormat="1" applyFont="1"/>
    <xf numFmtId="0" fontId="19" fillId="0" borderId="36" xfId="0" applyFont="1" applyBorder="1" applyAlignment="1">
      <alignment horizontal="center"/>
    </xf>
    <xf numFmtId="0" fontId="18" fillId="0" borderId="36" xfId="0" applyFont="1" applyBorder="1" applyAlignment="1">
      <alignment horizontal="center" vertical="center" wrapText="1"/>
    </xf>
    <xf numFmtId="165" fontId="18" fillId="0" borderId="36" xfId="0" applyNumberFormat="1" applyFont="1" applyBorder="1" applyAlignment="1">
      <alignment horizontal="center" vertical="center" wrapText="1"/>
    </xf>
    <xf numFmtId="0" fontId="18" fillId="0" borderId="24" xfId="0" applyFont="1" applyBorder="1" applyAlignment="1">
      <alignment horizontal="center" vertical="center" wrapText="1"/>
    </xf>
    <xf numFmtId="43" fontId="18" fillId="0" borderId="36" xfId="1" applyFont="1" applyBorder="1" applyAlignment="1">
      <alignment horizontal="center" vertical="center" wrapText="1"/>
    </xf>
    <xf numFmtId="0" fontId="18" fillId="0" borderId="24" xfId="0" applyFont="1" applyFill="1" applyBorder="1" applyAlignment="1">
      <alignment horizontal="center" vertical="center" wrapText="1"/>
    </xf>
    <xf numFmtId="0" fontId="18" fillId="0" borderId="40" xfId="0" applyFont="1" applyBorder="1" applyAlignment="1">
      <alignment horizontal="center" vertical="center" wrapText="1"/>
    </xf>
    <xf numFmtId="165" fontId="18" fillId="0" borderId="40" xfId="0" applyNumberFormat="1" applyFont="1" applyBorder="1" applyAlignment="1">
      <alignment horizontal="center" vertical="center" wrapText="1"/>
    </xf>
    <xf numFmtId="0" fontId="22" fillId="0" borderId="36" xfId="0" applyFont="1" applyBorder="1" applyAlignment="1">
      <alignment horizontal="center" vertical="center" wrapText="1"/>
    </xf>
    <xf numFmtId="0" fontId="22" fillId="0" borderId="0" xfId="0" applyFont="1" applyAlignment="1">
      <alignment horizontal="center" vertical="center" wrapText="1"/>
    </xf>
    <xf numFmtId="0" fontId="23" fillId="0" borderId="36" xfId="0" applyFont="1" applyFill="1" applyBorder="1" applyAlignment="1">
      <alignment horizontal="center" vertical="center" wrapText="1"/>
    </xf>
    <xf numFmtId="0" fontId="23" fillId="0" borderId="36" xfId="0" applyFont="1" applyBorder="1" applyAlignment="1">
      <alignment horizontal="center" vertical="center" wrapText="1"/>
    </xf>
    <xf numFmtId="165" fontId="22" fillId="0" borderId="36" xfId="0" applyNumberFormat="1" applyFont="1" applyBorder="1" applyAlignment="1">
      <alignment horizontal="center" vertical="center" wrapText="1"/>
    </xf>
    <xf numFmtId="165" fontId="22" fillId="6" borderId="36" xfId="0" applyNumberFormat="1" applyFont="1" applyFill="1" applyBorder="1" applyAlignment="1">
      <alignment horizontal="center" vertical="center" wrapText="1"/>
    </xf>
    <xf numFmtId="43" fontId="22" fillId="0" borderId="36" xfId="0" applyNumberFormat="1" applyFont="1" applyBorder="1" applyAlignment="1">
      <alignment horizontal="center" vertical="center" wrapText="1"/>
    </xf>
    <xf numFmtId="0" fontId="22" fillId="0" borderId="24" xfId="0" applyFont="1" applyBorder="1" applyAlignment="1">
      <alignment horizontal="center" vertical="center" wrapText="1"/>
    </xf>
    <xf numFmtId="165" fontId="22" fillId="0" borderId="24" xfId="0" applyNumberFormat="1" applyFont="1" applyBorder="1" applyAlignment="1">
      <alignment horizontal="center" vertical="center" wrapText="1"/>
    </xf>
    <xf numFmtId="0" fontId="23" fillId="0" borderId="24" xfId="0" applyFont="1" applyFill="1" applyBorder="1" applyAlignment="1">
      <alignment horizontal="center" vertical="center" wrapText="1"/>
    </xf>
    <xf numFmtId="0" fontId="23" fillId="8" borderId="36" xfId="0" applyFont="1" applyFill="1" applyBorder="1" applyAlignment="1">
      <alignment horizontal="center" vertical="center" wrapText="1"/>
    </xf>
    <xf numFmtId="165" fontId="23" fillId="8" borderId="36" xfId="0" applyNumberFormat="1" applyFont="1" applyFill="1" applyBorder="1" applyAlignment="1">
      <alignment horizontal="center" vertical="center" wrapText="1"/>
    </xf>
    <xf numFmtId="0" fontId="22" fillId="0" borderId="24" xfId="0" applyFont="1" applyFill="1" applyBorder="1" applyAlignment="1">
      <alignment horizontal="center" vertical="center" wrapText="1"/>
    </xf>
    <xf numFmtId="165" fontId="23" fillId="8" borderId="39" xfId="0" applyNumberFormat="1" applyFont="1" applyFill="1" applyBorder="1" applyAlignment="1">
      <alignment horizontal="center" vertical="center" wrapText="1"/>
    </xf>
    <xf numFmtId="6" fontId="22" fillId="0" borderId="36" xfId="0" applyNumberFormat="1" applyFont="1" applyBorder="1" applyAlignment="1">
      <alignment horizontal="center" vertical="center" wrapText="1"/>
    </xf>
    <xf numFmtId="0" fontId="22" fillId="6" borderId="36" xfId="0" applyFont="1" applyFill="1" applyBorder="1" applyAlignment="1">
      <alignment horizontal="center" vertical="center" wrapText="1"/>
    </xf>
    <xf numFmtId="8" fontId="22" fillId="0" borderId="36" xfId="0" applyNumberFormat="1" applyFont="1" applyBorder="1" applyAlignment="1">
      <alignment horizontal="center" vertical="center" wrapText="1"/>
    </xf>
    <xf numFmtId="43" fontId="22" fillId="0" borderId="36" xfId="1" applyFont="1" applyBorder="1" applyAlignment="1">
      <alignment horizontal="center" vertical="center" wrapText="1"/>
    </xf>
    <xf numFmtId="10" fontId="22" fillId="0" borderId="36" xfId="2" applyNumberFormat="1" applyFont="1" applyBorder="1" applyAlignment="1">
      <alignment horizontal="center" vertical="center" wrapText="1"/>
    </xf>
    <xf numFmtId="10" fontId="22" fillId="0" borderId="36" xfId="0" applyNumberFormat="1" applyFont="1" applyBorder="1" applyAlignment="1">
      <alignment horizontal="center" vertical="center" wrapText="1"/>
    </xf>
    <xf numFmtId="43" fontId="22" fillId="0" borderId="24" xfId="1" applyFont="1" applyFill="1" applyBorder="1" applyAlignment="1">
      <alignment horizontal="center" vertical="center" wrapText="1"/>
    </xf>
    <xf numFmtId="0" fontId="23" fillId="10" borderId="24" xfId="0" applyFont="1" applyFill="1" applyBorder="1" applyAlignment="1">
      <alignment horizontal="center" vertical="center" wrapText="1"/>
    </xf>
    <xf numFmtId="0" fontId="23" fillId="0" borderId="48" xfId="0" applyFont="1" applyBorder="1" applyAlignment="1">
      <alignment horizontal="center" vertical="center" wrapText="1"/>
    </xf>
    <xf numFmtId="0" fontId="23" fillId="8" borderId="24" xfId="0" applyFont="1" applyFill="1" applyBorder="1" applyAlignment="1">
      <alignment horizontal="center" vertical="center" wrapText="1"/>
    </xf>
    <xf numFmtId="0" fontId="23" fillId="0" borderId="24" xfId="0" applyFont="1" applyFill="1" applyBorder="1" applyAlignment="1">
      <alignment vertical="center" wrapText="1"/>
    </xf>
    <xf numFmtId="10" fontId="22" fillId="0" borderId="0" xfId="2" applyNumberFormat="1" applyFont="1" applyAlignment="1">
      <alignment horizontal="center" vertical="center" wrapText="1"/>
    </xf>
    <xf numFmtId="10" fontId="18" fillId="0" borderId="24" xfId="2" applyNumberFormat="1" applyFont="1" applyFill="1" applyBorder="1" applyAlignment="1">
      <alignment horizontal="center"/>
    </xf>
    <xf numFmtId="0" fontId="18" fillId="0" borderId="36" xfId="0" applyFont="1" applyBorder="1"/>
    <xf numFmtId="165" fontId="18" fillId="0" borderId="36" xfId="0" applyNumberFormat="1" applyFont="1" applyBorder="1" applyAlignment="1">
      <alignment horizontal="center"/>
    </xf>
    <xf numFmtId="0" fontId="19" fillId="0" borderId="36" xfId="0" applyFont="1" applyBorder="1"/>
    <xf numFmtId="0" fontId="18" fillId="0" borderId="0" xfId="0" applyFont="1" applyAlignment="1">
      <alignment wrapText="1"/>
    </xf>
    <xf numFmtId="0" fontId="18" fillId="6" borderId="36" xfId="0" applyFont="1" applyFill="1" applyBorder="1" applyAlignment="1"/>
    <xf numFmtId="165" fontId="18" fillId="0" borderId="36" xfId="0" applyNumberFormat="1" applyFont="1" applyBorder="1" applyAlignment="1"/>
    <xf numFmtId="43" fontId="18" fillId="0" borderId="36" xfId="0" applyNumberFormat="1" applyFont="1" applyBorder="1" applyAlignment="1"/>
    <xf numFmtId="2" fontId="18" fillId="0" borderId="36" xfId="0" applyNumberFormat="1" applyFont="1" applyBorder="1" applyAlignment="1"/>
    <xf numFmtId="0" fontId="18" fillId="0" borderId="36" xfId="0" applyFont="1" applyBorder="1" applyAlignment="1"/>
    <xf numFmtId="0" fontId="18" fillId="0" borderId="0" xfId="0" applyFont="1" applyAlignment="1"/>
    <xf numFmtId="10" fontId="18" fillId="0" borderId="36" xfId="0" applyNumberFormat="1" applyFont="1" applyBorder="1" applyAlignment="1">
      <alignment horizontal="center"/>
    </xf>
    <xf numFmtId="165" fontId="23" fillId="0" borderId="24" xfId="0" applyNumberFormat="1" applyFont="1" applyFill="1" applyBorder="1" applyAlignment="1">
      <alignment horizontal="center" vertical="center" wrapText="1"/>
    </xf>
    <xf numFmtId="6" fontId="22" fillId="0" borderId="24" xfId="0" applyNumberFormat="1" applyFont="1" applyFill="1" applyBorder="1" applyAlignment="1">
      <alignment horizontal="center" vertical="center" wrapText="1"/>
    </xf>
    <xf numFmtId="165" fontId="22" fillId="0" borderId="24" xfId="0" applyNumberFormat="1" applyFont="1" applyFill="1" applyBorder="1" applyAlignment="1">
      <alignment horizontal="center" vertical="center" wrapText="1"/>
    </xf>
    <xf numFmtId="8" fontId="22" fillId="0" borderId="24" xfId="0" applyNumberFormat="1" applyFont="1" applyBorder="1" applyAlignment="1">
      <alignment horizontal="center" vertical="center" wrapText="1"/>
    </xf>
    <xf numFmtId="0" fontId="18" fillId="0" borderId="0" xfId="0" applyFont="1" applyAlignment="1">
      <alignment horizontal="center" wrapText="1"/>
    </xf>
    <xf numFmtId="0" fontId="18" fillId="0" borderId="36" xfId="0" applyFont="1" applyBorder="1" applyAlignment="1">
      <alignment horizontal="center"/>
    </xf>
    <xf numFmtId="0" fontId="18" fillId="6" borderId="36" xfId="0" applyFont="1" applyFill="1" applyBorder="1" applyAlignment="1">
      <alignment horizontal="center"/>
    </xf>
    <xf numFmtId="43" fontId="18" fillId="0" borderId="36" xfId="0" applyNumberFormat="1" applyFont="1" applyBorder="1" applyAlignment="1">
      <alignment horizontal="center"/>
    </xf>
    <xf numFmtId="2" fontId="18" fillId="0" borderId="36" xfId="0" applyNumberFormat="1" applyFont="1" applyBorder="1" applyAlignment="1">
      <alignment horizontal="center"/>
    </xf>
    <xf numFmtId="0" fontId="18" fillId="0" borderId="0" xfId="0" applyFont="1" applyAlignment="1">
      <alignment horizontal="center"/>
    </xf>
    <xf numFmtId="10" fontId="22" fillId="0" borderId="24" xfId="2" applyNumberFormat="1" applyFont="1" applyFill="1" applyBorder="1" applyAlignment="1">
      <alignment horizontal="center" vertical="center" wrapText="1"/>
    </xf>
    <xf numFmtId="10" fontId="22" fillId="0" borderId="24" xfId="0" applyNumberFormat="1" applyFont="1" applyFill="1" applyBorder="1" applyAlignment="1">
      <alignment horizontal="center" vertical="center" wrapText="1"/>
    </xf>
    <xf numFmtId="165" fontId="18" fillId="0" borderId="36" xfId="0" applyNumberFormat="1" applyFont="1" applyFill="1" applyBorder="1" applyAlignment="1">
      <alignment horizontal="center"/>
    </xf>
    <xf numFmtId="165" fontId="18" fillId="0" borderId="36" xfId="0" applyNumberFormat="1" applyFont="1" applyFill="1" applyBorder="1" applyAlignment="1"/>
    <xf numFmtId="165" fontId="23" fillId="0" borderId="36" xfId="0" applyNumberFormat="1" applyFont="1" applyFill="1" applyBorder="1" applyAlignment="1">
      <alignment horizontal="center" vertical="center" wrapText="1"/>
    </xf>
    <xf numFmtId="165" fontId="23" fillId="0" borderId="36" xfId="0" applyNumberFormat="1" applyFont="1" applyBorder="1" applyAlignment="1">
      <alignment horizontal="center" vertical="center" wrapText="1"/>
    </xf>
    <xf numFmtId="165" fontId="18" fillId="0" borderId="36" xfId="0" applyNumberFormat="1" applyFont="1" applyFill="1" applyBorder="1"/>
    <xf numFmtId="165" fontId="22" fillId="0" borderId="36" xfId="1" applyNumberFormat="1" applyFont="1" applyBorder="1" applyAlignment="1">
      <alignment horizontal="center" vertical="center" wrapText="1"/>
    </xf>
    <xf numFmtId="165" fontId="18" fillId="0" borderId="0" xfId="0" applyNumberFormat="1" applyFont="1" applyAlignment="1"/>
    <xf numFmtId="165" fontId="19" fillId="9" borderId="36" xfId="0" applyNumberFormat="1" applyFont="1" applyFill="1" applyBorder="1" applyAlignment="1"/>
    <xf numFmtId="165" fontId="18" fillId="0" borderId="36" xfId="0" applyNumberFormat="1" applyFont="1" applyFill="1" applyBorder="1" applyAlignment="1">
      <alignment horizontal="center" vertical="center" wrapText="1"/>
    </xf>
    <xf numFmtId="43" fontId="18" fillId="0" borderId="40" xfId="1" applyFont="1" applyBorder="1" applyAlignment="1">
      <alignment horizontal="center" vertical="center" wrapText="1"/>
    </xf>
    <xf numFmtId="0" fontId="23" fillId="0" borderId="52" xfId="0" applyFont="1" applyFill="1" applyBorder="1" applyAlignment="1">
      <alignment horizontal="center" vertical="center" wrapText="1"/>
    </xf>
    <xf numFmtId="0" fontId="18" fillId="0" borderId="48" xfId="0" applyFont="1" applyBorder="1" applyAlignment="1">
      <alignment horizontal="center" vertical="center" wrapText="1"/>
    </xf>
    <xf numFmtId="0" fontId="18" fillId="0" borderId="49" xfId="0" applyFont="1" applyFill="1" applyBorder="1" applyAlignment="1">
      <alignment horizontal="center" vertical="center" wrapText="1"/>
    </xf>
    <xf numFmtId="0" fontId="18" fillId="0" borderId="51" xfId="0" applyFont="1" applyBorder="1" applyAlignment="1">
      <alignment horizontal="center" vertical="center" wrapText="1"/>
    </xf>
    <xf numFmtId="165" fontId="22" fillId="0" borderId="50" xfId="0" applyNumberFormat="1" applyFont="1" applyFill="1" applyBorder="1" applyAlignment="1">
      <alignment horizontal="center" vertical="center" wrapText="1"/>
    </xf>
    <xf numFmtId="0" fontId="18" fillId="0" borderId="53" xfId="0" applyFont="1" applyBorder="1" applyAlignment="1">
      <alignment horizontal="center" vertical="center" wrapText="1"/>
    </xf>
    <xf numFmtId="43" fontId="18" fillId="0" borderId="54" xfId="1" applyFont="1" applyBorder="1" applyAlignment="1">
      <alignment horizontal="center" vertical="center" wrapText="1"/>
    </xf>
    <xf numFmtId="165" fontId="22" fillId="0" borderId="54" xfId="0" applyNumberFormat="1" applyFont="1" applyBorder="1" applyAlignment="1">
      <alignment horizontal="center" vertical="center" wrapText="1"/>
    </xf>
    <xf numFmtId="165" fontId="22" fillId="0" borderId="55" xfId="0" applyNumberFormat="1" applyFont="1" applyFill="1" applyBorder="1" applyAlignment="1">
      <alignment horizontal="center" vertical="center" wrapText="1"/>
    </xf>
    <xf numFmtId="0" fontId="23" fillId="0" borderId="49" xfId="0" applyFont="1" applyFill="1" applyBorder="1" applyAlignment="1">
      <alignment horizontal="center" vertical="center" wrapText="1"/>
    </xf>
    <xf numFmtId="0" fontId="23" fillId="0" borderId="40" xfId="0" applyFont="1" applyFill="1" applyBorder="1" applyAlignment="1">
      <alignment horizontal="center" vertical="center" wrapText="1"/>
    </xf>
    <xf numFmtId="0" fontId="23" fillId="0" borderId="40" xfId="0" applyFont="1" applyBorder="1" applyAlignment="1">
      <alignment horizontal="center" vertical="center" wrapText="1"/>
    </xf>
    <xf numFmtId="0" fontId="23" fillId="8" borderId="40" xfId="0" applyFont="1" applyFill="1" applyBorder="1" applyAlignment="1">
      <alignment horizontal="center" vertical="center" wrapText="1"/>
    </xf>
    <xf numFmtId="165" fontId="23" fillId="0" borderId="54" xfId="0" applyNumberFormat="1" applyFont="1" applyBorder="1" applyAlignment="1">
      <alignment horizontal="center" vertical="center" wrapText="1"/>
    </xf>
    <xf numFmtId="0" fontId="23" fillId="10" borderId="45" xfId="0" applyFont="1" applyFill="1" applyBorder="1" applyAlignment="1">
      <alignment horizontal="center" vertical="center" wrapText="1"/>
    </xf>
    <xf numFmtId="0" fontId="23" fillId="10" borderId="46" xfId="0" applyFont="1" applyFill="1" applyBorder="1" applyAlignment="1">
      <alignment horizontal="center" vertical="center" wrapText="1"/>
    </xf>
    <xf numFmtId="0" fontId="22" fillId="0" borderId="37" xfId="0" applyFont="1" applyBorder="1" applyAlignment="1">
      <alignment horizontal="center" vertical="center" wrapText="1"/>
    </xf>
    <xf numFmtId="0" fontId="22" fillId="0" borderId="39" xfId="0" applyFont="1" applyBorder="1" applyAlignment="1">
      <alignment horizontal="center" vertical="center" wrapText="1"/>
    </xf>
    <xf numFmtId="0" fontId="23" fillId="7" borderId="44" xfId="0" applyFont="1" applyFill="1" applyBorder="1" applyAlignment="1">
      <alignment horizontal="center" vertical="center" wrapText="1"/>
    </xf>
    <xf numFmtId="0" fontId="23" fillId="7" borderId="24" xfId="0" applyFont="1" applyFill="1" applyBorder="1" applyAlignment="1">
      <alignment horizontal="center" vertical="center" wrapText="1"/>
    </xf>
    <xf numFmtId="0" fontId="23" fillId="7" borderId="41" xfId="0" applyFont="1" applyFill="1" applyBorder="1" applyAlignment="1">
      <alignment horizontal="center" vertical="center" wrapText="1"/>
    </xf>
    <xf numFmtId="0" fontId="23" fillId="7" borderId="43" xfId="0" applyFont="1" applyFill="1" applyBorder="1" applyAlignment="1">
      <alignment horizontal="center" vertical="center" wrapText="1"/>
    </xf>
    <xf numFmtId="0" fontId="23" fillId="7" borderId="42" xfId="0" applyFont="1" applyFill="1" applyBorder="1" applyAlignment="1">
      <alignment horizontal="center" vertical="center" wrapText="1"/>
    </xf>
    <xf numFmtId="0" fontId="24" fillId="9" borderId="41" xfId="0" applyFont="1" applyFill="1" applyBorder="1" applyAlignment="1">
      <alignment horizontal="center" vertical="center" wrapText="1"/>
    </xf>
    <xf numFmtId="0" fontId="24" fillId="9" borderId="43" xfId="0" applyFont="1" applyFill="1" applyBorder="1" applyAlignment="1">
      <alignment horizontal="center" vertical="center" wrapText="1"/>
    </xf>
    <xf numFmtId="0" fontId="23" fillId="10" borderId="24" xfId="0" applyFont="1" applyFill="1" applyBorder="1" applyAlignment="1">
      <alignment horizontal="center" vertical="center" wrapText="1"/>
    </xf>
    <xf numFmtId="0" fontId="22" fillId="10" borderId="37" xfId="0" applyFont="1" applyFill="1" applyBorder="1" applyAlignment="1">
      <alignment horizontal="center" vertical="center" wrapText="1"/>
    </xf>
    <xf numFmtId="0" fontId="22" fillId="10" borderId="38" xfId="0" applyFont="1" applyFill="1" applyBorder="1" applyAlignment="1">
      <alignment horizontal="center" vertical="center" wrapText="1"/>
    </xf>
    <xf numFmtId="0" fontId="22" fillId="10" borderId="39" xfId="0" applyFont="1" applyFill="1" applyBorder="1" applyAlignment="1">
      <alignment horizontal="center" vertical="center" wrapText="1"/>
    </xf>
    <xf numFmtId="0" fontId="22" fillId="10" borderId="36" xfId="0" applyFont="1" applyFill="1" applyBorder="1" applyAlignment="1">
      <alignment horizontal="center" vertical="center" wrapText="1"/>
    </xf>
    <xf numFmtId="0" fontId="23" fillId="6" borderId="37" xfId="0" applyFont="1" applyFill="1" applyBorder="1" applyAlignment="1">
      <alignment horizontal="center" vertical="center" wrapText="1"/>
    </xf>
    <xf numFmtId="0" fontId="23" fillId="6" borderId="38" xfId="0" applyFont="1" applyFill="1" applyBorder="1" applyAlignment="1">
      <alignment horizontal="center" vertical="center" wrapText="1"/>
    </xf>
    <xf numFmtId="0" fontId="23" fillId="6" borderId="39" xfId="0" applyFont="1" applyFill="1" applyBorder="1" applyAlignment="1">
      <alignment horizontal="center" vertical="center" wrapText="1"/>
    </xf>
    <xf numFmtId="0" fontId="24" fillId="9" borderId="36" xfId="0" applyFont="1" applyFill="1" applyBorder="1" applyAlignment="1">
      <alignment horizontal="center" vertical="center" wrapText="1"/>
    </xf>
    <xf numFmtId="0" fontId="23" fillId="7" borderId="36" xfId="0" applyFont="1" applyFill="1" applyBorder="1" applyAlignment="1">
      <alignment horizontal="center" vertical="center" wrapText="1"/>
    </xf>
    <xf numFmtId="0" fontId="23" fillId="10" borderId="37" xfId="0" applyFont="1" applyFill="1" applyBorder="1" applyAlignment="1">
      <alignment horizontal="center" vertical="center" wrapText="1"/>
    </xf>
    <xf numFmtId="0" fontId="23" fillId="10" borderId="38" xfId="0" applyFont="1" applyFill="1" applyBorder="1" applyAlignment="1">
      <alignment horizontal="center" vertical="center" wrapText="1"/>
    </xf>
    <xf numFmtId="0" fontId="23" fillId="10" borderId="39" xfId="0" applyFont="1" applyFill="1" applyBorder="1" applyAlignment="1">
      <alignment horizontal="center" vertical="center" wrapText="1"/>
    </xf>
    <xf numFmtId="0" fontId="22" fillId="0" borderId="36" xfId="0" applyFont="1" applyBorder="1" applyAlignment="1">
      <alignment horizontal="center" vertical="center" wrapText="1"/>
    </xf>
    <xf numFmtId="0" fontId="23" fillId="10" borderId="36" xfId="0" applyFont="1" applyFill="1" applyBorder="1" applyAlignment="1">
      <alignment horizontal="center" vertical="center" wrapText="1"/>
    </xf>
    <xf numFmtId="0" fontId="23" fillId="0" borderId="24" xfId="0" applyFont="1" applyFill="1" applyBorder="1" applyAlignment="1">
      <alignment horizontal="center" vertical="center" wrapText="1"/>
    </xf>
    <xf numFmtId="0" fontId="23" fillId="6" borderId="36" xfId="0" applyFont="1" applyFill="1" applyBorder="1" applyAlignment="1">
      <alignment horizontal="center" vertical="center" wrapText="1"/>
    </xf>
    <xf numFmtId="0" fontId="22" fillId="9" borderId="36" xfId="0" applyFont="1" applyFill="1" applyBorder="1" applyAlignment="1">
      <alignment horizontal="center" vertical="center" wrapText="1"/>
    </xf>
    <xf numFmtId="0" fontId="23" fillId="7" borderId="37" xfId="0" applyFont="1" applyFill="1" applyBorder="1" applyAlignment="1">
      <alignment horizontal="center" vertical="center" wrapText="1"/>
    </xf>
    <xf numFmtId="0" fontId="23" fillId="7" borderId="38" xfId="0" applyFont="1" applyFill="1" applyBorder="1" applyAlignment="1">
      <alignment horizontal="center" vertical="center" wrapText="1"/>
    </xf>
    <xf numFmtId="0" fontId="23" fillId="7" borderId="39" xfId="0" applyFont="1" applyFill="1" applyBorder="1" applyAlignment="1">
      <alignment horizontal="center" vertical="center" wrapText="1"/>
    </xf>
    <xf numFmtId="0" fontId="24" fillId="9" borderId="37" xfId="0" applyFont="1" applyFill="1" applyBorder="1" applyAlignment="1">
      <alignment horizontal="center" vertical="center" wrapText="1"/>
    </xf>
    <xf numFmtId="0" fontId="24" fillId="9" borderId="38" xfId="0" applyFont="1" applyFill="1" applyBorder="1" applyAlignment="1">
      <alignment horizontal="center" vertical="center" wrapText="1"/>
    </xf>
    <xf numFmtId="0" fontId="24" fillId="9" borderId="39" xfId="0" applyFont="1" applyFill="1" applyBorder="1" applyAlignment="1">
      <alignment horizontal="center" vertical="center" wrapText="1"/>
    </xf>
    <xf numFmtId="165" fontId="23" fillId="9" borderId="36" xfId="0" applyNumberFormat="1" applyFont="1" applyFill="1" applyBorder="1" applyAlignment="1">
      <alignment horizontal="center" vertical="center" wrapText="1"/>
    </xf>
    <xf numFmtId="165" fontId="23" fillId="10" borderId="46" xfId="0" applyNumberFormat="1" applyFont="1" applyFill="1" applyBorder="1" applyAlignment="1">
      <alignment horizontal="center" vertical="center" wrapText="1"/>
    </xf>
    <xf numFmtId="165" fontId="22" fillId="10" borderId="36" xfId="0" applyNumberFormat="1" applyFont="1" applyFill="1" applyBorder="1" applyAlignment="1">
      <alignment horizontal="center" vertical="center" wrapText="1"/>
    </xf>
    <xf numFmtId="165" fontId="24" fillId="9" borderId="36" xfId="0" applyNumberFormat="1" applyFont="1" applyFill="1" applyBorder="1" applyAlignment="1">
      <alignment horizontal="center" vertical="center" wrapText="1"/>
    </xf>
    <xf numFmtId="0" fontId="18" fillId="9" borderId="47" xfId="0" applyFont="1" applyFill="1" applyBorder="1" applyAlignment="1">
      <alignment horizontal="center" vertical="center" wrapText="1"/>
    </xf>
    <xf numFmtId="0" fontId="18" fillId="9" borderId="48" xfId="0" applyFont="1" applyFill="1" applyBorder="1" applyAlignment="1">
      <alignment horizontal="center" vertical="center" wrapText="1"/>
    </xf>
    <xf numFmtId="0" fontId="18" fillId="9" borderId="52" xfId="0" applyFont="1" applyFill="1" applyBorder="1" applyAlignment="1">
      <alignment horizontal="center" vertical="center" wrapText="1"/>
    </xf>
    <xf numFmtId="0" fontId="23" fillId="10" borderId="40" xfId="0" applyFont="1" applyFill="1" applyBorder="1" applyAlignment="1">
      <alignment horizontal="center" vertical="center" wrapText="1"/>
    </xf>
    <xf numFmtId="165" fontId="18" fillId="0" borderId="36" xfId="0" applyNumberFormat="1" applyFont="1" applyBorder="1" applyAlignment="1">
      <alignment horizontal="center" vertical="center" wrapText="1"/>
    </xf>
    <xf numFmtId="0" fontId="18" fillId="0" borderId="36" xfId="0" applyFont="1" applyBorder="1" applyAlignment="1">
      <alignment horizontal="center" vertical="center" wrapText="1"/>
    </xf>
    <xf numFmtId="165" fontId="18" fillId="0" borderId="37" xfId="0" applyNumberFormat="1" applyFont="1" applyBorder="1" applyAlignment="1">
      <alignment horizontal="center" vertical="center" wrapText="1"/>
    </xf>
    <xf numFmtId="0" fontId="18" fillId="0" borderId="38" xfId="0" applyFont="1" applyBorder="1" applyAlignment="1">
      <alignment horizontal="center" vertical="center" wrapText="1"/>
    </xf>
    <xf numFmtId="0" fontId="18" fillId="0" borderId="39" xfId="0" applyFont="1" applyBorder="1" applyAlignment="1">
      <alignment horizontal="center" vertical="center" wrapText="1"/>
    </xf>
    <xf numFmtId="0" fontId="23" fillId="7" borderId="40" xfId="0" applyFont="1" applyFill="1" applyBorder="1" applyAlignment="1">
      <alignment horizontal="center" vertical="center" wrapText="1"/>
    </xf>
    <xf numFmtId="0" fontId="19" fillId="9" borderId="47" xfId="0" applyFont="1" applyFill="1" applyBorder="1" applyAlignment="1">
      <alignment horizontal="center" vertical="center" wrapText="1"/>
    </xf>
    <xf numFmtId="0" fontId="19" fillId="9" borderId="48" xfId="0" applyFont="1" applyFill="1" applyBorder="1" applyAlignment="1">
      <alignment horizontal="center" vertical="center" wrapText="1"/>
    </xf>
    <xf numFmtId="0" fontId="6" fillId="0" borderId="17" xfId="0" applyFont="1" applyBorder="1" applyAlignment="1">
      <alignment horizontal="left" vertical="top"/>
    </xf>
    <xf numFmtId="0" fontId="3" fillId="0" borderId="17" xfId="0" applyFont="1" applyBorder="1"/>
    <xf numFmtId="0" fontId="3" fillId="0" borderId="12" xfId="0" applyFont="1" applyBorder="1"/>
    <xf numFmtId="0" fontId="12" fillId="0" borderId="0" xfId="0" applyFont="1" applyAlignment="1">
      <alignment horizontal="left" vertical="top"/>
    </xf>
    <xf numFmtId="0" fontId="0" fillId="0" borderId="0" xfId="0" applyFont="1" applyAlignment="1"/>
    <xf numFmtId="0" fontId="9" fillId="0" borderId="13" xfId="0" applyFont="1" applyBorder="1" applyAlignment="1">
      <alignment horizontal="center"/>
    </xf>
    <xf numFmtId="0" fontId="3" fillId="0" borderId="13" xfId="0" applyFont="1" applyBorder="1"/>
    <xf numFmtId="0" fontId="10" fillId="0" borderId="1" xfId="0" applyFont="1" applyBorder="1" applyAlignment="1">
      <alignment horizontal="center"/>
    </xf>
    <xf numFmtId="0" fontId="3" fillId="0" borderId="2" xfId="0" applyFont="1" applyBorder="1"/>
    <xf numFmtId="0" fontId="3" fillId="0" borderId="3" xfId="0" applyFont="1" applyBorder="1"/>
    <xf numFmtId="0" fontId="11" fillId="0" borderId="17" xfId="0" applyFont="1" applyBorder="1" applyAlignment="1">
      <alignment horizontal="left" vertical="top"/>
    </xf>
    <xf numFmtId="0" fontId="1" fillId="0" borderId="25" xfId="0" applyFont="1" applyBorder="1" applyAlignment="1">
      <alignment horizontal="left" vertical="top" wrapText="1"/>
    </xf>
    <xf numFmtId="0" fontId="3" fillId="0" borderId="27" xfId="0" applyFont="1" applyBorder="1"/>
    <xf numFmtId="0" fontId="3" fillId="0" borderId="6" xfId="0" applyFont="1" applyBorder="1"/>
    <xf numFmtId="0" fontId="10" fillId="0" borderId="18" xfId="0" applyFont="1" applyBorder="1" applyAlignment="1">
      <alignment horizontal="left" vertical="center" wrapText="1"/>
    </xf>
    <xf numFmtId="0" fontId="3" fillId="0" borderId="14" xfId="0" applyFont="1" applyBorder="1"/>
    <xf numFmtId="0" fontId="3" fillId="0" borderId="15" xfId="0" applyFont="1" applyBorder="1"/>
    <xf numFmtId="0" fontId="3" fillId="0" borderId="16" xfId="0" applyFont="1" applyBorder="1"/>
    <xf numFmtId="0" fontId="3" fillId="0" borderId="7" xfId="0" applyFont="1" applyBorder="1"/>
    <xf numFmtId="0" fontId="14" fillId="0" borderId="25" xfId="0" applyFont="1" applyBorder="1" applyAlignment="1">
      <alignment horizontal="left" vertical="top" wrapText="1"/>
    </xf>
    <xf numFmtId="0" fontId="15" fillId="2" borderId="20" xfId="0" applyFont="1" applyFill="1" applyBorder="1" applyAlignment="1">
      <alignment horizontal="left"/>
    </xf>
    <xf numFmtId="0" fontId="3" fillId="0" borderId="21" xfId="0" applyFont="1" applyBorder="1"/>
    <xf numFmtId="0" fontId="3" fillId="0" borderId="22" xfId="0" applyFont="1" applyBorder="1"/>
    <xf numFmtId="0" fontId="16" fillId="2" borderId="23" xfId="0" applyFont="1" applyFill="1" applyBorder="1" applyAlignment="1">
      <alignment horizontal="left"/>
    </xf>
    <xf numFmtId="0" fontId="3" fillId="0" borderId="24" xfId="0" applyFont="1" applyBorder="1"/>
    <xf numFmtId="0" fontId="1" fillId="0" borderId="28" xfId="0" applyFont="1" applyBorder="1" applyAlignment="1">
      <alignment horizontal="left" vertical="top" wrapText="1"/>
    </xf>
    <xf numFmtId="0" fontId="3" fillId="0" borderId="29" xfId="0" applyFont="1" applyBorder="1"/>
    <xf numFmtId="0" fontId="3" fillId="0" borderId="30" xfId="0" applyFont="1" applyBorder="1"/>
    <xf numFmtId="0" fontId="3" fillId="0" borderId="31" xfId="0" applyFont="1" applyBorder="1"/>
    <xf numFmtId="0" fontId="3" fillId="0" borderId="32" xfId="0" applyFont="1" applyBorder="1"/>
    <xf numFmtId="0" fontId="3" fillId="0" borderId="33" xfId="0" applyFont="1" applyBorder="1"/>
    <xf numFmtId="0" fontId="3" fillId="0" borderId="34" xfId="0" applyFont="1" applyBorder="1"/>
    <xf numFmtId="0" fontId="3" fillId="0" borderId="35" xfId="0" applyFont="1" applyBorder="1"/>
  </cellXfs>
  <cellStyles count="5">
    <cellStyle name="Comma" xfId="1" builtinId="3"/>
    <cellStyle name="Normal" xfId="0" builtinId="0"/>
    <cellStyle name="Normal 2" xfId="3" xr:uid="{D1799D05-589A-46D7-9C2A-3A0C09EFE17E}"/>
    <cellStyle name="Normal 2 2" xfId="4" xr:uid="{0F85513A-0B85-4F8E-AD66-33240E537BBB}"/>
    <cellStyle name="Percent" xfId="2" builtinId="5"/>
  </cellStyles>
  <dxfs count="3">
    <dxf>
      <font>
        <color rgb="FFFF0000"/>
      </font>
      <fill>
        <patternFill patternType="none"/>
      </fill>
    </dxf>
    <dxf>
      <font>
        <color rgb="FFFF0000"/>
      </font>
      <fill>
        <patternFill patternType="solid">
          <fgColor rgb="FFFFFF00"/>
          <bgColor rgb="FFFFFF00"/>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1428750" cy="1362075"/>
    <xdr:pic>
      <xdr:nvPicPr>
        <xdr:cNvPr id="2" name="image1.png">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46D3-3574-49BB-A25D-9B5F496B614D}">
  <dimension ref="A1:AE32"/>
  <sheetViews>
    <sheetView workbookViewId="0">
      <selection activeCell="J19" sqref="J19"/>
    </sheetView>
  </sheetViews>
  <sheetFormatPr defaultRowHeight="12.75" x14ac:dyDescent="0.25"/>
  <cols>
    <col min="1" max="1" width="18.140625" style="81" bestFit="1" customWidth="1"/>
    <col min="2" max="2" width="12" style="81" bestFit="1" customWidth="1"/>
    <col min="3" max="3" width="13.140625" style="81" bestFit="1" customWidth="1"/>
    <col min="4" max="4" width="22" style="81" bestFit="1" customWidth="1"/>
    <col min="5" max="5" width="9.28515625" style="81" bestFit="1" customWidth="1"/>
    <col min="6" max="6" width="10" style="81" bestFit="1" customWidth="1"/>
    <col min="7" max="7" width="15.42578125" style="81" bestFit="1" customWidth="1"/>
    <col min="8" max="8" width="19.85546875" style="81" bestFit="1" customWidth="1"/>
    <col min="9" max="9" width="21.42578125" style="81" bestFit="1" customWidth="1"/>
    <col min="10" max="10" width="23.28515625" style="81" bestFit="1" customWidth="1"/>
    <col min="11" max="11" width="42.85546875" style="81" bestFit="1" customWidth="1"/>
    <col min="12" max="12" width="14.7109375" style="81" bestFit="1" customWidth="1"/>
    <col min="13" max="13" width="17.7109375" style="81" bestFit="1" customWidth="1"/>
    <col min="14" max="14" width="15.85546875" style="81" bestFit="1" customWidth="1"/>
    <col min="15" max="15" width="5.7109375" style="81" bestFit="1" customWidth="1"/>
    <col min="16" max="16" width="14.7109375" style="81" bestFit="1" customWidth="1"/>
    <col min="17" max="17" width="13.42578125" style="81" bestFit="1" customWidth="1"/>
    <col min="18" max="18" width="15.85546875" style="81" customWidth="1"/>
    <col min="19" max="19" width="12.7109375" style="81" bestFit="1" customWidth="1"/>
    <col min="20" max="20" width="14.5703125" style="81" bestFit="1" customWidth="1"/>
    <col min="21" max="21" width="12.7109375" style="81" bestFit="1" customWidth="1"/>
    <col min="22" max="22" width="15.85546875" style="81" bestFit="1" customWidth="1"/>
    <col min="23" max="23" width="14.140625" style="81" bestFit="1" customWidth="1"/>
    <col min="24" max="24" width="5.7109375" style="81" bestFit="1" customWidth="1"/>
    <col min="25" max="25" width="13.85546875" style="81" customWidth="1"/>
    <col min="26" max="26" width="11.5703125" style="81" customWidth="1"/>
    <col min="27" max="27" width="10.85546875" style="81" bestFit="1" customWidth="1"/>
    <col min="28" max="28" width="33.140625" style="81" customWidth="1"/>
    <col min="29" max="29" width="8.85546875" style="81" bestFit="1" customWidth="1"/>
    <col min="30" max="30" width="8.42578125" style="81" bestFit="1" customWidth="1"/>
    <col min="31" max="31" width="7.140625" style="81" bestFit="1" customWidth="1"/>
    <col min="32" max="16384" width="9.140625" style="81"/>
  </cols>
  <sheetData>
    <row r="1" spans="1:31" ht="30" customHeight="1" x14ac:dyDescent="0.25">
      <c r="A1" s="156" t="s">
        <v>270</v>
      </c>
      <c r="B1" s="157"/>
      <c r="C1" s="160" t="s">
        <v>184</v>
      </c>
      <c r="D1" s="161"/>
      <c r="E1" s="161"/>
      <c r="F1" s="161"/>
      <c r="G1" s="161"/>
      <c r="H1" s="161"/>
      <c r="I1" s="161"/>
      <c r="J1" s="161"/>
      <c r="K1" s="162"/>
      <c r="L1" s="163" t="s">
        <v>185</v>
      </c>
      <c r="M1" s="164"/>
      <c r="N1" s="164"/>
      <c r="O1" s="164"/>
      <c r="P1" s="164"/>
      <c r="Q1" s="164"/>
      <c r="R1" s="164"/>
      <c r="S1" s="161" t="s">
        <v>243</v>
      </c>
      <c r="T1" s="161"/>
      <c r="U1" s="161"/>
      <c r="V1" s="161"/>
      <c r="W1" s="162"/>
      <c r="X1" s="165" t="s">
        <v>251</v>
      </c>
      <c r="Y1" s="165"/>
      <c r="Z1" s="165"/>
      <c r="AA1" s="101"/>
      <c r="AB1" s="103" t="s">
        <v>255</v>
      </c>
      <c r="AC1" s="104"/>
      <c r="AD1" s="104"/>
      <c r="AE1" s="104"/>
    </row>
    <row r="2" spans="1:31" ht="63.75" x14ac:dyDescent="0.25">
      <c r="A2" s="82" t="s">
        <v>224</v>
      </c>
      <c r="B2" s="82" t="s">
        <v>226</v>
      </c>
      <c r="C2" s="83" t="s">
        <v>204</v>
      </c>
      <c r="D2" s="83" t="s">
        <v>205</v>
      </c>
      <c r="E2" s="83" t="s">
        <v>206</v>
      </c>
      <c r="F2" s="83" t="s">
        <v>207</v>
      </c>
      <c r="G2" s="83" t="s">
        <v>208</v>
      </c>
      <c r="H2" s="83" t="s">
        <v>259</v>
      </c>
      <c r="I2" s="83" t="s">
        <v>262</v>
      </c>
      <c r="J2" s="83" t="s">
        <v>245</v>
      </c>
      <c r="K2" s="83" t="s">
        <v>263</v>
      </c>
      <c r="L2" s="83" t="s">
        <v>203</v>
      </c>
      <c r="M2" s="83" t="s">
        <v>239</v>
      </c>
      <c r="N2" s="83" t="s">
        <v>216</v>
      </c>
      <c r="O2" s="83" t="s">
        <v>220</v>
      </c>
      <c r="P2" s="83" t="s">
        <v>252</v>
      </c>
      <c r="Q2" s="83" t="s">
        <v>253</v>
      </c>
      <c r="R2" s="83" t="s">
        <v>254</v>
      </c>
      <c r="S2" s="83" t="s">
        <v>266</v>
      </c>
      <c r="T2" s="83" t="s">
        <v>264</v>
      </c>
      <c r="U2" s="83" t="s">
        <v>265</v>
      </c>
      <c r="V2" s="83" t="s">
        <v>258</v>
      </c>
      <c r="W2" s="83" t="s">
        <v>257</v>
      </c>
      <c r="X2" s="83" t="s">
        <v>226</v>
      </c>
      <c r="Y2" s="83" t="s">
        <v>268</v>
      </c>
      <c r="Z2" s="83" t="s">
        <v>264</v>
      </c>
      <c r="AA2" s="83" t="s">
        <v>267</v>
      </c>
      <c r="AB2" s="83" t="s">
        <v>267</v>
      </c>
    </row>
    <row r="3" spans="1:31" x14ac:dyDescent="0.25">
      <c r="A3" s="80" t="s">
        <v>211</v>
      </c>
      <c r="B3" s="84">
        <v>69.84</v>
      </c>
      <c r="C3" s="84">
        <f t="shared" ref="C3:G8" si="0">$B3*C$25</f>
        <v>4.3300800000000006</v>
      </c>
      <c r="D3" s="84">
        <f t="shared" si="0"/>
        <v>1.0126800000000002</v>
      </c>
      <c r="E3" s="84">
        <f t="shared" si="0"/>
        <v>4.1904000000000003</v>
      </c>
      <c r="F3" s="84">
        <f t="shared" si="0"/>
        <v>0.69840000000000002</v>
      </c>
      <c r="G3" s="84">
        <f t="shared" si="0"/>
        <v>0.35618400000000011</v>
      </c>
      <c r="H3" s="84">
        <f>SUM(C3:G3)</f>
        <v>10.587744000000002</v>
      </c>
      <c r="I3" s="84">
        <f>SUM(B3,H3)</f>
        <v>80.427744000000004</v>
      </c>
      <c r="J3" s="85"/>
      <c r="K3" s="84">
        <f>SUM(I3:J3)</f>
        <v>80.427744000000004</v>
      </c>
      <c r="L3" s="86">
        <f>$B$32</f>
        <v>1932</v>
      </c>
      <c r="M3" s="86">
        <f>$C$32</f>
        <v>264</v>
      </c>
      <c r="N3" s="86">
        <f>SUM(L3:M3)</f>
        <v>2196</v>
      </c>
      <c r="O3" s="86">
        <v>2</v>
      </c>
      <c r="P3" s="86">
        <f>L3*O3</f>
        <v>3864</v>
      </c>
      <c r="Q3" s="86">
        <f>M3*O3</f>
        <v>528</v>
      </c>
      <c r="R3" s="86">
        <f>N3*O3</f>
        <v>4392</v>
      </c>
      <c r="S3" s="84">
        <f>I3*R3</f>
        <v>353238.651648</v>
      </c>
      <c r="T3" s="84">
        <f>(R3*$D$17)+(P3*$D$19)+($F$13*R3/$R$9)</f>
        <v>42791.904287371377</v>
      </c>
      <c r="U3" s="84">
        <f>SUM(S3:T3)</f>
        <v>396030.55593537138</v>
      </c>
      <c r="V3" s="85">
        <f>J3*N3</f>
        <v>0</v>
      </c>
      <c r="W3" s="84">
        <f>SUM(U3:V3)</f>
        <v>396030.55593537138</v>
      </c>
      <c r="X3" s="84">
        <f>B3*1.05</f>
        <v>73.332000000000008</v>
      </c>
      <c r="Y3" s="84">
        <f>X3*$H$25</f>
        <v>11.117131200000003</v>
      </c>
      <c r="Z3" s="84">
        <f>($G$17*R3)+($G$19*P3)+($H$13*P3/R3)</f>
        <v>51925.737442622958</v>
      </c>
      <c r="AA3" s="84">
        <f>SUM(X3:Y3)*R3+Z3</f>
        <v>422826.32167302299</v>
      </c>
      <c r="AB3" s="84">
        <f>AA3-U3</f>
        <v>26795.765737651614</v>
      </c>
    </row>
    <row r="4" spans="1:31" x14ac:dyDescent="0.25">
      <c r="A4" s="80" t="s">
        <v>225</v>
      </c>
      <c r="B4" s="84">
        <v>65.19</v>
      </c>
      <c r="C4" s="84">
        <f t="shared" si="0"/>
        <v>4.0417800000000002</v>
      </c>
      <c r="D4" s="84">
        <f t="shared" si="0"/>
        <v>0.94525500000000018</v>
      </c>
      <c r="E4" s="84">
        <f t="shared" si="0"/>
        <v>3.9113999999999995</v>
      </c>
      <c r="F4" s="84">
        <f t="shared" si="0"/>
        <v>0.65190000000000003</v>
      </c>
      <c r="G4" s="84">
        <f t="shared" si="0"/>
        <v>0.33246900000000007</v>
      </c>
      <c r="H4" s="84">
        <f t="shared" ref="H4:H8" si="1">SUM(C4:G4)</f>
        <v>9.8828039999999984</v>
      </c>
      <c r="I4" s="84">
        <f t="shared" ref="I4:I8" si="2">SUM(B4,H4)</f>
        <v>75.072803999999991</v>
      </c>
      <c r="J4" s="85"/>
      <c r="K4" s="84">
        <f t="shared" ref="K4:K8" si="3">SUM(I4:J4)</f>
        <v>75.072803999999991</v>
      </c>
      <c r="L4" s="86">
        <f t="shared" ref="L4:L5" si="4">$B$32</f>
        <v>1932</v>
      </c>
      <c r="M4" s="86">
        <f t="shared" ref="M4:M5" si="5">$C$32</f>
        <v>264</v>
      </c>
      <c r="N4" s="86">
        <f t="shared" ref="N4:N8" si="6">SUM(L4:M4)</f>
        <v>2196</v>
      </c>
      <c r="O4" s="86">
        <v>2</v>
      </c>
      <c r="P4" s="86">
        <f t="shared" ref="P4:P8" si="7">L4*O4</f>
        <v>3864</v>
      </c>
      <c r="Q4" s="86">
        <f t="shared" ref="Q4:Q8" si="8">M4*O4</f>
        <v>528</v>
      </c>
      <c r="R4" s="86">
        <f t="shared" ref="R4:R8" si="9">N4*O4</f>
        <v>4392</v>
      </c>
      <c r="S4" s="84">
        <f t="shared" ref="S4:S8" si="10">I4*R4</f>
        <v>329719.75516799995</v>
      </c>
      <c r="T4" s="84">
        <f t="shared" ref="T4:T8" si="11">(R4*$D$17)+(P4*$D$19)+($F$13*R4/$R$9)</f>
        <v>42791.904287371377</v>
      </c>
      <c r="U4" s="84">
        <f t="shared" ref="U4:U8" si="12">SUM(S4:T4)</f>
        <v>372511.65945537132</v>
      </c>
      <c r="V4" s="85">
        <f t="shared" ref="V4:V9" si="13">J4*N4</f>
        <v>0</v>
      </c>
      <c r="W4" s="84">
        <f t="shared" ref="W4:W9" si="14">SUM(U4:V4)</f>
        <v>372511.65945537132</v>
      </c>
      <c r="X4" s="84">
        <f t="shared" ref="X4:X8" si="15">B4*1.05</f>
        <v>68.4495</v>
      </c>
      <c r="Y4" s="84">
        <f t="shared" ref="Y4:Y8" si="16">X4*$H$25</f>
        <v>10.376944200000001</v>
      </c>
      <c r="Z4" s="84">
        <f t="shared" ref="Z4:Z8" si="17">($G$17*R4)+($G$19*P4)+($H$13*P4/R4)</f>
        <v>51925.737442622958</v>
      </c>
      <c r="AA4" s="84">
        <f t="shared" ref="AA4:AA8" si="18">SUM(X4:Y4)*R4+Z4</f>
        <v>398131.48036902293</v>
      </c>
      <c r="AB4" s="84">
        <f t="shared" ref="AB4:AB9" si="19">AA4-U4</f>
        <v>25619.820913651609</v>
      </c>
    </row>
    <row r="5" spans="1:31" x14ac:dyDescent="0.25">
      <c r="A5" s="80" t="s">
        <v>217</v>
      </c>
      <c r="B5" s="84">
        <v>63.65</v>
      </c>
      <c r="C5" s="84">
        <f t="shared" si="0"/>
        <v>3.9462999999999999</v>
      </c>
      <c r="D5" s="84">
        <f t="shared" si="0"/>
        <v>0.92292500000000011</v>
      </c>
      <c r="E5" s="84">
        <f t="shared" si="0"/>
        <v>3.819</v>
      </c>
      <c r="F5" s="84">
        <f t="shared" si="0"/>
        <v>0.63649999999999995</v>
      </c>
      <c r="G5" s="84">
        <f t="shared" si="0"/>
        <v>0.3246150000000001</v>
      </c>
      <c r="H5" s="84">
        <f t="shared" si="1"/>
        <v>9.6493399999999987</v>
      </c>
      <c r="I5" s="84">
        <f t="shared" si="2"/>
        <v>73.299340000000001</v>
      </c>
      <c r="J5" s="85"/>
      <c r="K5" s="84">
        <f t="shared" si="3"/>
        <v>73.299340000000001</v>
      </c>
      <c r="L5" s="86">
        <f t="shared" si="4"/>
        <v>1932</v>
      </c>
      <c r="M5" s="86">
        <f t="shared" si="5"/>
        <v>264</v>
      </c>
      <c r="N5" s="86">
        <f t="shared" si="6"/>
        <v>2196</v>
      </c>
      <c r="O5" s="86">
        <v>2</v>
      </c>
      <c r="P5" s="86">
        <f t="shared" si="7"/>
        <v>3864</v>
      </c>
      <c r="Q5" s="86">
        <f t="shared" si="8"/>
        <v>528</v>
      </c>
      <c r="R5" s="86">
        <f t="shared" si="9"/>
        <v>4392</v>
      </c>
      <c r="S5" s="84">
        <f t="shared" si="10"/>
        <v>321930.70127999998</v>
      </c>
      <c r="T5" s="84">
        <f t="shared" si="11"/>
        <v>42791.904287371377</v>
      </c>
      <c r="U5" s="84">
        <f t="shared" si="12"/>
        <v>364722.60556737136</v>
      </c>
      <c r="V5" s="85">
        <f t="shared" si="13"/>
        <v>0</v>
      </c>
      <c r="W5" s="84">
        <f t="shared" si="14"/>
        <v>364722.60556737136</v>
      </c>
      <c r="X5" s="84">
        <f t="shared" si="15"/>
        <v>66.832499999999996</v>
      </c>
      <c r="Y5" s="84">
        <f t="shared" si="16"/>
        <v>10.131807</v>
      </c>
      <c r="Z5" s="84">
        <f t="shared" si="17"/>
        <v>51925.737442622958</v>
      </c>
      <c r="AA5" s="84">
        <f t="shared" si="18"/>
        <v>389952.97378662293</v>
      </c>
      <c r="AB5" s="84">
        <f t="shared" si="19"/>
        <v>25230.36821925157</v>
      </c>
    </row>
    <row r="6" spans="1:31" x14ac:dyDescent="0.25">
      <c r="A6" s="80" t="s">
        <v>214</v>
      </c>
      <c r="B6" s="84">
        <v>69.84</v>
      </c>
      <c r="C6" s="84">
        <f t="shared" si="0"/>
        <v>4.3300800000000006</v>
      </c>
      <c r="D6" s="84">
        <f t="shared" si="0"/>
        <v>1.0126800000000002</v>
      </c>
      <c r="E6" s="84">
        <f t="shared" si="0"/>
        <v>4.1904000000000003</v>
      </c>
      <c r="F6" s="84">
        <f t="shared" si="0"/>
        <v>0.69840000000000002</v>
      </c>
      <c r="G6" s="84">
        <f t="shared" si="0"/>
        <v>0.35618400000000011</v>
      </c>
      <c r="H6" s="84">
        <f t="shared" si="1"/>
        <v>10.587744000000002</v>
      </c>
      <c r="I6" s="84">
        <f t="shared" si="2"/>
        <v>80.427744000000004</v>
      </c>
      <c r="J6" s="85"/>
      <c r="K6" s="84">
        <f t="shared" si="3"/>
        <v>80.427744000000004</v>
      </c>
      <c r="L6" s="86">
        <f>$F$32</f>
        <v>1836</v>
      </c>
      <c r="M6" s="86">
        <f>$G$32</f>
        <v>244</v>
      </c>
      <c r="N6" s="86">
        <f t="shared" si="6"/>
        <v>2080</v>
      </c>
      <c r="O6" s="86">
        <v>2</v>
      </c>
      <c r="P6" s="86">
        <f t="shared" si="7"/>
        <v>3672</v>
      </c>
      <c r="Q6" s="86">
        <f t="shared" si="8"/>
        <v>488</v>
      </c>
      <c r="R6" s="86">
        <f t="shared" si="9"/>
        <v>4160</v>
      </c>
      <c r="S6" s="84">
        <f t="shared" si="10"/>
        <v>334579.41503999999</v>
      </c>
      <c r="T6" s="84">
        <f t="shared" si="11"/>
        <v>40549.052512628623</v>
      </c>
      <c r="U6" s="84">
        <f t="shared" si="12"/>
        <v>375128.4675526286</v>
      </c>
      <c r="V6" s="85">
        <f t="shared" si="13"/>
        <v>0</v>
      </c>
      <c r="W6" s="84">
        <f t="shared" si="14"/>
        <v>375128.4675526286</v>
      </c>
      <c r="X6" s="84">
        <f t="shared" si="15"/>
        <v>73.332000000000008</v>
      </c>
      <c r="Y6" s="84">
        <f t="shared" si="16"/>
        <v>11.117131200000003</v>
      </c>
      <c r="Z6" s="84">
        <f t="shared" si="17"/>
        <v>49689.005746153853</v>
      </c>
      <c r="AA6" s="84">
        <f t="shared" si="18"/>
        <v>400997.39153815387</v>
      </c>
      <c r="AB6" s="84">
        <f t="shared" si="19"/>
        <v>25868.923985525267</v>
      </c>
    </row>
    <row r="7" spans="1:31" x14ac:dyDescent="0.25">
      <c r="A7" s="80" t="s">
        <v>212</v>
      </c>
      <c r="B7" s="84">
        <v>63.65</v>
      </c>
      <c r="C7" s="84">
        <f t="shared" si="0"/>
        <v>3.9462999999999999</v>
      </c>
      <c r="D7" s="84">
        <f t="shared" si="0"/>
        <v>0.92292500000000011</v>
      </c>
      <c r="E7" s="84">
        <f t="shared" si="0"/>
        <v>3.819</v>
      </c>
      <c r="F7" s="84">
        <f t="shared" si="0"/>
        <v>0.63649999999999995</v>
      </c>
      <c r="G7" s="84">
        <f t="shared" si="0"/>
        <v>0.3246150000000001</v>
      </c>
      <c r="H7" s="84">
        <f t="shared" si="1"/>
        <v>9.6493399999999987</v>
      </c>
      <c r="I7" s="84">
        <f t="shared" si="2"/>
        <v>73.299340000000001</v>
      </c>
      <c r="J7" s="85"/>
      <c r="K7" s="84">
        <f t="shared" si="3"/>
        <v>73.299340000000001</v>
      </c>
      <c r="L7" s="86">
        <f t="shared" ref="L7:L8" si="20">$F$32</f>
        <v>1836</v>
      </c>
      <c r="M7" s="86">
        <f t="shared" ref="M7:M8" si="21">$G$32</f>
        <v>244</v>
      </c>
      <c r="N7" s="86">
        <f t="shared" si="6"/>
        <v>2080</v>
      </c>
      <c r="O7" s="86">
        <v>2</v>
      </c>
      <c r="P7" s="86">
        <f t="shared" si="7"/>
        <v>3672</v>
      </c>
      <c r="Q7" s="86">
        <f t="shared" si="8"/>
        <v>488</v>
      </c>
      <c r="R7" s="86">
        <f t="shared" si="9"/>
        <v>4160</v>
      </c>
      <c r="S7" s="84">
        <f t="shared" si="10"/>
        <v>304925.25439999998</v>
      </c>
      <c r="T7" s="84">
        <f t="shared" si="11"/>
        <v>40549.052512628623</v>
      </c>
      <c r="U7" s="84">
        <f t="shared" si="12"/>
        <v>345474.30691262858</v>
      </c>
      <c r="V7" s="85">
        <f t="shared" si="13"/>
        <v>0</v>
      </c>
      <c r="W7" s="84">
        <f t="shared" si="14"/>
        <v>345474.30691262858</v>
      </c>
      <c r="X7" s="84">
        <f t="shared" si="15"/>
        <v>66.832499999999996</v>
      </c>
      <c r="Y7" s="84">
        <f t="shared" si="16"/>
        <v>10.131807</v>
      </c>
      <c r="Z7" s="84">
        <f t="shared" si="17"/>
        <v>49689.005746153853</v>
      </c>
      <c r="AA7" s="84">
        <f t="shared" si="18"/>
        <v>369860.52286615386</v>
      </c>
      <c r="AB7" s="84">
        <f t="shared" si="19"/>
        <v>24386.215953525272</v>
      </c>
    </row>
    <row r="8" spans="1:31" x14ac:dyDescent="0.25">
      <c r="A8" s="80" t="s">
        <v>213</v>
      </c>
      <c r="B8" s="84">
        <v>59.74</v>
      </c>
      <c r="C8" s="84">
        <f t="shared" si="0"/>
        <v>3.7038800000000003</v>
      </c>
      <c r="D8" s="84">
        <f t="shared" si="0"/>
        <v>0.86623000000000017</v>
      </c>
      <c r="E8" s="84">
        <f t="shared" si="0"/>
        <v>3.5844</v>
      </c>
      <c r="F8" s="84">
        <f t="shared" si="0"/>
        <v>0.59740000000000004</v>
      </c>
      <c r="G8" s="84">
        <f t="shared" si="0"/>
        <v>0.30467400000000011</v>
      </c>
      <c r="H8" s="84">
        <f t="shared" si="1"/>
        <v>9.0565840000000009</v>
      </c>
      <c r="I8" s="84">
        <f t="shared" si="2"/>
        <v>68.796583999999996</v>
      </c>
      <c r="J8" s="85"/>
      <c r="K8" s="84">
        <f t="shared" si="3"/>
        <v>68.796583999999996</v>
      </c>
      <c r="L8" s="86">
        <f t="shared" si="20"/>
        <v>1836</v>
      </c>
      <c r="M8" s="86">
        <f t="shared" si="21"/>
        <v>244</v>
      </c>
      <c r="N8" s="86">
        <f t="shared" si="6"/>
        <v>2080</v>
      </c>
      <c r="O8" s="86">
        <v>2</v>
      </c>
      <c r="P8" s="86">
        <f t="shared" si="7"/>
        <v>3672</v>
      </c>
      <c r="Q8" s="86">
        <f t="shared" si="8"/>
        <v>488</v>
      </c>
      <c r="R8" s="86">
        <f t="shared" si="9"/>
        <v>4160</v>
      </c>
      <c r="S8" s="84">
        <f t="shared" si="10"/>
        <v>286193.78943999996</v>
      </c>
      <c r="T8" s="84">
        <f t="shared" si="11"/>
        <v>40549.052512628623</v>
      </c>
      <c r="U8" s="84">
        <f t="shared" si="12"/>
        <v>326742.84195262857</v>
      </c>
      <c r="V8" s="85">
        <f t="shared" si="13"/>
        <v>0</v>
      </c>
      <c r="W8" s="84">
        <f t="shared" si="14"/>
        <v>326742.84195262857</v>
      </c>
      <c r="X8" s="84">
        <f t="shared" si="15"/>
        <v>62.727000000000004</v>
      </c>
      <c r="Y8" s="84">
        <f t="shared" si="16"/>
        <v>9.5094132000000009</v>
      </c>
      <c r="Z8" s="84">
        <f t="shared" si="17"/>
        <v>49689.005746153853</v>
      </c>
      <c r="AA8" s="84">
        <f t="shared" si="18"/>
        <v>350192.48465815384</v>
      </c>
      <c r="AB8" s="84">
        <f t="shared" si="19"/>
        <v>23449.642705525272</v>
      </c>
    </row>
    <row r="9" spans="1:31" x14ac:dyDescent="0.25">
      <c r="A9" s="83" t="s">
        <v>227</v>
      </c>
      <c r="B9" s="84"/>
      <c r="C9" s="80"/>
      <c r="D9" s="80"/>
      <c r="E9" s="80"/>
      <c r="F9" s="80"/>
      <c r="G9" s="80"/>
      <c r="H9" s="80"/>
      <c r="I9" s="80"/>
      <c r="J9" s="95"/>
      <c r="K9" s="80"/>
      <c r="L9" s="86">
        <f>SUM(L3:L8)</f>
        <v>11304</v>
      </c>
      <c r="M9" s="86">
        <f t="shared" ref="M9:N9" si="22">SUM(M3:M8)</f>
        <v>1524</v>
      </c>
      <c r="N9" s="86">
        <f t="shared" si="22"/>
        <v>12828</v>
      </c>
      <c r="O9" s="86">
        <f>SUM(O3:O8)</f>
        <v>12</v>
      </c>
      <c r="P9" s="86">
        <f t="shared" ref="P9:R9" si="23">SUM(P3:P8)</f>
        <v>22608</v>
      </c>
      <c r="Q9" s="86">
        <f>SUM(Q3:Q8)</f>
        <v>3048</v>
      </c>
      <c r="R9" s="86">
        <f t="shared" si="23"/>
        <v>25656</v>
      </c>
      <c r="S9" s="84">
        <f>SUM(S3:S8)</f>
        <v>1930587.5669759996</v>
      </c>
      <c r="T9" s="84">
        <f>SUM(T3:T8)</f>
        <v>250022.87039999996</v>
      </c>
      <c r="U9" s="84">
        <f>SUM(U3:U8)</f>
        <v>2180610.437376</v>
      </c>
      <c r="V9" s="85">
        <f t="shared" si="13"/>
        <v>0</v>
      </c>
      <c r="W9" s="84">
        <f t="shared" si="14"/>
        <v>2180610.437376</v>
      </c>
      <c r="X9" s="84"/>
      <c r="Y9" s="84"/>
      <c r="Z9" s="84">
        <f>SUM(Z3:Z8)</f>
        <v>304844.22956633044</v>
      </c>
      <c r="AA9" s="84">
        <f>SUM(AA3:AA8)</f>
        <v>2331961.1748911305</v>
      </c>
      <c r="AB9" s="84">
        <f t="shared" si="19"/>
        <v>151350.73751513055</v>
      </c>
    </row>
    <row r="10" spans="1:31" x14ac:dyDescent="0.25">
      <c r="A10" s="87"/>
      <c r="B10" s="88"/>
      <c r="H10" s="105">
        <f>H3/B3</f>
        <v>0.15160000000000004</v>
      </c>
    </row>
    <row r="11" spans="1:31" ht="42" customHeight="1" x14ac:dyDescent="0.25">
      <c r="A11" s="154" t="s">
        <v>250</v>
      </c>
      <c r="B11" s="155"/>
      <c r="C11" s="155"/>
      <c r="D11" s="155"/>
      <c r="E11" s="155"/>
      <c r="F11" s="155"/>
      <c r="G11" s="155"/>
      <c r="H11" s="155"/>
      <c r="I11" s="89"/>
      <c r="J11" s="155" t="s">
        <v>249</v>
      </c>
      <c r="K11" s="155"/>
      <c r="L11" s="155"/>
      <c r="M11" s="155"/>
    </row>
    <row r="12" spans="1:31" ht="25.5" x14ac:dyDescent="0.25">
      <c r="A12" s="90"/>
      <c r="B12" s="91" t="s">
        <v>237</v>
      </c>
      <c r="C12" s="91" t="s">
        <v>246</v>
      </c>
      <c r="D12" s="90" t="s">
        <v>183</v>
      </c>
      <c r="E12" s="90" t="s">
        <v>235</v>
      </c>
      <c r="F12" s="90" t="s">
        <v>202</v>
      </c>
      <c r="G12" s="90" t="s">
        <v>269</v>
      </c>
      <c r="H12" s="90" t="s">
        <v>202</v>
      </c>
      <c r="I12" s="92"/>
      <c r="J12" s="93" t="s">
        <v>237</v>
      </c>
      <c r="K12" s="90" t="s">
        <v>183</v>
      </c>
      <c r="L12" s="90" t="s">
        <v>235</v>
      </c>
      <c r="M12" s="90" t="s">
        <v>202</v>
      </c>
    </row>
    <row r="13" spans="1:31" ht="38.25" x14ac:dyDescent="0.25">
      <c r="A13" s="80" t="s">
        <v>242</v>
      </c>
      <c r="B13" s="84" t="s">
        <v>244</v>
      </c>
      <c r="C13" s="84" t="s">
        <v>222</v>
      </c>
      <c r="D13" s="84">
        <f>AVERAGE(B3:B8)+(1*H25)</f>
        <v>65.46993333333333</v>
      </c>
      <c r="E13" s="80">
        <v>144</v>
      </c>
      <c r="F13" s="94">
        <f>D13*E13</f>
        <v>9427.6703999999991</v>
      </c>
      <c r="G13" s="84">
        <f>AVERAGE(X3:X8)+(1*K25)</f>
        <v>68.584249999999997</v>
      </c>
      <c r="H13" s="84">
        <f>G13*E13</f>
        <v>9876.1319999999996</v>
      </c>
      <c r="J13" s="170" t="s">
        <v>256</v>
      </c>
      <c r="K13" s="171"/>
      <c r="L13" s="171"/>
      <c r="M13" s="172"/>
    </row>
    <row r="14" spans="1:31" ht="38.25" x14ac:dyDescent="0.25">
      <c r="A14" s="80" t="s">
        <v>234</v>
      </c>
      <c r="B14" s="84"/>
      <c r="C14" s="84" t="s">
        <v>247</v>
      </c>
      <c r="D14" s="80"/>
      <c r="E14" s="80"/>
      <c r="F14" s="94">
        <v>0</v>
      </c>
      <c r="G14" s="84"/>
      <c r="H14" s="84"/>
      <c r="J14" s="95"/>
      <c r="K14" s="95"/>
      <c r="L14" s="95"/>
      <c r="M14" s="95"/>
    </row>
    <row r="15" spans="1:31" ht="25.5" x14ac:dyDescent="0.25">
      <c r="A15" s="80" t="s">
        <v>231</v>
      </c>
      <c r="B15" s="84"/>
      <c r="C15" s="84" t="s">
        <v>247</v>
      </c>
      <c r="D15" s="80"/>
      <c r="E15" s="80"/>
      <c r="F15" s="94">
        <v>0</v>
      </c>
      <c r="G15" s="84"/>
      <c r="H15" s="84"/>
      <c r="J15" s="95"/>
      <c r="K15" s="95"/>
      <c r="L15" s="95"/>
      <c r="M15" s="95"/>
    </row>
    <row r="16" spans="1:31" x14ac:dyDescent="0.25">
      <c r="A16" s="80" t="s">
        <v>232</v>
      </c>
      <c r="B16" s="84"/>
      <c r="C16" s="84" t="s">
        <v>247</v>
      </c>
      <c r="D16" s="80"/>
      <c r="E16" s="80"/>
      <c r="F16" s="80"/>
      <c r="G16" s="84"/>
      <c r="H16" s="84"/>
      <c r="J16" s="95"/>
      <c r="K16" s="95"/>
      <c r="L16" s="95"/>
      <c r="M16" s="95"/>
    </row>
    <row r="17" spans="1:13" ht="51" x14ac:dyDescent="0.25">
      <c r="A17" s="80" t="s">
        <v>209</v>
      </c>
      <c r="B17" s="84" t="s">
        <v>241</v>
      </c>
      <c r="C17" s="84" t="s">
        <v>222</v>
      </c>
      <c r="D17" s="96">
        <v>8.1</v>
      </c>
      <c r="E17" s="97">
        <f>N9</f>
        <v>12828</v>
      </c>
      <c r="F17" s="94">
        <f>D17*E17</f>
        <v>103906.79999999999</v>
      </c>
      <c r="G17" s="84">
        <f>D17*1.05</f>
        <v>8.5050000000000008</v>
      </c>
      <c r="H17" s="84">
        <f>G17*E17</f>
        <v>109102.14000000001</v>
      </c>
      <c r="J17" s="95"/>
      <c r="K17" s="95"/>
      <c r="L17" s="95"/>
      <c r="M17" s="95"/>
    </row>
    <row r="18" spans="1:13" x14ac:dyDescent="0.25">
      <c r="A18" s="80" t="s">
        <v>248</v>
      </c>
      <c r="B18" s="84"/>
      <c r="C18" s="84" t="s">
        <v>247</v>
      </c>
      <c r="D18" s="80"/>
      <c r="E18" s="97"/>
      <c r="F18" s="94">
        <v>0</v>
      </c>
      <c r="G18" s="84"/>
      <c r="H18" s="84"/>
    </row>
    <row r="19" spans="1:13" ht="51" x14ac:dyDescent="0.25">
      <c r="A19" s="80" t="s">
        <v>233</v>
      </c>
      <c r="B19" s="84" t="s">
        <v>240</v>
      </c>
      <c r="C19" s="84" t="s">
        <v>222</v>
      </c>
      <c r="D19" s="96">
        <v>1.45</v>
      </c>
      <c r="E19" s="97">
        <f>L9</f>
        <v>11304</v>
      </c>
      <c r="F19" s="94">
        <f>D19*E19</f>
        <v>16390.8</v>
      </c>
      <c r="G19" s="84">
        <f>D19*1.05</f>
        <v>1.5225</v>
      </c>
      <c r="H19" s="84">
        <f>G19*E19</f>
        <v>17210.34</v>
      </c>
    </row>
    <row r="20" spans="1:13" x14ac:dyDescent="0.25">
      <c r="A20" s="80" t="s">
        <v>148</v>
      </c>
      <c r="B20" s="84"/>
      <c r="C20" s="84" t="s">
        <v>247</v>
      </c>
      <c r="D20" s="80"/>
      <c r="E20" s="80"/>
      <c r="F20" s="94"/>
      <c r="G20" s="94"/>
      <c r="H20" s="84"/>
    </row>
    <row r="21" spans="1:13" x14ac:dyDescent="0.25">
      <c r="A21" s="87"/>
      <c r="B21" s="88"/>
    </row>
    <row r="22" spans="1:13" x14ac:dyDescent="0.25">
      <c r="A22" s="87"/>
      <c r="B22" s="88"/>
    </row>
    <row r="23" spans="1:13" ht="15" customHeight="1" x14ac:dyDescent="0.25">
      <c r="B23" s="158" t="s">
        <v>0</v>
      </c>
      <c r="C23" s="159"/>
      <c r="D23" s="159"/>
      <c r="E23" s="159"/>
      <c r="F23" s="159"/>
      <c r="G23" s="159"/>
      <c r="H23" s="159"/>
    </row>
    <row r="24" spans="1:13" x14ac:dyDescent="0.25">
      <c r="B24" s="80"/>
      <c r="C24" s="83" t="s">
        <v>204</v>
      </c>
      <c r="D24" s="83" t="s">
        <v>205</v>
      </c>
      <c r="E24" s="83" t="s">
        <v>206</v>
      </c>
      <c r="F24" s="83" t="s">
        <v>207</v>
      </c>
      <c r="G24" s="83" t="s">
        <v>208</v>
      </c>
      <c r="H24" s="83" t="s">
        <v>260</v>
      </c>
    </row>
    <row r="25" spans="1:13" x14ac:dyDescent="0.25">
      <c r="B25" s="80" t="s">
        <v>183</v>
      </c>
      <c r="C25" s="98">
        <v>6.2E-2</v>
      </c>
      <c r="D25" s="98">
        <v>1.4500000000000002E-2</v>
      </c>
      <c r="E25" s="98">
        <v>0.06</v>
      </c>
      <c r="F25" s="98">
        <v>0.01</v>
      </c>
      <c r="G25" s="98">
        <v>5.1000000000000012E-3</v>
      </c>
      <c r="H25" s="98">
        <f>SUM(C25:G25)</f>
        <v>0.15160000000000001</v>
      </c>
    </row>
    <row r="26" spans="1:13" ht="25.5" x14ac:dyDescent="0.25">
      <c r="B26" s="80" t="s">
        <v>238</v>
      </c>
      <c r="C26" s="80" t="s">
        <v>228</v>
      </c>
      <c r="D26" s="80" t="s">
        <v>229</v>
      </c>
      <c r="E26" s="80" t="s">
        <v>230</v>
      </c>
      <c r="F26" s="99">
        <v>5.3999999999999999E-2</v>
      </c>
      <c r="G26" s="99">
        <f>G25</f>
        <v>5.1000000000000012E-3</v>
      </c>
      <c r="H26" s="99" t="s">
        <v>261</v>
      </c>
    </row>
    <row r="29" spans="1:13" x14ac:dyDescent="0.25">
      <c r="B29" s="155" t="s">
        <v>236</v>
      </c>
      <c r="C29" s="155"/>
      <c r="D29" s="155"/>
      <c r="E29" s="155"/>
      <c r="F29" s="155"/>
      <c r="G29" s="155"/>
      <c r="H29" s="155"/>
      <c r="I29" s="89"/>
    </row>
    <row r="30" spans="1:13" x14ac:dyDescent="0.25">
      <c r="B30" s="166" t="s">
        <v>182</v>
      </c>
      <c r="C30" s="167"/>
      <c r="D30" s="167"/>
      <c r="E30" s="168"/>
      <c r="F30" s="169" t="s">
        <v>210</v>
      </c>
      <c r="G30" s="169"/>
      <c r="H30" s="169"/>
      <c r="I30" s="92"/>
    </row>
    <row r="31" spans="1:13" x14ac:dyDescent="0.25">
      <c r="B31" s="83" t="s">
        <v>219</v>
      </c>
      <c r="C31" s="83" t="s">
        <v>218</v>
      </c>
      <c r="D31" s="83" t="s">
        <v>1</v>
      </c>
      <c r="E31" s="83" t="s">
        <v>221</v>
      </c>
      <c r="F31" s="83" t="s">
        <v>219</v>
      </c>
      <c r="G31" s="83" t="s">
        <v>218</v>
      </c>
      <c r="H31" s="83" t="s">
        <v>1</v>
      </c>
      <c r="I31" s="89"/>
    </row>
    <row r="32" spans="1:13" x14ac:dyDescent="0.25">
      <c r="B32" s="97">
        <v>1932</v>
      </c>
      <c r="C32" s="97">
        <f>D32-B32</f>
        <v>264</v>
      </c>
      <c r="D32" s="97">
        <v>2196</v>
      </c>
      <c r="E32" s="97">
        <v>2232</v>
      </c>
      <c r="F32" s="97">
        <v>1836</v>
      </c>
      <c r="G32" s="97">
        <f>H32-F32</f>
        <v>244</v>
      </c>
      <c r="H32" s="97">
        <v>2080</v>
      </c>
      <c r="I32" s="100"/>
    </row>
  </sheetData>
  <mergeCells count="12">
    <mergeCell ref="X1:Z1"/>
    <mergeCell ref="B30:E30"/>
    <mergeCell ref="F30:H30"/>
    <mergeCell ref="B29:H29"/>
    <mergeCell ref="J11:M11"/>
    <mergeCell ref="J13:M13"/>
    <mergeCell ref="A11:H11"/>
    <mergeCell ref="A1:B1"/>
    <mergeCell ref="B23:H23"/>
    <mergeCell ref="C1:K1"/>
    <mergeCell ref="S1:W1"/>
    <mergeCell ref="L1:R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60062-4C60-482B-B926-C2CCDFA7AA30}">
  <dimension ref="A1:AB31"/>
  <sheetViews>
    <sheetView tabSelected="1" topLeftCell="H1" workbookViewId="0">
      <selection activeCell="S2" sqref="S2:AB2"/>
    </sheetView>
  </sheetViews>
  <sheetFormatPr defaultRowHeight="15" x14ac:dyDescent="0.25"/>
  <cols>
    <col min="1" max="1" width="45.5703125" style="127" bestFit="1" customWidth="1"/>
    <col min="2" max="2" width="17.5703125" style="127" bestFit="1" customWidth="1"/>
    <col min="3" max="3" width="13" style="127" customWidth="1"/>
    <col min="4" max="6" width="9.28515625" style="127" bestFit="1" customWidth="1"/>
    <col min="7" max="7" width="16.5703125" style="127" customWidth="1"/>
    <col min="8" max="8" width="19.5703125" style="127" customWidth="1"/>
    <col min="9" max="9" width="18.42578125" style="127" customWidth="1"/>
    <col min="10" max="10" width="17.7109375" style="127" customWidth="1"/>
    <col min="11" max="11" width="22.28515625" style="127" customWidth="1"/>
    <col min="12" max="12" width="9.7109375" style="127" bestFit="1" customWidth="1"/>
    <col min="13" max="13" width="15.5703125" style="127" customWidth="1"/>
    <col min="14" max="15" width="9.28515625" style="127" bestFit="1" customWidth="1"/>
    <col min="16" max="16" width="10.7109375" style="127" bestFit="1" customWidth="1"/>
    <col min="17" max="17" width="13.5703125" style="127" customWidth="1"/>
    <col min="18" max="18" width="10.42578125" style="127" bestFit="1" customWidth="1"/>
    <col min="19" max="19" width="16.28515625" style="127" customWidth="1"/>
    <col min="20" max="21" width="9.140625" style="127"/>
    <col min="22" max="22" width="14" style="127" customWidth="1"/>
    <col min="23" max="23" width="12.42578125" style="127" bestFit="1" customWidth="1"/>
    <col min="24" max="24" width="9.28515625" style="127" bestFit="1" customWidth="1"/>
    <col min="25" max="25" width="13" style="127" customWidth="1"/>
    <col min="26" max="26" width="9.140625" style="127"/>
    <col min="27" max="27" width="12.42578125" style="127" bestFit="1" customWidth="1"/>
    <col min="28" max="28" width="11.42578125" style="127" bestFit="1" customWidth="1"/>
    <col min="29" max="16384" width="9.140625" style="127"/>
  </cols>
  <sheetData>
    <row r="1" spans="1:28" s="122" customFormat="1" ht="25.5" customHeight="1" x14ac:dyDescent="0.25">
      <c r="A1" s="178" t="s">
        <v>270</v>
      </c>
      <c r="B1" s="178"/>
      <c r="C1" s="174" t="s">
        <v>184</v>
      </c>
      <c r="D1" s="174"/>
      <c r="E1" s="174"/>
      <c r="F1" s="174"/>
      <c r="G1" s="174"/>
      <c r="H1" s="174"/>
      <c r="I1" s="174"/>
      <c r="J1" s="174"/>
      <c r="K1" s="174"/>
      <c r="L1" s="173" t="s">
        <v>185</v>
      </c>
      <c r="M1" s="173"/>
      <c r="N1" s="173"/>
      <c r="O1" s="173"/>
      <c r="P1" s="173"/>
      <c r="Q1" s="173"/>
      <c r="R1" s="173"/>
      <c r="S1" s="174" t="s">
        <v>243</v>
      </c>
      <c r="T1" s="174"/>
      <c r="U1" s="174"/>
      <c r="V1" s="174"/>
      <c r="W1" s="174"/>
      <c r="X1" s="175" t="s">
        <v>251</v>
      </c>
      <c r="Y1" s="176"/>
      <c r="Z1" s="176"/>
      <c r="AA1" s="177"/>
      <c r="AB1" s="90" t="s">
        <v>255</v>
      </c>
    </row>
    <row r="2" spans="1:28" s="122" customFormat="1" ht="114.75" customHeight="1" x14ac:dyDescent="0.25">
      <c r="A2" s="82" t="s">
        <v>224</v>
      </c>
      <c r="B2" s="82" t="s">
        <v>271</v>
      </c>
      <c r="C2" s="83" t="s">
        <v>204</v>
      </c>
      <c r="D2" s="83" t="s">
        <v>205</v>
      </c>
      <c r="E2" s="83" t="s">
        <v>206</v>
      </c>
      <c r="F2" s="83" t="s">
        <v>207</v>
      </c>
      <c r="G2" s="83" t="s">
        <v>208</v>
      </c>
      <c r="H2" s="83" t="s">
        <v>259</v>
      </c>
      <c r="I2" s="83" t="s">
        <v>262</v>
      </c>
      <c r="J2" s="83" t="s">
        <v>245</v>
      </c>
      <c r="K2" s="83" t="s">
        <v>263</v>
      </c>
      <c r="L2" s="83" t="s">
        <v>203</v>
      </c>
      <c r="M2" s="83" t="s">
        <v>239</v>
      </c>
      <c r="N2" s="83" t="s">
        <v>216</v>
      </c>
      <c r="O2" s="83" t="s">
        <v>220</v>
      </c>
      <c r="P2" s="83" t="s">
        <v>252</v>
      </c>
      <c r="Q2" s="83" t="s">
        <v>253</v>
      </c>
      <c r="R2" s="83" t="s">
        <v>254</v>
      </c>
      <c r="S2" s="83" t="s">
        <v>266</v>
      </c>
      <c r="T2" s="83" t="s">
        <v>264</v>
      </c>
      <c r="U2" s="83" t="s">
        <v>265</v>
      </c>
      <c r="V2" s="83" t="s">
        <v>258</v>
      </c>
      <c r="W2" s="83" t="s">
        <v>257</v>
      </c>
      <c r="X2" s="83" t="s">
        <v>273</v>
      </c>
      <c r="Y2" s="83" t="s">
        <v>268</v>
      </c>
      <c r="Z2" s="83" t="s">
        <v>264</v>
      </c>
      <c r="AA2" s="83" t="s">
        <v>267</v>
      </c>
      <c r="AB2" s="83" t="s">
        <v>267</v>
      </c>
    </row>
    <row r="3" spans="1:28" x14ac:dyDescent="0.25">
      <c r="A3" s="123" t="s">
        <v>195</v>
      </c>
      <c r="B3" s="108">
        <v>80.260000000000005</v>
      </c>
      <c r="C3" s="108">
        <f>$B3*C$24</f>
        <v>4.9761199999999999</v>
      </c>
      <c r="D3" s="108">
        <f t="shared" ref="D3:G4" si="0">$B3*D$24</f>
        <v>1.1637700000000002</v>
      </c>
      <c r="E3" s="108">
        <f t="shared" si="0"/>
        <v>4.8155999999999999</v>
      </c>
      <c r="F3" s="108">
        <f t="shared" si="0"/>
        <v>0.80260000000000009</v>
      </c>
      <c r="G3" s="108">
        <f t="shared" si="0"/>
        <v>0.40932600000000013</v>
      </c>
      <c r="H3" s="108">
        <f>SUM(C3:G3)</f>
        <v>12.167416000000001</v>
      </c>
      <c r="I3" s="108">
        <f>SUM(B3,H3)</f>
        <v>92.427416000000008</v>
      </c>
      <c r="J3" s="124"/>
      <c r="K3" s="108">
        <f>I3+J3</f>
        <v>92.427416000000008</v>
      </c>
      <c r="L3" s="125">
        <f>$B$31</f>
        <v>1836</v>
      </c>
      <c r="M3" s="125">
        <f>$C$31</f>
        <v>244</v>
      </c>
      <c r="N3" s="126">
        <f>SUM(K3:M3)</f>
        <v>2172.427416</v>
      </c>
      <c r="O3" s="123">
        <v>2</v>
      </c>
      <c r="P3" s="125">
        <f>$O3*L3</f>
        <v>3672</v>
      </c>
      <c r="Q3" s="125">
        <f>O3*M3</f>
        <v>488</v>
      </c>
      <c r="R3" s="125">
        <f>SUM(P3:Q3)</f>
        <v>4160</v>
      </c>
      <c r="S3" s="108">
        <f>R3*I3</f>
        <v>384498.05056000006</v>
      </c>
      <c r="T3" s="123"/>
      <c r="U3" s="123"/>
      <c r="V3" s="124"/>
      <c r="W3" s="108">
        <f>SUM(S3,V3)</f>
        <v>384498.05056000006</v>
      </c>
      <c r="X3" s="108">
        <f>B3*1.05</f>
        <v>84.27300000000001</v>
      </c>
      <c r="Y3" s="108">
        <f>$H$24*X3</f>
        <v>12.775786800000002</v>
      </c>
      <c r="Z3" s="123"/>
      <c r="AA3" s="108">
        <f>SUM(X3:Y3)*R3</f>
        <v>403722.95308800007</v>
      </c>
      <c r="AB3" s="108">
        <f>AA3-W3</f>
        <v>19224.902528000006</v>
      </c>
    </row>
    <row r="4" spans="1:28" x14ac:dyDescent="0.25">
      <c r="A4" s="123" t="s">
        <v>196</v>
      </c>
      <c r="B4" s="108">
        <v>82.99</v>
      </c>
      <c r="C4" s="108">
        <f>$B4*C$24</f>
        <v>5.1453799999999994</v>
      </c>
      <c r="D4" s="108">
        <f t="shared" si="0"/>
        <v>1.2033550000000002</v>
      </c>
      <c r="E4" s="108">
        <f t="shared" si="0"/>
        <v>4.9793999999999992</v>
      </c>
      <c r="F4" s="108">
        <f t="shared" si="0"/>
        <v>0.82989999999999997</v>
      </c>
      <c r="G4" s="108">
        <f t="shared" si="0"/>
        <v>0.4232490000000001</v>
      </c>
      <c r="H4" s="108">
        <f t="shared" ref="H4:H7" si="1">SUM(C4:G4)</f>
        <v>12.581284</v>
      </c>
      <c r="I4" s="108">
        <f t="shared" ref="I4:I7" si="2">SUM(B4,H4)</f>
        <v>95.571283999999991</v>
      </c>
      <c r="J4" s="124"/>
      <c r="K4" s="108">
        <f t="shared" ref="K4:K7" si="3">I4+J4</f>
        <v>95.571283999999991</v>
      </c>
      <c r="L4" s="125">
        <f t="shared" ref="L4:L7" si="4">$B$31</f>
        <v>1836</v>
      </c>
      <c r="M4" s="125">
        <f t="shared" ref="M4:M7" si="5">$C$31</f>
        <v>244</v>
      </c>
      <c r="N4" s="126">
        <f t="shared" ref="N4:N7" si="6">SUM(K4:M4)</f>
        <v>2175.5712840000001</v>
      </c>
      <c r="O4" s="123">
        <v>2</v>
      </c>
      <c r="P4" s="125">
        <f t="shared" ref="P4:P7" si="7">$O4*L4</f>
        <v>3672</v>
      </c>
      <c r="Q4" s="125">
        <f t="shared" ref="Q4:Q7" si="8">O4*M4</f>
        <v>488</v>
      </c>
      <c r="R4" s="125">
        <f t="shared" ref="R4:R8" si="9">SUM(P4:Q4)</f>
        <v>4160</v>
      </c>
      <c r="S4" s="108">
        <f t="shared" ref="S4:S7" si="10">R4*I4</f>
        <v>397576.54143999994</v>
      </c>
      <c r="T4" s="123"/>
      <c r="U4" s="123"/>
      <c r="V4" s="124"/>
      <c r="W4" s="108">
        <f t="shared" ref="W4:W7" si="11">SUM(S4,V4)</f>
        <v>397576.54143999994</v>
      </c>
      <c r="X4" s="108">
        <f t="shared" ref="X4:X7" si="12">B4*1.05</f>
        <v>87.139499999999998</v>
      </c>
      <c r="Y4" s="108">
        <f t="shared" ref="Y4:Y7" si="13">$H$24*X4</f>
        <v>13.2103482</v>
      </c>
      <c r="Z4" s="123"/>
      <c r="AA4" s="108">
        <f t="shared" ref="AA4:AA7" si="14">SUM(X4:Y4)*R4</f>
        <v>417455.36851199996</v>
      </c>
      <c r="AB4" s="108">
        <f t="shared" ref="AB4:AB7" si="15">AA4-W4</f>
        <v>19878.827072000015</v>
      </c>
    </row>
    <row r="5" spans="1:28" x14ac:dyDescent="0.25">
      <c r="A5" s="123" t="s">
        <v>197</v>
      </c>
      <c r="B5" s="108">
        <v>84.57</v>
      </c>
      <c r="C5" s="108">
        <f>$B5*C$24</f>
        <v>5.2433399999999999</v>
      </c>
      <c r="D5" s="108">
        <f t="shared" ref="D5:G7" si="16">$B5*D$24</f>
        <v>1.2262650000000002</v>
      </c>
      <c r="E5" s="108">
        <f t="shared" si="16"/>
        <v>5.0741999999999994</v>
      </c>
      <c r="F5" s="108">
        <f t="shared" si="16"/>
        <v>0.8456999999999999</v>
      </c>
      <c r="G5" s="108">
        <f t="shared" si="16"/>
        <v>0.43130700000000005</v>
      </c>
      <c r="H5" s="108">
        <f t="shared" si="1"/>
        <v>12.820812</v>
      </c>
      <c r="I5" s="108">
        <f t="shared" si="2"/>
        <v>97.390811999999997</v>
      </c>
      <c r="J5" s="124"/>
      <c r="K5" s="108">
        <f t="shared" si="3"/>
        <v>97.390811999999997</v>
      </c>
      <c r="L5" s="125">
        <f t="shared" si="4"/>
        <v>1836</v>
      </c>
      <c r="M5" s="125">
        <f t="shared" si="5"/>
        <v>244</v>
      </c>
      <c r="N5" s="126">
        <f t="shared" si="6"/>
        <v>2177.3908120000001</v>
      </c>
      <c r="O5" s="123">
        <v>2</v>
      </c>
      <c r="P5" s="125">
        <f t="shared" si="7"/>
        <v>3672</v>
      </c>
      <c r="Q5" s="125">
        <f t="shared" si="8"/>
        <v>488</v>
      </c>
      <c r="R5" s="125">
        <f t="shared" si="9"/>
        <v>4160</v>
      </c>
      <c r="S5" s="108">
        <f t="shared" si="10"/>
        <v>405145.77791999996</v>
      </c>
      <c r="T5" s="123"/>
      <c r="U5" s="123"/>
      <c r="V5" s="124"/>
      <c r="W5" s="108">
        <f t="shared" si="11"/>
        <v>405145.77791999996</v>
      </c>
      <c r="X5" s="108">
        <f t="shared" si="12"/>
        <v>88.79849999999999</v>
      </c>
      <c r="Y5" s="108">
        <f t="shared" si="13"/>
        <v>13.4618526</v>
      </c>
      <c r="Z5" s="123"/>
      <c r="AA5" s="108">
        <f t="shared" si="14"/>
        <v>425403.06681599998</v>
      </c>
      <c r="AB5" s="108">
        <f t="shared" si="15"/>
        <v>20257.288896000013</v>
      </c>
    </row>
    <row r="6" spans="1:28" x14ac:dyDescent="0.25">
      <c r="A6" s="123" t="s">
        <v>198</v>
      </c>
      <c r="B6" s="108">
        <v>84.57</v>
      </c>
      <c r="C6" s="108">
        <f>$B6*C$24</f>
        <v>5.2433399999999999</v>
      </c>
      <c r="D6" s="108">
        <f t="shared" si="16"/>
        <v>1.2262650000000002</v>
      </c>
      <c r="E6" s="108">
        <f t="shared" si="16"/>
        <v>5.0741999999999994</v>
      </c>
      <c r="F6" s="108">
        <f t="shared" si="16"/>
        <v>0.8456999999999999</v>
      </c>
      <c r="G6" s="108">
        <f t="shared" si="16"/>
        <v>0.43130700000000005</v>
      </c>
      <c r="H6" s="108">
        <f t="shared" si="1"/>
        <v>12.820812</v>
      </c>
      <c r="I6" s="108">
        <f t="shared" si="2"/>
        <v>97.390811999999997</v>
      </c>
      <c r="J6" s="124"/>
      <c r="K6" s="108">
        <f t="shared" si="3"/>
        <v>97.390811999999997</v>
      </c>
      <c r="L6" s="125">
        <f t="shared" si="4"/>
        <v>1836</v>
      </c>
      <c r="M6" s="125">
        <f t="shared" si="5"/>
        <v>244</v>
      </c>
      <c r="N6" s="126">
        <f t="shared" si="6"/>
        <v>2177.3908120000001</v>
      </c>
      <c r="O6" s="123">
        <v>2</v>
      </c>
      <c r="P6" s="125">
        <f t="shared" si="7"/>
        <v>3672</v>
      </c>
      <c r="Q6" s="125">
        <f t="shared" si="8"/>
        <v>488</v>
      </c>
      <c r="R6" s="125">
        <f t="shared" si="9"/>
        <v>4160</v>
      </c>
      <c r="S6" s="108">
        <f t="shared" si="10"/>
        <v>405145.77791999996</v>
      </c>
      <c r="T6" s="123"/>
      <c r="U6" s="123"/>
      <c r="V6" s="124"/>
      <c r="W6" s="108">
        <f t="shared" si="11"/>
        <v>405145.77791999996</v>
      </c>
      <c r="X6" s="108">
        <f t="shared" si="12"/>
        <v>88.79849999999999</v>
      </c>
      <c r="Y6" s="108">
        <f t="shared" si="13"/>
        <v>13.4618526</v>
      </c>
      <c r="Z6" s="123"/>
      <c r="AA6" s="108">
        <f t="shared" si="14"/>
        <v>425403.06681599998</v>
      </c>
      <c r="AB6" s="108">
        <f t="shared" si="15"/>
        <v>20257.288896000013</v>
      </c>
    </row>
    <row r="7" spans="1:28" x14ac:dyDescent="0.25">
      <c r="A7" s="123" t="s">
        <v>199</v>
      </c>
      <c r="B7" s="108">
        <v>93.027000000000001</v>
      </c>
      <c r="C7" s="108">
        <f>$B7*C$24</f>
        <v>5.7676740000000004</v>
      </c>
      <c r="D7" s="108">
        <f t="shared" si="16"/>
        <v>1.3488915000000004</v>
      </c>
      <c r="E7" s="108">
        <f t="shared" si="16"/>
        <v>5.58162</v>
      </c>
      <c r="F7" s="108">
        <f t="shared" si="16"/>
        <v>0.93027000000000004</v>
      </c>
      <c r="G7" s="108">
        <f t="shared" si="16"/>
        <v>0.47443770000000013</v>
      </c>
      <c r="H7" s="108">
        <f t="shared" si="1"/>
        <v>14.1028932</v>
      </c>
      <c r="I7" s="108">
        <f t="shared" si="2"/>
        <v>107.1298932</v>
      </c>
      <c r="J7" s="124"/>
      <c r="K7" s="108">
        <f t="shared" si="3"/>
        <v>107.1298932</v>
      </c>
      <c r="L7" s="125">
        <f t="shared" si="4"/>
        <v>1836</v>
      </c>
      <c r="M7" s="125">
        <f t="shared" si="5"/>
        <v>244</v>
      </c>
      <c r="N7" s="126">
        <f t="shared" si="6"/>
        <v>2187.1298932</v>
      </c>
      <c r="O7" s="123">
        <v>2</v>
      </c>
      <c r="P7" s="125">
        <f t="shared" si="7"/>
        <v>3672</v>
      </c>
      <c r="Q7" s="125">
        <f t="shared" si="8"/>
        <v>488</v>
      </c>
      <c r="R7" s="125">
        <f t="shared" si="9"/>
        <v>4160</v>
      </c>
      <c r="S7" s="108">
        <f t="shared" si="10"/>
        <v>445660.35571199999</v>
      </c>
      <c r="T7" s="123"/>
      <c r="U7" s="123"/>
      <c r="V7" s="124"/>
      <c r="W7" s="108">
        <f t="shared" si="11"/>
        <v>445660.35571199999</v>
      </c>
      <c r="X7" s="108">
        <f t="shared" si="12"/>
        <v>97.678350000000009</v>
      </c>
      <c r="Y7" s="108">
        <f t="shared" si="13"/>
        <v>14.808037860000002</v>
      </c>
      <c r="Z7" s="123"/>
      <c r="AA7" s="108">
        <f t="shared" si="14"/>
        <v>467943.37349760003</v>
      </c>
      <c r="AB7" s="108">
        <f t="shared" si="15"/>
        <v>22283.017785600037</v>
      </c>
    </row>
    <row r="8" spans="1:28" x14ac:dyDescent="0.25">
      <c r="A8" s="72" t="s">
        <v>227</v>
      </c>
      <c r="B8" s="108"/>
      <c r="C8" s="108"/>
      <c r="D8" s="108"/>
      <c r="E8" s="108"/>
      <c r="F8" s="108"/>
      <c r="G8" s="108"/>
      <c r="H8" s="108"/>
      <c r="I8" s="117"/>
      <c r="J8" s="124"/>
      <c r="K8" s="123"/>
      <c r="L8" s="123"/>
      <c r="M8" s="123"/>
      <c r="N8" s="123"/>
      <c r="O8" s="123">
        <f>SUM(O3:O7)</f>
        <v>10</v>
      </c>
      <c r="P8" s="125">
        <f>SUM(P3:P7)</f>
        <v>18360</v>
      </c>
      <c r="Q8" s="125">
        <f>SUM(Q3:Q7)</f>
        <v>2440</v>
      </c>
      <c r="R8" s="125">
        <f t="shared" si="9"/>
        <v>20800</v>
      </c>
      <c r="S8" s="108">
        <f>SUM(S3:S7)</f>
        <v>2038026.503552</v>
      </c>
      <c r="T8" s="123"/>
      <c r="U8" s="123"/>
      <c r="V8" s="124"/>
      <c r="W8" s="108">
        <f>SUM(W3:W7)</f>
        <v>2038026.503552</v>
      </c>
      <c r="X8" s="123"/>
      <c r="Y8" s="123"/>
      <c r="Z8" s="123"/>
      <c r="AA8" s="108">
        <f>SUM(AA3:AA7)</f>
        <v>2139927.8287296002</v>
      </c>
      <c r="AB8" s="108">
        <f>SUM(AB3:AB7)</f>
        <v>101901.32517760008</v>
      </c>
    </row>
    <row r="9" spans="1:28" x14ac:dyDescent="0.25">
      <c r="H9" s="106"/>
    </row>
    <row r="10" spans="1:28" ht="30" customHeight="1" x14ac:dyDescent="0.25">
      <c r="A10" s="154" t="s">
        <v>272</v>
      </c>
      <c r="B10" s="155"/>
      <c r="C10" s="155"/>
      <c r="D10" s="155"/>
      <c r="E10" s="155"/>
      <c r="F10" s="155"/>
      <c r="G10" s="155"/>
      <c r="H10" s="155"/>
      <c r="I10" s="89"/>
      <c r="J10" s="155" t="s">
        <v>249</v>
      </c>
      <c r="K10" s="155"/>
      <c r="L10" s="155"/>
      <c r="M10" s="155"/>
    </row>
    <row r="11" spans="1:28" ht="25.5" x14ac:dyDescent="0.25">
      <c r="A11" s="90"/>
      <c r="B11" s="91" t="s">
        <v>237</v>
      </c>
      <c r="C11" s="91" t="s">
        <v>246</v>
      </c>
      <c r="D11" s="90" t="s">
        <v>183</v>
      </c>
      <c r="E11" s="90" t="s">
        <v>235</v>
      </c>
      <c r="F11" s="90" t="s">
        <v>202</v>
      </c>
      <c r="G11" s="90" t="s">
        <v>269</v>
      </c>
      <c r="H11" s="90" t="s">
        <v>202</v>
      </c>
      <c r="I11" s="92"/>
      <c r="J11" s="93" t="s">
        <v>237</v>
      </c>
      <c r="K11" s="90" t="s">
        <v>183</v>
      </c>
      <c r="L11" s="90" t="s">
        <v>235</v>
      </c>
      <c r="M11" s="90" t="s">
        <v>202</v>
      </c>
    </row>
    <row r="12" spans="1:28" x14ac:dyDescent="0.25">
      <c r="A12" s="80" t="s">
        <v>242</v>
      </c>
      <c r="B12" s="84"/>
      <c r="C12" s="84"/>
      <c r="D12" s="84"/>
      <c r="E12" s="80"/>
      <c r="F12" s="94"/>
      <c r="G12" s="84"/>
      <c r="H12" s="84"/>
      <c r="I12" s="81"/>
      <c r="J12" s="170" t="s">
        <v>256</v>
      </c>
      <c r="K12" s="171"/>
      <c r="L12" s="171"/>
      <c r="M12" s="172"/>
    </row>
    <row r="13" spans="1:28" ht="45" customHeight="1" x14ac:dyDescent="0.25">
      <c r="A13" s="80" t="s">
        <v>234</v>
      </c>
      <c r="B13" s="84"/>
      <c r="C13" s="84" t="s">
        <v>247</v>
      </c>
      <c r="D13" s="80"/>
      <c r="E13" s="80"/>
      <c r="F13" s="94">
        <v>0</v>
      </c>
      <c r="G13" s="84"/>
      <c r="H13" s="84"/>
      <c r="I13" s="81"/>
      <c r="J13" s="95"/>
      <c r="K13" s="95"/>
      <c r="L13" s="95"/>
      <c r="M13" s="95"/>
    </row>
    <row r="14" spans="1:28" ht="30" customHeight="1" x14ac:dyDescent="0.25">
      <c r="A14" s="80" t="s">
        <v>231</v>
      </c>
      <c r="B14" s="84"/>
      <c r="C14" s="84" t="s">
        <v>247</v>
      </c>
      <c r="D14" s="80"/>
      <c r="E14" s="80"/>
      <c r="F14" s="94">
        <v>0</v>
      </c>
      <c r="G14" s="84"/>
      <c r="H14" s="84"/>
      <c r="I14" s="81"/>
      <c r="J14" s="95"/>
      <c r="K14" s="95"/>
      <c r="L14" s="95"/>
      <c r="M14" s="95"/>
    </row>
    <row r="15" spans="1:28" ht="30" customHeight="1" x14ac:dyDescent="0.25">
      <c r="A15" s="80" t="s">
        <v>232</v>
      </c>
      <c r="B15" s="84"/>
      <c r="C15" s="84" t="s">
        <v>247</v>
      </c>
      <c r="D15" s="80"/>
      <c r="E15" s="80"/>
      <c r="F15" s="80"/>
      <c r="G15" s="84"/>
      <c r="H15" s="84"/>
      <c r="I15" s="81"/>
      <c r="J15" s="95"/>
      <c r="K15" s="95"/>
      <c r="L15" s="95"/>
      <c r="M15" s="95"/>
    </row>
    <row r="16" spans="1:28" ht="38.25" x14ac:dyDescent="0.25">
      <c r="A16" s="80" t="s">
        <v>209</v>
      </c>
      <c r="B16" s="84" t="s">
        <v>241</v>
      </c>
      <c r="C16" s="84" t="s">
        <v>222</v>
      </c>
      <c r="D16" s="96">
        <v>8.1</v>
      </c>
      <c r="E16" s="97">
        <f>N7</f>
        <v>2187.1298932</v>
      </c>
      <c r="F16" s="94">
        <f>D16*E16</f>
        <v>17715.75213492</v>
      </c>
      <c r="G16" s="84">
        <f>D16*1.05</f>
        <v>8.5050000000000008</v>
      </c>
      <c r="H16" s="84">
        <f>G16*E16</f>
        <v>18601.539741666002</v>
      </c>
      <c r="I16" s="81"/>
      <c r="J16" s="95"/>
      <c r="K16" s="95"/>
      <c r="L16" s="95"/>
      <c r="M16" s="95"/>
    </row>
    <row r="17" spans="1:13" x14ac:dyDescent="0.25">
      <c r="A17" s="80" t="s">
        <v>248</v>
      </c>
      <c r="B17" s="84"/>
      <c r="C17" s="84" t="s">
        <v>247</v>
      </c>
      <c r="D17" s="80"/>
      <c r="E17" s="97"/>
      <c r="F17" s="94">
        <v>0</v>
      </c>
      <c r="G17" s="84"/>
      <c r="H17" s="84"/>
      <c r="I17" s="81"/>
      <c r="J17" s="81"/>
      <c r="K17" s="81"/>
      <c r="L17" s="81"/>
      <c r="M17" s="81"/>
    </row>
    <row r="18" spans="1:13" ht="38.25" x14ac:dyDescent="0.25">
      <c r="A18" s="80" t="s">
        <v>233</v>
      </c>
      <c r="B18" s="84" t="s">
        <v>240</v>
      </c>
      <c r="C18" s="84" t="s">
        <v>222</v>
      </c>
      <c r="D18" s="96">
        <v>1.45</v>
      </c>
      <c r="E18" s="97">
        <f>L7</f>
        <v>1836</v>
      </c>
      <c r="F18" s="94">
        <f>D18*E18</f>
        <v>2662.2</v>
      </c>
      <c r="G18" s="84">
        <f>D18*1.05</f>
        <v>1.5225</v>
      </c>
      <c r="H18" s="84">
        <f>G18*E18</f>
        <v>2795.31</v>
      </c>
      <c r="I18" s="81"/>
      <c r="J18" s="81"/>
      <c r="K18" s="81"/>
      <c r="L18" s="81"/>
      <c r="M18" s="81"/>
    </row>
    <row r="19" spans="1:13" x14ac:dyDescent="0.25">
      <c r="A19" s="80" t="s">
        <v>148</v>
      </c>
      <c r="B19" s="84"/>
      <c r="C19" s="84" t="s">
        <v>247</v>
      </c>
      <c r="D19" s="80"/>
      <c r="E19" s="80"/>
      <c r="F19" s="94"/>
      <c r="G19" s="94"/>
      <c r="H19" s="84"/>
      <c r="I19" s="81"/>
      <c r="J19" s="81"/>
      <c r="K19" s="81"/>
      <c r="L19" s="81"/>
      <c r="M19" s="81"/>
    </row>
    <row r="20" spans="1:13" x14ac:dyDescent="0.25">
      <c r="A20" s="87"/>
      <c r="B20" s="88"/>
      <c r="C20" s="81"/>
      <c r="D20" s="81"/>
      <c r="E20" s="81"/>
      <c r="F20" s="81"/>
      <c r="G20" s="81"/>
      <c r="H20" s="81"/>
      <c r="I20" s="81"/>
      <c r="J20" s="81"/>
      <c r="K20" s="81"/>
      <c r="L20" s="81"/>
      <c r="M20" s="81"/>
    </row>
    <row r="21" spans="1:13" x14ac:dyDescent="0.25">
      <c r="A21" s="87"/>
      <c r="B21" s="88"/>
      <c r="C21" s="81"/>
      <c r="D21" s="81"/>
      <c r="E21" s="81"/>
      <c r="F21" s="81"/>
      <c r="G21" s="81"/>
      <c r="H21" s="81"/>
      <c r="I21" s="81"/>
      <c r="J21" s="81"/>
      <c r="K21" s="81"/>
      <c r="L21" s="81"/>
      <c r="M21" s="81"/>
    </row>
    <row r="22" spans="1:13" x14ac:dyDescent="0.25">
      <c r="A22" s="81"/>
      <c r="B22" s="158" t="s">
        <v>0</v>
      </c>
      <c r="C22" s="159"/>
      <c r="D22" s="159"/>
      <c r="E22" s="159"/>
      <c r="F22" s="159"/>
      <c r="G22" s="159"/>
      <c r="H22" s="159"/>
      <c r="I22" s="81"/>
      <c r="J22" s="81"/>
      <c r="K22" s="81"/>
      <c r="L22" s="81"/>
      <c r="M22" s="81"/>
    </row>
    <row r="23" spans="1:13" x14ac:dyDescent="0.25">
      <c r="A23" s="81"/>
      <c r="B23" s="80"/>
      <c r="C23" s="83" t="s">
        <v>204</v>
      </c>
      <c r="D23" s="83" t="s">
        <v>205</v>
      </c>
      <c r="E23" s="83" t="s">
        <v>206</v>
      </c>
      <c r="F23" s="83" t="s">
        <v>207</v>
      </c>
      <c r="G23" s="83" t="s">
        <v>208</v>
      </c>
      <c r="H23" s="83" t="s">
        <v>260</v>
      </c>
      <c r="I23" s="81"/>
      <c r="J23" s="81"/>
      <c r="K23" s="81"/>
      <c r="L23" s="81"/>
      <c r="M23" s="81"/>
    </row>
    <row r="24" spans="1:13" x14ac:dyDescent="0.25">
      <c r="A24" s="81"/>
      <c r="B24" s="80" t="s">
        <v>183</v>
      </c>
      <c r="C24" s="98">
        <v>6.2E-2</v>
      </c>
      <c r="D24" s="98">
        <v>1.4500000000000002E-2</v>
      </c>
      <c r="E24" s="98">
        <v>0.06</v>
      </c>
      <c r="F24" s="98">
        <v>0.01</v>
      </c>
      <c r="G24" s="98">
        <v>5.1000000000000012E-3</v>
      </c>
      <c r="H24" s="98">
        <f>SUM(C24:G24)</f>
        <v>0.15160000000000001</v>
      </c>
      <c r="I24" s="81"/>
      <c r="J24" s="81"/>
      <c r="K24" s="81"/>
      <c r="L24" s="81"/>
      <c r="M24" s="81"/>
    </row>
    <row r="25" spans="1:13" ht="38.25" x14ac:dyDescent="0.25">
      <c r="A25" s="81"/>
      <c r="B25" s="80" t="s">
        <v>238</v>
      </c>
      <c r="C25" s="80" t="s">
        <v>228</v>
      </c>
      <c r="D25" s="80" t="s">
        <v>229</v>
      </c>
      <c r="E25" s="80" t="s">
        <v>230</v>
      </c>
      <c r="F25" s="99">
        <v>5.3999999999999999E-2</v>
      </c>
      <c r="G25" s="99">
        <f>G24</f>
        <v>5.1000000000000012E-3</v>
      </c>
      <c r="H25" s="99" t="s">
        <v>261</v>
      </c>
      <c r="I25" s="81"/>
      <c r="J25" s="81"/>
      <c r="K25" s="81"/>
      <c r="L25" s="81"/>
      <c r="M25" s="81"/>
    </row>
    <row r="26" spans="1:13" x14ac:dyDescent="0.25">
      <c r="A26" s="81"/>
      <c r="B26" s="81"/>
      <c r="C26" s="81"/>
      <c r="D26" s="81"/>
      <c r="E26" s="81"/>
      <c r="F26" s="81"/>
      <c r="G26" s="81"/>
      <c r="H26" s="81"/>
      <c r="I26" s="81"/>
      <c r="J26" s="81"/>
      <c r="K26" s="81"/>
      <c r="L26" s="81"/>
      <c r="M26" s="81"/>
    </row>
    <row r="27" spans="1:13" x14ac:dyDescent="0.25">
      <c r="A27" s="81"/>
      <c r="B27" s="81"/>
      <c r="C27" s="81"/>
      <c r="D27" s="81"/>
      <c r="E27" s="81"/>
      <c r="F27" s="81"/>
      <c r="G27" s="81"/>
      <c r="H27" s="81"/>
      <c r="I27" s="81"/>
      <c r="J27" s="81"/>
      <c r="K27" s="81"/>
      <c r="L27" s="81"/>
      <c r="M27" s="81"/>
    </row>
    <row r="28" spans="1:13" x14ac:dyDescent="0.25">
      <c r="A28" s="81"/>
      <c r="B28" s="155" t="s">
        <v>236</v>
      </c>
      <c r="C28" s="155"/>
      <c r="D28" s="155"/>
      <c r="E28" s="89"/>
      <c r="F28" s="89"/>
      <c r="G28" s="89"/>
      <c r="H28" s="89"/>
      <c r="I28" s="89"/>
      <c r="J28" s="81"/>
      <c r="K28" s="81"/>
      <c r="L28" s="81"/>
      <c r="M28" s="81"/>
    </row>
    <row r="29" spans="1:13" x14ac:dyDescent="0.25">
      <c r="A29" s="81"/>
      <c r="B29" s="169" t="s">
        <v>210</v>
      </c>
      <c r="C29" s="169"/>
      <c r="D29" s="169"/>
      <c r="E29" s="92"/>
      <c r="F29" s="81"/>
      <c r="G29" s="81"/>
      <c r="H29" s="81"/>
      <c r="I29" s="81"/>
    </row>
    <row r="30" spans="1:13" x14ac:dyDescent="0.25">
      <c r="A30" s="81"/>
      <c r="B30" s="83" t="s">
        <v>219</v>
      </c>
      <c r="C30" s="83" t="s">
        <v>218</v>
      </c>
      <c r="D30" s="83" t="s">
        <v>1</v>
      </c>
      <c r="E30" s="89"/>
      <c r="F30" s="81"/>
      <c r="G30" s="81"/>
      <c r="H30" s="81"/>
      <c r="I30" s="81"/>
    </row>
    <row r="31" spans="1:13" x14ac:dyDescent="0.25">
      <c r="A31" s="81"/>
      <c r="B31" s="97">
        <v>1836</v>
      </c>
      <c r="C31" s="97">
        <f>D31-B31</f>
        <v>244</v>
      </c>
      <c r="D31" s="97">
        <v>2080</v>
      </c>
      <c r="E31" s="100"/>
      <c r="F31" s="81"/>
      <c r="G31" s="81"/>
      <c r="H31" s="81"/>
      <c r="I31" s="81"/>
    </row>
  </sheetData>
  <mergeCells count="11">
    <mergeCell ref="X1:AA1"/>
    <mergeCell ref="A1:B1"/>
    <mergeCell ref="C1:K1"/>
    <mergeCell ref="J12:M12"/>
    <mergeCell ref="B22:H22"/>
    <mergeCell ref="B29:D29"/>
    <mergeCell ref="B28:D28"/>
    <mergeCell ref="L1:R1"/>
    <mergeCell ref="S1:W1"/>
    <mergeCell ref="A10:H10"/>
    <mergeCell ref="J10:M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241AD-CD16-490D-B013-01BCED5BEAFB}">
  <dimension ref="A1:S29"/>
  <sheetViews>
    <sheetView topLeftCell="D1" workbookViewId="0">
      <selection activeCell="M2" sqref="M2:O2"/>
    </sheetView>
  </sheetViews>
  <sheetFormatPr defaultRowHeight="15" x14ac:dyDescent="0.25"/>
  <cols>
    <col min="1" max="1" width="45.5703125" style="116" bestFit="1" customWidth="1"/>
    <col min="2" max="2" width="17.5703125" style="116" bestFit="1" customWidth="1"/>
    <col min="3" max="3" width="13" style="116" customWidth="1"/>
    <col min="4" max="4" width="9.28515625" style="116" bestFit="1" customWidth="1"/>
    <col min="5" max="5" width="15.140625" style="116" customWidth="1"/>
    <col min="6" max="6" width="9.28515625" style="116" bestFit="1" customWidth="1"/>
    <col min="7" max="7" width="16.5703125" style="116" customWidth="1"/>
    <col min="8" max="8" width="19.5703125" style="116" customWidth="1"/>
    <col min="9" max="9" width="18.42578125" style="116" customWidth="1"/>
    <col min="10" max="10" width="17.7109375" style="116" customWidth="1"/>
    <col min="11" max="11" width="22.28515625" style="116" customWidth="1"/>
    <col min="12" max="12" width="10.42578125" style="116" bestFit="1" customWidth="1"/>
    <col min="13" max="13" width="15.5703125" style="116" customWidth="1"/>
    <col min="14" max="14" width="14.28515625" style="116" customWidth="1"/>
    <col min="15" max="15" width="13.5703125" style="116" customWidth="1"/>
    <col min="16" max="16" width="10.42578125" style="116" bestFit="1" customWidth="1"/>
    <col min="17" max="17" width="9.140625" style="116"/>
    <col min="18" max="18" width="11" style="116" bestFit="1" customWidth="1"/>
    <col min="19" max="19" width="18" style="116" customWidth="1"/>
    <col min="20" max="20" width="12.42578125" style="116" bestFit="1" customWidth="1"/>
    <col min="21" max="21" width="9.28515625" style="116" bestFit="1" customWidth="1"/>
    <col min="22" max="22" width="13" style="116" customWidth="1"/>
    <col min="23" max="23" width="9.140625" style="116"/>
    <col min="24" max="24" width="12.42578125" style="116" bestFit="1" customWidth="1"/>
    <col min="25" max="25" width="11.42578125" style="116" bestFit="1" customWidth="1"/>
    <col min="26" max="16384" width="9.140625" style="116"/>
  </cols>
  <sheetData>
    <row r="1" spans="1:19" s="110" customFormat="1" ht="25.5" customHeight="1" x14ac:dyDescent="0.25">
      <c r="A1" s="182" t="s">
        <v>279</v>
      </c>
      <c r="B1" s="182"/>
      <c r="C1" s="183" t="s">
        <v>184</v>
      </c>
      <c r="D1" s="184"/>
      <c r="E1" s="185"/>
      <c r="F1" s="186" t="s">
        <v>185</v>
      </c>
      <c r="G1" s="187"/>
      <c r="H1" s="187"/>
      <c r="I1" s="187"/>
      <c r="J1" s="187"/>
      <c r="K1" s="187"/>
      <c r="L1" s="188"/>
      <c r="M1" s="174" t="s">
        <v>243</v>
      </c>
      <c r="N1" s="174"/>
      <c r="O1" s="174"/>
      <c r="P1" s="175" t="s">
        <v>251</v>
      </c>
      <c r="Q1" s="176"/>
      <c r="R1" s="177"/>
      <c r="S1" s="90" t="s">
        <v>255</v>
      </c>
    </row>
    <row r="2" spans="1:19" s="110" customFormat="1" ht="114.75" customHeight="1" x14ac:dyDescent="0.25">
      <c r="A2" s="82" t="s">
        <v>224</v>
      </c>
      <c r="B2" s="82" t="s">
        <v>277</v>
      </c>
      <c r="C2" s="82" t="s">
        <v>201</v>
      </c>
      <c r="D2" s="83" t="s">
        <v>245</v>
      </c>
      <c r="E2" s="83" t="s">
        <v>263</v>
      </c>
      <c r="F2" s="83" t="s">
        <v>203</v>
      </c>
      <c r="G2" s="83" t="s">
        <v>239</v>
      </c>
      <c r="H2" s="83" t="s">
        <v>216</v>
      </c>
      <c r="I2" s="83" t="s">
        <v>220</v>
      </c>
      <c r="J2" s="83" t="s">
        <v>252</v>
      </c>
      <c r="K2" s="83" t="s">
        <v>253</v>
      </c>
      <c r="L2" s="83" t="s">
        <v>254</v>
      </c>
      <c r="M2" s="83" t="s">
        <v>266</v>
      </c>
      <c r="N2" s="83" t="s">
        <v>258</v>
      </c>
      <c r="O2" s="83" t="s">
        <v>257</v>
      </c>
      <c r="P2" s="83" t="s">
        <v>278</v>
      </c>
      <c r="Q2" s="83" t="s">
        <v>264</v>
      </c>
      <c r="R2" s="83" t="s">
        <v>267</v>
      </c>
      <c r="S2" s="83" t="s">
        <v>267</v>
      </c>
    </row>
    <row r="3" spans="1:19" x14ac:dyDescent="0.25">
      <c r="A3" s="107" t="s">
        <v>274</v>
      </c>
      <c r="B3" s="108">
        <v>30.25</v>
      </c>
      <c r="C3" s="108">
        <v>5.55</v>
      </c>
      <c r="D3" s="111"/>
      <c r="E3" s="112">
        <f>SUM(C3:D3)</f>
        <v>5.55</v>
      </c>
      <c r="F3" s="113">
        <f>$B$29</f>
        <v>1872</v>
      </c>
      <c r="G3" s="113">
        <f>$C$29</f>
        <v>208</v>
      </c>
      <c r="H3" s="114">
        <f>SUM(E3:G3)</f>
        <v>2085.5500000000002</v>
      </c>
      <c r="I3" s="115">
        <v>2</v>
      </c>
      <c r="J3" s="113">
        <f>$I3*F3</f>
        <v>3744</v>
      </c>
      <c r="K3" s="113">
        <f>I3*G3</f>
        <v>416</v>
      </c>
      <c r="L3" s="113">
        <f>SUM(J3:K3)</f>
        <v>4160</v>
      </c>
      <c r="M3" s="112">
        <f>J3*SUM(B3:C3)</f>
        <v>134035.19999999998</v>
      </c>
      <c r="N3" s="115"/>
      <c r="O3" s="112">
        <f>SUM(M3,N3)</f>
        <v>134035.19999999998</v>
      </c>
      <c r="P3" s="112">
        <f>(B3+C3)*1.05</f>
        <v>37.589999999999996</v>
      </c>
      <c r="Q3" s="115"/>
      <c r="R3" s="112">
        <f>SUM(P3:P3)*J3</f>
        <v>140736.95999999999</v>
      </c>
      <c r="S3" s="112">
        <f>R3-O3</f>
        <v>6701.7600000000093</v>
      </c>
    </row>
    <row r="4" spans="1:19" x14ac:dyDescent="0.25">
      <c r="A4" s="107" t="s">
        <v>275</v>
      </c>
      <c r="B4" s="108">
        <v>22.72</v>
      </c>
      <c r="C4" s="108">
        <v>5.55</v>
      </c>
      <c r="D4" s="111"/>
      <c r="E4" s="112">
        <f t="shared" ref="E4:E5" si="0">SUM(C4:D4)</f>
        <v>5.55</v>
      </c>
      <c r="F4" s="113">
        <f>$B$29</f>
        <v>1872</v>
      </c>
      <c r="G4" s="113">
        <f>$C$29</f>
        <v>208</v>
      </c>
      <c r="H4" s="114">
        <f t="shared" ref="H4:H5" si="1">SUM(E4:G4)</f>
        <v>2085.5500000000002</v>
      </c>
      <c r="I4" s="115">
        <v>2</v>
      </c>
      <c r="J4" s="113">
        <f>$I4*F4</f>
        <v>3744</v>
      </c>
      <c r="K4" s="113">
        <f t="shared" ref="K4:K5" si="2">I4*G4</f>
        <v>416</v>
      </c>
      <c r="L4" s="113">
        <f t="shared" ref="L4:L6" si="3">SUM(J4:K4)</f>
        <v>4160</v>
      </c>
      <c r="M4" s="112">
        <f t="shared" ref="M4:M5" si="4">J4*SUM(B4:C4)</f>
        <v>105842.88</v>
      </c>
      <c r="N4" s="115"/>
      <c r="O4" s="112">
        <f>SUM(M4,N4)</f>
        <v>105842.88</v>
      </c>
      <c r="P4" s="112">
        <f>(B4+C4)*1.05</f>
        <v>29.683500000000002</v>
      </c>
      <c r="Q4" s="115"/>
      <c r="R4" s="112">
        <f>SUM(P4:P4)*J4</f>
        <v>111135.024</v>
      </c>
      <c r="S4" s="112">
        <f>R4-O4</f>
        <v>5292.1440000000002</v>
      </c>
    </row>
    <row r="5" spans="1:19" x14ac:dyDescent="0.25">
      <c r="A5" s="107" t="s">
        <v>276</v>
      </c>
      <c r="B5" s="108">
        <v>25.41</v>
      </c>
      <c r="C5" s="108">
        <v>5.55</v>
      </c>
      <c r="D5" s="111"/>
      <c r="E5" s="112">
        <f t="shared" si="0"/>
        <v>5.55</v>
      </c>
      <c r="F5" s="113">
        <f>$B$29</f>
        <v>1872</v>
      </c>
      <c r="G5" s="113">
        <f>$C$29</f>
        <v>208</v>
      </c>
      <c r="H5" s="114">
        <f t="shared" si="1"/>
        <v>2085.5500000000002</v>
      </c>
      <c r="I5" s="115">
        <v>2</v>
      </c>
      <c r="J5" s="113">
        <f>$I5*F5</f>
        <v>3744</v>
      </c>
      <c r="K5" s="113">
        <f t="shared" si="2"/>
        <v>416</v>
      </c>
      <c r="L5" s="113">
        <f t="shared" si="3"/>
        <v>4160</v>
      </c>
      <c r="M5" s="112">
        <f t="shared" si="4"/>
        <v>115914.24000000001</v>
      </c>
      <c r="N5" s="115"/>
      <c r="O5" s="112">
        <f>SUM(M5,N5)</f>
        <v>115914.24000000001</v>
      </c>
      <c r="P5" s="112">
        <f>(B5+C5)*1.05</f>
        <v>32.508000000000003</v>
      </c>
      <c r="Q5" s="115"/>
      <c r="R5" s="112">
        <f>SUM(P5:P5)*J5</f>
        <v>121709.952</v>
      </c>
      <c r="S5" s="112">
        <f>R5-O5</f>
        <v>5795.7119999999995</v>
      </c>
    </row>
    <row r="6" spans="1:19" x14ac:dyDescent="0.25">
      <c r="A6" s="109" t="s">
        <v>227</v>
      </c>
      <c r="B6" s="108"/>
      <c r="C6" s="108"/>
      <c r="D6" s="111"/>
      <c r="E6" s="115"/>
      <c r="F6" s="115"/>
      <c r="G6" s="115"/>
      <c r="H6" s="115"/>
      <c r="I6" s="115">
        <f>SUM(I3:I5)</f>
        <v>6</v>
      </c>
      <c r="J6" s="113">
        <f>SUM(J3:J5)</f>
        <v>11232</v>
      </c>
      <c r="K6" s="113">
        <f>SUM(K3:K5)</f>
        <v>1248</v>
      </c>
      <c r="L6" s="113">
        <f t="shared" si="3"/>
        <v>12480</v>
      </c>
      <c r="M6" s="112">
        <f>SUM(M3:M5)</f>
        <v>355792.32</v>
      </c>
      <c r="N6" s="115"/>
      <c r="O6" s="112">
        <f>SUM(O3:O5)</f>
        <v>355792.32</v>
      </c>
      <c r="P6" s="115"/>
      <c r="Q6" s="115"/>
      <c r="R6" s="112">
        <f>SUM(R3:R5)</f>
        <v>373581.93599999999</v>
      </c>
      <c r="S6" s="112">
        <f>SUM(S3:S5)</f>
        <v>17789.616000000009</v>
      </c>
    </row>
    <row r="7" spans="1:19" x14ac:dyDescent="0.25">
      <c r="H7" s="106"/>
    </row>
    <row r="8" spans="1:19" ht="30" customHeight="1" x14ac:dyDescent="0.25">
      <c r="A8" s="179" t="s">
        <v>249</v>
      </c>
      <c r="B8" s="179"/>
      <c r="C8" s="179"/>
      <c r="D8" s="179"/>
      <c r="E8" s="180"/>
      <c r="F8" s="180"/>
      <c r="G8" s="180"/>
      <c r="H8" s="180"/>
      <c r="I8" s="89"/>
      <c r="J8" s="104"/>
      <c r="K8" s="104"/>
      <c r="L8" s="104"/>
      <c r="M8" s="104"/>
    </row>
    <row r="9" spans="1:19" ht="25.5" x14ac:dyDescent="0.25">
      <c r="A9" s="91" t="s">
        <v>237</v>
      </c>
      <c r="B9" s="90" t="s">
        <v>183</v>
      </c>
      <c r="C9" s="90" t="s">
        <v>235</v>
      </c>
      <c r="D9" s="90" t="s">
        <v>202</v>
      </c>
      <c r="E9" s="118"/>
      <c r="F9" s="89"/>
      <c r="G9" s="89"/>
      <c r="H9" s="89"/>
      <c r="I9" s="92"/>
      <c r="J9" s="104"/>
      <c r="K9" s="104"/>
      <c r="L9" s="104"/>
      <c r="M9" s="104"/>
    </row>
    <row r="10" spans="1:19" x14ac:dyDescent="0.25">
      <c r="A10" s="181" t="s">
        <v>256</v>
      </c>
      <c r="B10" s="181"/>
      <c r="C10" s="181"/>
      <c r="D10" s="181"/>
      <c r="E10" s="180"/>
      <c r="F10" s="180"/>
      <c r="G10" s="180"/>
      <c r="H10" s="180"/>
      <c r="I10" s="81"/>
      <c r="J10" s="104"/>
      <c r="K10" s="104"/>
      <c r="L10" s="104"/>
      <c r="M10" s="104"/>
    </row>
    <row r="11" spans="1:19" ht="45" customHeight="1" x14ac:dyDescent="0.25">
      <c r="A11" s="95"/>
      <c r="B11" s="95"/>
      <c r="C11" s="95"/>
      <c r="D11" s="95"/>
      <c r="E11" s="92"/>
      <c r="F11" s="92"/>
      <c r="G11" s="92"/>
      <c r="H11" s="92"/>
      <c r="I11" s="81"/>
      <c r="J11" s="104"/>
      <c r="K11" s="104"/>
      <c r="L11" s="104"/>
      <c r="M11" s="104"/>
    </row>
    <row r="12" spans="1:19" ht="30" customHeight="1" x14ac:dyDescent="0.25">
      <c r="A12" s="95"/>
      <c r="B12" s="95"/>
      <c r="C12" s="95"/>
      <c r="D12" s="95"/>
      <c r="E12" s="92"/>
      <c r="F12" s="92"/>
      <c r="G12" s="92"/>
      <c r="H12" s="92"/>
      <c r="I12" s="81"/>
      <c r="J12" s="104"/>
      <c r="K12" s="104"/>
      <c r="L12" s="104"/>
      <c r="M12" s="104"/>
    </row>
    <row r="13" spans="1:19" ht="30" customHeight="1" x14ac:dyDescent="0.25">
      <c r="A13" s="95"/>
      <c r="B13" s="95"/>
      <c r="C13" s="95"/>
      <c r="D13" s="95"/>
      <c r="E13" s="92"/>
      <c r="F13" s="92"/>
      <c r="G13" s="92"/>
      <c r="H13" s="92"/>
      <c r="I13" s="81"/>
      <c r="J13" s="104"/>
      <c r="K13" s="104"/>
      <c r="L13" s="104"/>
      <c r="M13" s="104"/>
    </row>
    <row r="14" spans="1:19" ht="19.5" customHeight="1" x14ac:dyDescent="0.25">
      <c r="A14" s="95"/>
      <c r="B14" s="95"/>
      <c r="C14" s="95"/>
      <c r="D14" s="95"/>
      <c r="E14" s="92"/>
      <c r="F14" s="92"/>
      <c r="G14" s="92"/>
      <c r="H14" s="92"/>
      <c r="I14" s="81"/>
      <c r="J14" s="104"/>
      <c r="K14" s="104"/>
      <c r="L14" s="104"/>
      <c r="M14" s="104"/>
    </row>
    <row r="15" spans="1:19" x14ac:dyDescent="0.25">
      <c r="A15" s="87"/>
      <c r="B15" s="88"/>
      <c r="C15" s="88"/>
      <c r="D15" s="87"/>
      <c r="E15" s="100"/>
      <c r="F15" s="119"/>
      <c r="G15" s="120"/>
      <c r="H15" s="120"/>
      <c r="I15" s="81"/>
      <c r="J15" s="104"/>
      <c r="K15" s="104"/>
      <c r="L15" s="104"/>
      <c r="M15" s="104"/>
    </row>
    <row r="16" spans="1:19" x14ac:dyDescent="0.25">
      <c r="A16" s="87"/>
      <c r="B16" s="88"/>
      <c r="C16" s="88"/>
      <c r="D16" s="121"/>
      <c r="E16" s="100"/>
      <c r="F16" s="119"/>
      <c r="G16" s="120"/>
      <c r="H16" s="120"/>
      <c r="I16" s="81"/>
      <c r="J16" s="104"/>
      <c r="K16" s="104"/>
      <c r="L16" s="104"/>
      <c r="M16" s="104"/>
    </row>
    <row r="17" spans="1:13" x14ac:dyDescent="0.25">
      <c r="A17" s="87"/>
      <c r="B17" s="88"/>
      <c r="C17" s="88"/>
      <c r="D17" s="87"/>
      <c r="E17" s="92"/>
      <c r="F17" s="119"/>
      <c r="G17" s="119"/>
      <c r="H17" s="120"/>
      <c r="I17" s="81"/>
      <c r="J17" s="81"/>
      <c r="K17" s="81"/>
      <c r="L17" s="81"/>
      <c r="M17" s="81"/>
    </row>
    <row r="18" spans="1:13" x14ac:dyDescent="0.25">
      <c r="A18" s="92"/>
      <c r="B18" s="120"/>
      <c r="C18" s="92"/>
      <c r="D18" s="92"/>
      <c r="E18" s="92"/>
      <c r="F18" s="92"/>
      <c r="G18" s="92"/>
      <c r="H18" s="92"/>
      <c r="I18" s="81"/>
      <c r="J18" s="81"/>
      <c r="K18" s="81"/>
      <c r="L18" s="81"/>
      <c r="M18" s="81"/>
    </row>
    <row r="19" spans="1:13" x14ac:dyDescent="0.25">
      <c r="A19" s="92"/>
      <c r="B19" s="120"/>
      <c r="C19" s="92"/>
      <c r="D19" s="92"/>
      <c r="E19" s="92"/>
      <c r="F19" s="92"/>
      <c r="G19" s="92"/>
      <c r="H19" s="92"/>
      <c r="I19" s="81"/>
      <c r="J19" s="81"/>
      <c r="K19" s="81"/>
      <c r="L19" s="81"/>
      <c r="M19" s="81"/>
    </row>
    <row r="20" spans="1:13" x14ac:dyDescent="0.25">
      <c r="A20" s="92"/>
      <c r="B20" s="104"/>
      <c r="C20" s="104"/>
      <c r="D20" s="104"/>
      <c r="E20" s="104"/>
      <c r="F20" s="104"/>
      <c r="G20" s="104"/>
      <c r="H20" s="104"/>
      <c r="I20" s="81"/>
      <c r="J20" s="81"/>
      <c r="K20" s="81"/>
      <c r="L20" s="81"/>
      <c r="M20" s="81"/>
    </row>
    <row r="21" spans="1:13" x14ac:dyDescent="0.25">
      <c r="A21" s="92"/>
      <c r="B21" s="92"/>
      <c r="C21" s="89"/>
      <c r="D21" s="89"/>
      <c r="E21" s="89"/>
      <c r="F21" s="89"/>
      <c r="G21" s="89"/>
      <c r="H21" s="89"/>
      <c r="I21" s="81"/>
      <c r="J21" s="81"/>
      <c r="K21" s="81"/>
      <c r="L21" s="81"/>
      <c r="M21" s="81"/>
    </row>
    <row r="22" spans="1:13" x14ac:dyDescent="0.25">
      <c r="A22" s="92"/>
      <c r="B22" s="92"/>
      <c r="C22" s="128"/>
      <c r="D22" s="128"/>
      <c r="E22" s="128"/>
      <c r="F22" s="128"/>
      <c r="G22" s="128"/>
      <c r="H22" s="128"/>
      <c r="I22" s="81"/>
      <c r="J22" s="81"/>
      <c r="K22" s="81"/>
      <c r="L22" s="81"/>
      <c r="M22" s="81"/>
    </row>
    <row r="23" spans="1:13" x14ac:dyDescent="0.25">
      <c r="A23" s="92"/>
      <c r="B23" s="92"/>
      <c r="C23" s="92"/>
      <c r="D23" s="92"/>
      <c r="E23" s="92"/>
      <c r="F23" s="129"/>
      <c r="G23" s="129"/>
      <c r="H23" s="129"/>
      <c r="I23" s="81"/>
      <c r="J23" s="81"/>
      <c r="K23" s="81"/>
      <c r="L23" s="81"/>
      <c r="M23" s="81"/>
    </row>
    <row r="24" spans="1:13" x14ac:dyDescent="0.25">
      <c r="A24" s="81"/>
      <c r="B24" s="81"/>
      <c r="C24" s="81"/>
      <c r="D24" s="81"/>
      <c r="E24" s="81"/>
      <c r="F24" s="81"/>
      <c r="G24" s="81"/>
      <c r="H24" s="81"/>
      <c r="I24" s="81"/>
      <c r="J24" s="81"/>
      <c r="K24" s="81"/>
      <c r="L24" s="81"/>
      <c r="M24" s="81"/>
    </row>
    <row r="25" spans="1:13" x14ac:dyDescent="0.25">
      <c r="A25" s="81"/>
      <c r="B25" s="81"/>
      <c r="C25" s="81"/>
      <c r="D25" s="81"/>
      <c r="E25" s="81"/>
      <c r="F25" s="81"/>
      <c r="G25" s="81"/>
      <c r="H25" s="81"/>
      <c r="I25" s="81"/>
      <c r="J25" s="81"/>
      <c r="K25" s="81"/>
      <c r="L25" s="81"/>
      <c r="M25" s="81"/>
    </row>
    <row r="26" spans="1:13" x14ac:dyDescent="0.25">
      <c r="A26" s="81"/>
      <c r="B26" s="155" t="s">
        <v>236</v>
      </c>
      <c r="C26" s="155"/>
      <c r="D26" s="155"/>
      <c r="E26" s="104"/>
      <c r="F26" s="104"/>
      <c r="G26" s="104"/>
      <c r="H26" s="104"/>
      <c r="I26" s="89"/>
      <c r="J26" s="81"/>
      <c r="K26" s="81"/>
      <c r="L26" s="81"/>
      <c r="M26" s="81"/>
    </row>
    <row r="27" spans="1:13" x14ac:dyDescent="0.25">
      <c r="A27" s="81"/>
      <c r="B27" s="169" t="s">
        <v>210</v>
      </c>
      <c r="C27" s="169"/>
      <c r="D27" s="169"/>
      <c r="E27" s="92"/>
      <c r="F27" s="81"/>
      <c r="G27" s="81"/>
      <c r="H27" s="81"/>
      <c r="I27" s="81"/>
    </row>
    <row r="28" spans="1:13" x14ac:dyDescent="0.25">
      <c r="A28" s="81"/>
      <c r="B28" s="83" t="s">
        <v>219</v>
      </c>
      <c r="C28" s="83" t="s">
        <v>218</v>
      </c>
      <c r="D28" s="83" t="s">
        <v>1</v>
      </c>
      <c r="E28" s="89"/>
      <c r="F28" s="81"/>
      <c r="G28" s="81"/>
      <c r="H28" s="81"/>
      <c r="I28" s="81"/>
    </row>
    <row r="29" spans="1:13" x14ac:dyDescent="0.25">
      <c r="A29" s="81"/>
      <c r="B29" s="97">
        <v>1872</v>
      </c>
      <c r="C29" s="97">
        <f>D29-B29</f>
        <v>208</v>
      </c>
      <c r="D29" s="97">
        <v>2080</v>
      </c>
      <c r="E29" s="100"/>
      <c r="F29" s="81"/>
      <c r="G29" s="81"/>
      <c r="H29" s="81"/>
      <c r="I29" s="81"/>
    </row>
  </sheetData>
  <mergeCells count="11">
    <mergeCell ref="A1:B1"/>
    <mergeCell ref="M1:O1"/>
    <mergeCell ref="P1:R1"/>
    <mergeCell ref="C1:E1"/>
    <mergeCell ref="F1:L1"/>
    <mergeCell ref="B26:D26"/>
    <mergeCell ref="B27:D27"/>
    <mergeCell ref="A8:D8"/>
    <mergeCell ref="E8:H8"/>
    <mergeCell ref="A10:D10"/>
    <mergeCell ref="E10:H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39A2-39D6-4684-A5FD-FF6BE9889C76}">
  <dimension ref="A1:L14"/>
  <sheetViews>
    <sheetView workbookViewId="0">
      <selection activeCell="L14" sqref="L14"/>
    </sheetView>
  </sheetViews>
  <sheetFormatPr defaultRowHeight="15" x14ac:dyDescent="0.25"/>
  <cols>
    <col min="1" max="1" width="31.7109375" style="136" bestFit="1" customWidth="1"/>
    <col min="2" max="2" width="8" style="136" bestFit="1" customWidth="1"/>
    <col min="3" max="4" width="9.28515625" style="136" bestFit="1" customWidth="1"/>
    <col min="5" max="5" width="10" style="136" bestFit="1" customWidth="1"/>
    <col min="6" max="8" width="9.28515625" style="136" bestFit="1" customWidth="1"/>
    <col min="9" max="9" width="11" style="136" bestFit="1" customWidth="1"/>
    <col min="10" max="10" width="9.28515625" style="136" bestFit="1" customWidth="1"/>
    <col min="11" max="11" width="16" style="136" bestFit="1" customWidth="1"/>
    <col min="12" max="12" width="11.140625" style="136" bestFit="1" customWidth="1"/>
    <col min="13" max="16384" width="9.140625" style="136"/>
  </cols>
  <sheetData>
    <row r="1" spans="1:12" ht="39" customHeight="1" x14ac:dyDescent="0.25">
      <c r="A1" s="189" t="s">
        <v>2</v>
      </c>
      <c r="B1" s="189"/>
      <c r="C1" s="189" t="s">
        <v>184</v>
      </c>
      <c r="D1" s="189"/>
      <c r="E1" s="192" t="s">
        <v>185</v>
      </c>
      <c r="F1" s="192"/>
      <c r="G1" s="192"/>
      <c r="H1" s="192"/>
      <c r="I1" s="192"/>
      <c r="J1" s="192"/>
      <c r="K1" s="192"/>
      <c r="L1" s="137" t="s">
        <v>243</v>
      </c>
    </row>
    <row r="2" spans="1:12" ht="45" customHeight="1" x14ac:dyDescent="0.25">
      <c r="A2" s="132" t="s">
        <v>224</v>
      </c>
      <c r="B2" s="132" t="s">
        <v>226</v>
      </c>
      <c r="C2" s="132" t="s">
        <v>184</v>
      </c>
      <c r="D2" s="132" t="s">
        <v>280</v>
      </c>
      <c r="E2" s="133" t="s">
        <v>203</v>
      </c>
      <c r="F2" s="133" t="s">
        <v>239</v>
      </c>
      <c r="G2" s="133" t="s">
        <v>216</v>
      </c>
      <c r="H2" s="133" t="s">
        <v>220</v>
      </c>
      <c r="I2" s="133" t="s">
        <v>252</v>
      </c>
      <c r="J2" s="133" t="s">
        <v>253</v>
      </c>
      <c r="K2" s="133" t="s">
        <v>254</v>
      </c>
      <c r="L2" s="112"/>
    </row>
    <row r="3" spans="1:12" x14ac:dyDescent="0.25">
      <c r="A3" s="134" t="s">
        <v>187</v>
      </c>
      <c r="B3" s="108">
        <v>63.97</v>
      </c>
      <c r="C3" s="130">
        <f>B3*0.2</f>
        <v>12.794</v>
      </c>
      <c r="D3" s="131">
        <f>SUM(B3:C3)</f>
        <v>76.763999999999996</v>
      </c>
      <c r="E3" s="114">
        <f>$A$14</f>
        <v>1872</v>
      </c>
      <c r="F3" s="114">
        <f>$B$14</f>
        <v>208</v>
      </c>
      <c r="G3" s="114">
        <f>SUM(E3:F3)</f>
        <v>2080</v>
      </c>
      <c r="H3" s="114">
        <v>1</v>
      </c>
      <c r="I3" s="114">
        <f>E3*$H3</f>
        <v>1872</v>
      </c>
      <c r="J3" s="114">
        <f t="shared" ref="J3:K8" si="0">F3*$H3</f>
        <v>208</v>
      </c>
      <c r="K3" s="114">
        <f t="shared" si="0"/>
        <v>2080</v>
      </c>
      <c r="L3" s="112">
        <f>K3*D3</f>
        <v>159669.12</v>
      </c>
    </row>
    <row r="4" spans="1:12" x14ac:dyDescent="0.25">
      <c r="A4" s="134" t="s">
        <v>189</v>
      </c>
      <c r="B4" s="108">
        <v>60.47</v>
      </c>
      <c r="C4" s="130">
        <f t="shared" ref="C4:C8" si="1">B4*0.2</f>
        <v>12.094000000000001</v>
      </c>
      <c r="D4" s="131">
        <f t="shared" ref="D4:D8" si="2">SUM(B4:C4)</f>
        <v>72.563999999999993</v>
      </c>
      <c r="E4" s="114">
        <f t="shared" ref="E4:E8" si="3">$A$14</f>
        <v>1872</v>
      </c>
      <c r="F4" s="114">
        <f t="shared" ref="F4:F8" si="4">$B$14</f>
        <v>208</v>
      </c>
      <c r="G4" s="114">
        <f t="shared" ref="G4:G8" si="5">SUM(E4:F4)</f>
        <v>2080</v>
      </c>
      <c r="H4" s="114">
        <v>1</v>
      </c>
      <c r="I4" s="114">
        <f t="shared" ref="I4:I8" si="6">E4*$H4</f>
        <v>1872</v>
      </c>
      <c r="J4" s="114">
        <f t="shared" si="0"/>
        <v>208</v>
      </c>
      <c r="K4" s="114">
        <f t="shared" si="0"/>
        <v>2080</v>
      </c>
      <c r="L4" s="112">
        <f t="shared" ref="L4:L8" si="7">K4*D4</f>
        <v>150933.12</v>
      </c>
    </row>
    <row r="5" spans="1:12" x14ac:dyDescent="0.25">
      <c r="A5" s="134" t="s">
        <v>190</v>
      </c>
      <c r="B5" s="108">
        <v>68.03</v>
      </c>
      <c r="C5" s="130">
        <f t="shared" si="1"/>
        <v>13.606000000000002</v>
      </c>
      <c r="D5" s="131">
        <f t="shared" si="2"/>
        <v>81.635999999999996</v>
      </c>
      <c r="E5" s="114">
        <f t="shared" si="3"/>
        <v>1872</v>
      </c>
      <c r="F5" s="114">
        <f t="shared" si="4"/>
        <v>208</v>
      </c>
      <c r="G5" s="114">
        <f t="shared" si="5"/>
        <v>2080</v>
      </c>
      <c r="H5" s="114">
        <v>1</v>
      </c>
      <c r="I5" s="114">
        <f t="shared" si="6"/>
        <v>1872</v>
      </c>
      <c r="J5" s="114">
        <f t="shared" si="0"/>
        <v>208</v>
      </c>
      <c r="K5" s="114">
        <f t="shared" si="0"/>
        <v>2080</v>
      </c>
      <c r="L5" s="112">
        <f t="shared" si="7"/>
        <v>169802.88</v>
      </c>
    </row>
    <row r="6" spans="1:12" x14ac:dyDescent="0.25">
      <c r="A6" s="134" t="s">
        <v>191</v>
      </c>
      <c r="B6" s="108">
        <v>88.08</v>
      </c>
      <c r="C6" s="130">
        <f t="shared" si="1"/>
        <v>17.616</v>
      </c>
      <c r="D6" s="131">
        <f t="shared" si="2"/>
        <v>105.696</v>
      </c>
      <c r="E6" s="114">
        <f t="shared" si="3"/>
        <v>1872</v>
      </c>
      <c r="F6" s="114">
        <f t="shared" si="4"/>
        <v>208</v>
      </c>
      <c r="G6" s="114">
        <f t="shared" si="5"/>
        <v>2080</v>
      </c>
      <c r="H6" s="114">
        <v>1</v>
      </c>
      <c r="I6" s="114">
        <f t="shared" si="6"/>
        <v>1872</v>
      </c>
      <c r="J6" s="114">
        <f t="shared" si="0"/>
        <v>208</v>
      </c>
      <c r="K6" s="114">
        <f t="shared" si="0"/>
        <v>2080</v>
      </c>
      <c r="L6" s="112">
        <f t="shared" si="7"/>
        <v>219847.67999999999</v>
      </c>
    </row>
    <row r="7" spans="1:12" x14ac:dyDescent="0.25">
      <c r="A7" s="134" t="s">
        <v>192</v>
      </c>
      <c r="B7" s="108">
        <v>64.5</v>
      </c>
      <c r="C7" s="130">
        <f t="shared" si="1"/>
        <v>12.9</v>
      </c>
      <c r="D7" s="131">
        <f t="shared" si="2"/>
        <v>77.400000000000006</v>
      </c>
      <c r="E7" s="114">
        <f t="shared" si="3"/>
        <v>1872</v>
      </c>
      <c r="F7" s="114">
        <f t="shared" si="4"/>
        <v>208</v>
      </c>
      <c r="G7" s="114">
        <f t="shared" si="5"/>
        <v>2080</v>
      </c>
      <c r="H7" s="114">
        <v>1</v>
      </c>
      <c r="I7" s="114">
        <f t="shared" si="6"/>
        <v>1872</v>
      </c>
      <c r="J7" s="114">
        <f t="shared" si="0"/>
        <v>208</v>
      </c>
      <c r="K7" s="114">
        <f t="shared" si="0"/>
        <v>2080</v>
      </c>
      <c r="L7" s="112">
        <f t="shared" si="7"/>
        <v>160992</v>
      </c>
    </row>
    <row r="8" spans="1:12" x14ac:dyDescent="0.25">
      <c r="A8" s="134" t="s">
        <v>193</v>
      </c>
      <c r="B8" s="108">
        <v>42.44</v>
      </c>
      <c r="C8" s="130">
        <f t="shared" si="1"/>
        <v>8.4879999999999995</v>
      </c>
      <c r="D8" s="131">
        <f t="shared" si="2"/>
        <v>50.927999999999997</v>
      </c>
      <c r="E8" s="114">
        <f t="shared" si="3"/>
        <v>1872</v>
      </c>
      <c r="F8" s="114">
        <f t="shared" si="4"/>
        <v>208</v>
      </c>
      <c r="G8" s="114">
        <f t="shared" si="5"/>
        <v>2080</v>
      </c>
      <c r="H8" s="114">
        <v>1</v>
      </c>
      <c r="I8" s="114">
        <f t="shared" si="6"/>
        <v>1872</v>
      </c>
      <c r="J8" s="114">
        <f t="shared" si="0"/>
        <v>208</v>
      </c>
      <c r="K8" s="114">
        <f t="shared" si="0"/>
        <v>2080</v>
      </c>
      <c r="L8" s="112">
        <f t="shared" si="7"/>
        <v>105930.23999999999</v>
      </c>
    </row>
    <row r="9" spans="1:12" x14ac:dyDescent="0.25">
      <c r="A9" s="131" t="s">
        <v>267</v>
      </c>
      <c r="B9" s="112"/>
      <c r="C9" s="112"/>
      <c r="D9" s="112"/>
      <c r="E9" s="114">
        <f>SUM(E3:E8)</f>
        <v>11232</v>
      </c>
      <c r="F9" s="114">
        <f t="shared" ref="F9:K9" si="8">SUM(F3:F8)</f>
        <v>1248</v>
      </c>
      <c r="G9" s="114">
        <f t="shared" si="8"/>
        <v>12480</v>
      </c>
      <c r="H9" s="114">
        <f t="shared" si="8"/>
        <v>6</v>
      </c>
      <c r="I9" s="114">
        <f t="shared" si="8"/>
        <v>11232</v>
      </c>
      <c r="J9" s="114">
        <f t="shared" si="8"/>
        <v>1248</v>
      </c>
      <c r="K9" s="114">
        <f t="shared" si="8"/>
        <v>12480</v>
      </c>
      <c r="L9" s="112">
        <f>SUM(L3:L8)</f>
        <v>967175.04</v>
      </c>
    </row>
    <row r="11" spans="1:12" x14ac:dyDescent="0.25">
      <c r="A11" s="190" t="s">
        <v>236</v>
      </c>
      <c r="B11" s="190"/>
      <c r="C11" s="190"/>
    </row>
    <row r="12" spans="1:12" x14ac:dyDescent="0.25">
      <c r="A12" s="191" t="s">
        <v>210</v>
      </c>
      <c r="B12" s="191"/>
      <c r="C12" s="191"/>
    </row>
    <row r="13" spans="1:12" ht="25.5" x14ac:dyDescent="0.25">
      <c r="A13" s="133" t="s">
        <v>219</v>
      </c>
      <c r="B13" s="133" t="s">
        <v>218</v>
      </c>
      <c r="C13" s="133" t="s">
        <v>1</v>
      </c>
    </row>
    <row r="14" spans="1:12" x14ac:dyDescent="0.25">
      <c r="A14" s="135">
        <v>1872</v>
      </c>
      <c r="B14" s="135">
        <f>C14-A14</f>
        <v>208</v>
      </c>
      <c r="C14" s="135">
        <v>2080</v>
      </c>
    </row>
  </sheetData>
  <mergeCells count="5">
    <mergeCell ref="A1:B1"/>
    <mergeCell ref="C1:D1"/>
    <mergeCell ref="A11:C11"/>
    <mergeCell ref="A12:C12"/>
    <mergeCell ref="E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AFC3-FDD6-4F3F-9159-10F276E55BE8}">
  <dimension ref="A1:P30"/>
  <sheetViews>
    <sheetView workbookViewId="0">
      <selection activeCell="G24" sqref="G24"/>
    </sheetView>
  </sheetViews>
  <sheetFormatPr defaultColWidth="19.42578125" defaultRowHeight="15" x14ac:dyDescent="0.25"/>
  <cols>
    <col min="1" max="15" width="19.42578125" style="75"/>
    <col min="16" max="16" width="19.42578125" style="77"/>
    <col min="17" max="16384" width="19.42578125" style="75"/>
  </cols>
  <sheetData>
    <row r="1" spans="1:16" ht="26.25" thickBot="1" x14ac:dyDescent="0.3">
      <c r="A1" s="150" t="s">
        <v>2</v>
      </c>
      <c r="B1" s="150" t="s">
        <v>220</v>
      </c>
      <c r="C1" s="151" t="s">
        <v>252</v>
      </c>
      <c r="D1" s="151" t="s">
        <v>253</v>
      </c>
      <c r="E1" s="151" t="s">
        <v>254</v>
      </c>
      <c r="F1" s="202" t="s">
        <v>243</v>
      </c>
      <c r="G1" s="202"/>
      <c r="H1" s="202"/>
      <c r="I1" s="202"/>
      <c r="J1" s="202"/>
      <c r="K1" s="196" t="s">
        <v>251</v>
      </c>
      <c r="L1" s="196"/>
      <c r="M1" s="196"/>
      <c r="N1" s="196"/>
      <c r="O1" s="152" t="s">
        <v>255</v>
      </c>
      <c r="P1" s="150" t="s">
        <v>215</v>
      </c>
    </row>
    <row r="2" spans="1:16" ht="51" x14ac:dyDescent="0.25">
      <c r="A2" s="203" t="s">
        <v>194</v>
      </c>
      <c r="B2" s="204"/>
      <c r="C2" s="204"/>
      <c r="D2" s="204"/>
      <c r="E2" s="204"/>
      <c r="F2" s="102" t="s">
        <v>266</v>
      </c>
      <c r="G2" s="102" t="s">
        <v>264</v>
      </c>
      <c r="H2" s="102" t="s">
        <v>265</v>
      </c>
      <c r="I2" s="102" t="s">
        <v>258</v>
      </c>
      <c r="J2" s="102" t="s">
        <v>257</v>
      </c>
      <c r="K2" s="102" t="s">
        <v>226</v>
      </c>
      <c r="L2" s="102" t="s">
        <v>268</v>
      </c>
      <c r="M2" s="102" t="s">
        <v>264</v>
      </c>
      <c r="N2" s="102" t="s">
        <v>1</v>
      </c>
      <c r="O2" s="102" t="s">
        <v>267</v>
      </c>
      <c r="P2" s="149"/>
    </row>
    <row r="3" spans="1:16" x14ac:dyDescent="0.25">
      <c r="A3" s="143" t="str">
        <f>'Teamsters Template'!A3</f>
        <v>Shift Lead</v>
      </c>
      <c r="B3" s="76">
        <f>'Teamsters Template'!O3</f>
        <v>2</v>
      </c>
      <c r="C3" s="76">
        <f>'Teamsters Template'!P3</f>
        <v>3864</v>
      </c>
      <c r="D3" s="76">
        <f>'Teamsters Template'!Q3</f>
        <v>528</v>
      </c>
      <c r="E3" s="76">
        <f>'Teamsters Template'!R3</f>
        <v>4392</v>
      </c>
      <c r="F3" s="84">
        <f>'Teamsters Template'!S3</f>
        <v>353238.651648</v>
      </c>
      <c r="G3" s="84">
        <f>'Teamsters Template'!T3</f>
        <v>42791.904287371377</v>
      </c>
      <c r="H3" s="84">
        <f>'Teamsters Template'!U3</f>
        <v>396030.55593537138</v>
      </c>
      <c r="I3" s="84">
        <f>'Teamsters Template'!V3</f>
        <v>0</v>
      </c>
      <c r="J3" s="84">
        <f>'Teamsters Template'!W3</f>
        <v>396030.55593537138</v>
      </c>
      <c r="K3" s="84">
        <f>'Teamsters Template'!X3</f>
        <v>73.332000000000008</v>
      </c>
      <c r="L3" s="84">
        <f>'Teamsters Template'!Y3</f>
        <v>11.117131200000003</v>
      </c>
      <c r="M3" s="84">
        <f>'Teamsters Template'!Z3</f>
        <v>51925.737442622958</v>
      </c>
      <c r="N3" s="84">
        <f>'Teamsters Template'!AA3</f>
        <v>422826.32167302299</v>
      </c>
      <c r="O3" s="84">
        <f>'Teamsters Template'!AB3</f>
        <v>26795.765737651614</v>
      </c>
      <c r="P3" s="144">
        <f>N3-J3-O3</f>
        <v>0</v>
      </c>
    </row>
    <row r="4" spans="1:16" x14ac:dyDescent="0.25">
      <c r="A4" s="143" t="str">
        <f>'Teamsters Template'!A4</f>
        <v>Shift/Day Float</v>
      </c>
      <c r="B4" s="76">
        <f>'Teamsters Template'!O4</f>
        <v>2</v>
      </c>
      <c r="C4" s="76">
        <f>'Teamsters Template'!P4</f>
        <v>3864</v>
      </c>
      <c r="D4" s="76">
        <f>'Teamsters Template'!Q4</f>
        <v>528</v>
      </c>
      <c r="E4" s="76">
        <f>'Teamsters Template'!R4</f>
        <v>4392</v>
      </c>
      <c r="F4" s="84">
        <f>'Teamsters Template'!S4</f>
        <v>329719.75516799995</v>
      </c>
      <c r="G4" s="84">
        <f>'Teamsters Template'!T4</f>
        <v>42791.904287371377</v>
      </c>
      <c r="H4" s="84">
        <f>'Teamsters Template'!U4</f>
        <v>372511.65945537132</v>
      </c>
      <c r="I4" s="84">
        <f>'Teamsters Template'!V4</f>
        <v>0</v>
      </c>
      <c r="J4" s="84">
        <f>'Teamsters Template'!W4</f>
        <v>372511.65945537132</v>
      </c>
      <c r="K4" s="84">
        <f>'Teamsters Template'!X4</f>
        <v>68.4495</v>
      </c>
      <c r="L4" s="84">
        <f>'Teamsters Template'!Y4</f>
        <v>10.376944200000001</v>
      </c>
      <c r="M4" s="84">
        <f>'Teamsters Template'!Z4</f>
        <v>51925.737442622958</v>
      </c>
      <c r="N4" s="84">
        <f>'Teamsters Template'!AA4</f>
        <v>398131.48036902293</v>
      </c>
      <c r="O4" s="84">
        <f>'Teamsters Template'!AB4</f>
        <v>25619.820913651609</v>
      </c>
      <c r="P4" s="144">
        <f t="shared" ref="P4:P9" si="0">N4-J4-O4</f>
        <v>0</v>
      </c>
    </row>
    <row r="5" spans="1:16" x14ac:dyDescent="0.25">
      <c r="A5" s="143" t="str">
        <f>'Teamsters Template'!A5</f>
        <v>O&amp;M</v>
      </c>
      <c r="B5" s="76">
        <f>'Teamsters Template'!O5</f>
        <v>2</v>
      </c>
      <c r="C5" s="76">
        <f>'Teamsters Template'!P5</f>
        <v>3864</v>
      </c>
      <c r="D5" s="76">
        <f>'Teamsters Template'!Q5</f>
        <v>528</v>
      </c>
      <c r="E5" s="76">
        <f>'Teamsters Template'!R5</f>
        <v>4392</v>
      </c>
      <c r="F5" s="84">
        <f>'Teamsters Template'!S5</f>
        <v>321930.70127999998</v>
      </c>
      <c r="G5" s="84">
        <f>'Teamsters Template'!T5</f>
        <v>42791.904287371377</v>
      </c>
      <c r="H5" s="84">
        <f>'Teamsters Template'!U5</f>
        <v>364722.60556737136</v>
      </c>
      <c r="I5" s="84">
        <f>'Teamsters Template'!V5</f>
        <v>0</v>
      </c>
      <c r="J5" s="84">
        <f>'Teamsters Template'!W5</f>
        <v>364722.60556737136</v>
      </c>
      <c r="K5" s="84">
        <f>'Teamsters Template'!X5</f>
        <v>66.832499999999996</v>
      </c>
      <c r="L5" s="84">
        <f>'Teamsters Template'!Y5</f>
        <v>10.131807</v>
      </c>
      <c r="M5" s="84">
        <f>'Teamsters Template'!Z5</f>
        <v>51925.737442622958</v>
      </c>
      <c r="N5" s="84">
        <f>'Teamsters Template'!AA5</f>
        <v>389952.97378662293</v>
      </c>
      <c r="O5" s="84">
        <f>'Teamsters Template'!AB5</f>
        <v>25230.36821925157</v>
      </c>
      <c r="P5" s="144">
        <f t="shared" si="0"/>
        <v>0</v>
      </c>
    </row>
    <row r="6" spans="1:16" x14ac:dyDescent="0.25">
      <c r="A6" s="143" t="str">
        <f>'Teamsters Template'!A6</f>
        <v>Antenna Tech</v>
      </c>
      <c r="B6" s="76">
        <f>'Teamsters Template'!O6</f>
        <v>2</v>
      </c>
      <c r="C6" s="76">
        <f>'Teamsters Template'!P6</f>
        <v>3672</v>
      </c>
      <c r="D6" s="76">
        <f>'Teamsters Template'!Q6</f>
        <v>488</v>
      </c>
      <c r="E6" s="76">
        <f>'Teamsters Template'!R6</f>
        <v>4160</v>
      </c>
      <c r="F6" s="84">
        <f>'Teamsters Template'!S6</f>
        <v>334579.41503999999</v>
      </c>
      <c r="G6" s="84">
        <f>'Teamsters Template'!T6</f>
        <v>40549.052512628623</v>
      </c>
      <c r="H6" s="84">
        <f>'Teamsters Template'!U6</f>
        <v>375128.4675526286</v>
      </c>
      <c r="I6" s="84">
        <f>'Teamsters Template'!V6</f>
        <v>0</v>
      </c>
      <c r="J6" s="84">
        <f>'Teamsters Template'!W6</f>
        <v>375128.4675526286</v>
      </c>
      <c r="K6" s="84">
        <f>'Teamsters Template'!X6</f>
        <v>73.332000000000008</v>
      </c>
      <c r="L6" s="84">
        <f>'Teamsters Template'!Y6</f>
        <v>11.117131200000003</v>
      </c>
      <c r="M6" s="84">
        <f>'Teamsters Template'!Z6</f>
        <v>49689.005746153853</v>
      </c>
      <c r="N6" s="84">
        <f>'Teamsters Template'!AA6</f>
        <v>400997.39153815387</v>
      </c>
      <c r="O6" s="84">
        <f>'Teamsters Template'!AB6</f>
        <v>25868.923985525267</v>
      </c>
      <c r="P6" s="144">
        <f t="shared" si="0"/>
        <v>0</v>
      </c>
    </row>
    <row r="7" spans="1:16" x14ac:dyDescent="0.25">
      <c r="A7" s="143" t="str">
        <f>'Teamsters Template'!A7</f>
        <v>IT</v>
      </c>
      <c r="B7" s="76">
        <f>'Teamsters Template'!O7</f>
        <v>2</v>
      </c>
      <c r="C7" s="76">
        <f>'Teamsters Template'!P7</f>
        <v>3672</v>
      </c>
      <c r="D7" s="76">
        <f>'Teamsters Template'!Q7</f>
        <v>488</v>
      </c>
      <c r="E7" s="76">
        <f>'Teamsters Template'!R7</f>
        <v>4160</v>
      </c>
      <c r="F7" s="84">
        <f>'Teamsters Template'!S7</f>
        <v>304925.25439999998</v>
      </c>
      <c r="G7" s="84">
        <f>'Teamsters Template'!T7</f>
        <v>40549.052512628623</v>
      </c>
      <c r="H7" s="84">
        <f>'Teamsters Template'!U7</f>
        <v>345474.30691262858</v>
      </c>
      <c r="I7" s="84">
        <f>'Teamsters Template'!V7</f>
        <v>0</v>
      </c>
      <c r="J7" s="84">
        <f>'Teamsters Template'!W7</f>
        <v>345474.30691262858</v>
      </c>
      <c r="K7" s="84">
        <f>'Teamsters Template'!X7</f>
        <v>66.832499999999996</v>
      </c>
      <c r="L7" s="84">
        <f>'Teamsters Template'!Y7</f>
        <v>10.131807</v>
      </c>
      <c r="M7" s="84">
        <f>'Teamsters Template'!Z7</f>
        <v>49689.005746153853</v>
      </c>
      <c r="N7" s="84">
        <f>'Teamsters Template'!AA7</f>
        <v>369860.52286615386</v>
      </c>
      <c r="O7" s="84">
        <f>'Teamsters Template'!AB7</f>
        <v>24386.215953525272</v>
      </c>
      <c r="P7" s="144">
        <f t="shared" si="0"/>
        <v>0</v>
      </c>
    </row>
    <row r="8" spans="1:16" x14ac:dyDescent="0.25">
      <c r="A8" s="143" t="str">
        <f>'Teamsters Template'!A8</f>
        <v>Logistics</v>
      </c>
      <c r="B8" s="76">
        <f>'Teamsters Template'!O8</f>
        <v>2</v>
      </c>
      <c r="C8" s="76">
        <f>'Teamsters Template'!P8</f>
        <v>3672</v>
      </c>
      <c r="D8" s="76">
        <f>'Teamsters Template'!Q8</f>
        <v>488</v>
      </c>
      <c r="E8" s="76">
        <f>'Teamsters Template'!R8</f>
        <v>4160</v>
      </c>
      <c r="F8" s="84">
        <f>'Teamsters Template'!S8</f>
        <v>286193.78943999996</v>
      </c>
      <c r="G8" s="84">
        <f>'Teamsters Template'!T8</f>
        <v>40549.052512628623</v>
      </c>
      <c r="H8" s="84">
        <f>'Teamsters Template'!U8</f>
        <v>326742.84195262857</v>
      </c>
      <c r="I8" s="84">
        <f>'Teamsters Template'!V8</f>
        <v>0</v>
      </c>
      <c r="J8" s="84">
        <f>'Teamsters Template'!W8</f>
        <v>326742.84195262857</v>
      </c>
      <c r="K8" s="84">
        <f>'Teamsters Template'!X8</f>
        <v>62.727000000000004</v>
      </c>
      <c r="L8" s="84">
        <f>'Teamsters Template'!Y8</f>
        <v>9.5094132000000009</v>
      </c>
      <c r="M8" s="84">
        <f>'Teamsters Template'!Z8</f>
        <v>49689.005746153853</v>
      </c>
      <c r="N8" s="84">
        <f>'Teamsters Template'!AA8</f>
        <v>350192.48465815384</v>
      </c>
      <c r="O8" s="84">
        <f>'Teamsters Template'!AB8</f>
        <v>23449.642705525272</v>
      </c>
      <c r="P8" s="144">
        <f t="shared" si="0"/>
        <v>0</v>
      </c>
    </row>
    <row r="9" spans="1:16" ht="15.75" thickBot="1" x14ac:dyDescent="0.3">
      <c r="A9" s="145" t="str">
        <f>'Teamsters Template'!A9</f>
        <v>Subtotal</v>
      </c>
      <c r="B9" s="146">
        <f>'Teamsters Template'!O9</f>
        <v>12</v>
      </c>
      <c r="C9" s="146">
        <f>'Teamsters Template'!P9</f>
        <v>22608</v>
      </c>
      <c r="D9" s="146">
        <f>'Teamsters Template'!Q9</f>
        <v>3048</v>
      </c>
      <c r="E9" s="146">
        <f>'Teamsters Template'!R9</f>
        <v>25656</v>
      </c>
      <c r="F9" s="147">
        <f>'Teamsters Template'!S9</f>
        <v>1930587.5669759996</v>
      </c>
      <c r="G9" s="147">
        <f>'Teamsters Template'!T9</f>
        <v>250022.87039999996</v>
      </c>
      <c r="H9" s="147">
        <f>'Teamsters Template'!U9</f>
        <v>2180610.437376</v>
      </c>
      <c r="I9" s="147">
        <f>'Teamsters Template'!V9</f>
        <v>0</v>
      </c>
      <c r="J9" s="147">
        <f>'Teamsters Template'!W9</f>
        <v>2180610.437376</v>
      </c>
      <c r="K9" s="147">
        <f>'Teamsters Template'!X9</f>
        <v>0</v>
      </c>
      <c r="L9" s="147">
        <f>'Teamsters Template'!Y9</f>
        <v>0</v>
      </c>
      <c r="M9" s="147">
        <f>'Teamsters Template'!Z9</f>
        <v>304844.22956633044</v>
      </c>
      <c r="N9" s="147">
        <f>'Teamsters Template'!AA9</f>
        <v>2331961.1748911305</v>
      </c>
      <c r="O9" s="153">
        <f>'Teamsters Template'!AB9</f>
        <v>151350.73751513055</v>
      </c>
      <c r="P9" s="148">
        <f t="shared" si="0"/>
        <v>0</v>
      </c>
    </row>
    <row r="10" spans="1:16" ht="51" x14ac:dyDescent="0.25">
      <c r="A10" s="193" t="s">
        <v>200</v>
      </c>
      <c r="B10" s="194"/>
      <c r="C10" s="194"/>
      <c r="D10" s="194"/>
      <c r="E10" s="194"/>
      <c r="F10" s="102" t="s">
        <v>266</v>
      </c>
      <c r="G10" s="102" t="s">
        <v>264</v>
      </c>
      <c r="H10" s="102" t="s">
        <v>265</v>
      </c>
      <c r="I10" s="102" t="s">
        <v>258</v>
      </c>
      <c r="J10" s="102" t="s">
        <v>257</v>
      </c>
      <c r="K10" s="102" t="s">
        <v>273</v>
      </c>
      <c r="L10" s="102" t="s">
        <v>268</v>
      </c>
      <c r="M10" s="102" t="s">
        <v>264</v>
      </c>
      <c r="N10" s="102" t="s">
        <v>1</v>
      </c>
      <c r="O10" s="102" t="s">
        <v>267</v>
      </c>
      <c r="P10" s="149"/>
    </row>
    <row r="11" spans="1:16" x14ac:dyDescent="0.25">
      <c r="A11" s="143" t="str">
        <f>'FJCC Template'!A3</f>
        <v>M&amp;O LABORER</v>
      </c>
      <c r="B11" s="76">
        <f>'FJCC Template'!O3</f>
        <v>2</v>
      </c>
      <c r="C11" s="76">
        <f>'FJCC Template'!P3</f>
        <v>3672</v>
      </c>
      <c r="D11" s="76">
        <f>'FJCC Template'!Q3</f>
        <v>488</v>
      </c>
      <c r="E11" s="76">
        <f>'FJCC Template'!R3</f>
        <v>4160</v>
      </c>
      <c r="F11" s="84">
        <f>'FJCC Template'!S3</f>
        <v>384498.05056000006</v>
      </c>
      <c r="G11" s="84">
        <f>'FJCC Template'!T3</f>
        <v>0</v>
      </c>
      <c r="H11" s="84">
        <f>'FJCC Template'!U3</f>
        <v>0</v>
      </c>
      <c r="I11" s="84">
        <f>'FJCC Template'!V3</f>
        <v>0</v>
      </c>
      <c r="J11" s="84">
        <f>'FJCC Template'!W3</f>
        <v>384498.05056000006</v>
      </c>
      <c r="K11" s="84">
        <f>'FJCC Template'!X3</f>
        <v>84.27300000000001</v>
      </c>
      <c r="L11" s="84">
        <f>'FJCC Template'!Y3</f>
        <v>12.775786800000002</v>
      </c>
      <c r="M11" s="84">
        <f>'FJCC Template'!Z3</f>
        <v>0</v>
      </c>
      <c r="N11" s="84">
        <f>'FJCC Template'!AA3</f>
        <v>403722.95308800007</v>
      </c>
      <c r="O11" s="84">
        <f>'FJCC Template'!AB3</f>
        <v>19224.902528000006</v>
      </c>
      <c r="P11" s="144">
        <f>N11-J11-O11</f>
        <v>0</v>
      </c>
    </row>
    <row r="12" spans="1:16" x14ac:dyDescent="0.25">
      <c r="A12" s="143" t="str">
        <f>'FJCC Template'!A4</f>
        <v>PLUMBER</v>
      </c>
      <c r="B12" s="76">
        <f>'FJCC Template'!O4</f>
        <v>2</v>
      </c>
      <c r="C12" s="76">
        <f>'FJCC Template'!P4</f>
        <v>3672</v>
      </c>
      <c r="D12" s="76">
        <f>'FJCC Template'!Q4</f>
        <v>488</v>
      </c>
      <c r="E12" s="76">
        <f>'FJCC Template'!R4</f>
        <v>4160</v>
      </c>
      <c r="F12" s="84">
        <f>'FJCC Template'!S4</f>
        <v>397576.54143999994</v>
      </c>
      <c r="G12" s="84">
        <f>'FJCC Template'!T4</f>
        <v>0</v>
      </c>
      <c r="H12" s="84">
        <f>'FJCC Template'!U4</f>
        <v>0</v>
      </c>
      <c r="I12" s="84">
        <f>'FJCC Template'!V4</f>
        <v>0</v>
      </c>
      <c r="J12" s="84">
        <f>'FJCC Template'!W4</f>
        <v>397576.54143999994</v>
      </c>
      <c r="K12" s="84">
        <f>'FJCC Template'!X4</f>
        <v>87.139499999999998</v>
      </c>
      <c r="L12" s="84">
        <f>'FJCC Template'!Y4</f>
        <v>13.2103482</v>
      </c>
      <c r="M12" s="84">
        <f>'FJCC Template'!Z4</f>
        <v>0</v>
      </c>
      <c r="N12" s="84">
        <f>'FJCC Template'!AA4</f>
        <v>417455.36851199996</v>
      </c>
      <c r="O12" s="84">
        <f>'FJCC Template'!AB4</f>
        <v>19878.827072000015</v>
      </c>
      <c r="P12" s="144">
        <f t="shared" ref="P12:P16" si="1">N12-J12-O12</f>
        <v>0</v>
      </c>
    </row>
    <row r="13" spans="1:16" ht="30" x14ac:dyDescent="0.25">
      <c r="A13" s="143" t="str">
        <f>'FJCC Template'!A5</f>
        <v>POWERHOUSE ELECTRICIAN</v>
      </c>
      <c r="B13" s="76">
        <f>'FJCC Template'!O5</f>
        <v>2</v>
      </c>
      <c r="C13" s="76">
        <f>'FJCC Template'!P5</f>
        <v>3672</v>
      </c>
      <c r="D13" s="76">
        <f>'FJCC Template'!Q5</f>
        <v>488</v>
      </c>
      <c r="E13" s="76">
        <f>'FJCC Template'!R5</f>
        <v>4160</v>
      </c>
      <c r="F13" s="84">
        <f>'FJCC Template'!S5</f>
        <v>405145.77791999996</v>
      </c>
      <c r="G13" s="84">
        <f>'FJCC Template'!T5</f>
        <v>0</v>
      </c>
      <c r="H13" s="84">
        <f>'FJCC Template'!U5</f>
        <v>0</v>
      </c>
      <c r="I13" s="84">
        <f>'FJCC Template'!V5</f>
        <v>0</v>
      </c>
      <c r="J13" s="84">
        <f>'FJCC Template'!W5</f>
        <v>405145.77791999996</v>
      </c>
      <c r="K13" s="84">
        <f>'FJCC Template'!X5</f>
        <v>88.79849999999999</v>
      </c>
      <c r="L13" s="84">
        <f>'FJCC Template'!Y5</f>
        <v>13.4618526</v>
      </c>
      <c r="M13" s="84">
        <f>'FJCC Template'!Z5</f>
        <v>0</v>
      </c>
      <c r="N13" s="84">
        <f>'FJCC Template'!AA5</f>
        <v>425403.06681599998</v>
      </c>
      <c r="O13" s="84">
        <f>'FJCC Template'!AB5</f>
        <v>20257.288896000013</v>
      </c>
      <c r="P13" s="144">
        <f t="shared" si="1"/>
        <v>0</v>
      </c>
    </row>
    <row r="14" spans="1:16" ht="45" x14ac:dyDescent="0.25">
      <c r="A14" s="143" t="str">
        <f>'FJCC Template'!A6</f>
        <v>POWERHOUSE OPERATING ENGINEER</v>
      </c>
      <c r="B14" s="76">
        <f>'FJCC Template'!O6</f>
        <v>2</v>
      </c>
      <c r="C14" s="76">
        <f>'FJCC Template'!P6</f>
        <v>3672</v>
      </c>
      <c r="D14" s="76">
        <f>'FJCC Template'!Q6</f>
        <v>488</v>
      </c>
      <c r="E14" s="76">
        <f>'FJCC Template'!R6</f>
        <v>4160</v>
      </c>
      <c r="F14" s="84">
        <f>'FJCC Template'!S6</f>
        <v>405145.77791999996</v>
      </c>
      <c r="G14" s="84">
        <f>'FJCC Template'!T6</f>
        <v>0</v>
      </c>
      <c r="H14" s="84">
        <f>'FJCC Template'!U6</f>
        <v>0</v>
      </c>
      <c r="I14" s="84">
        <f>'FJCC Template'!V6</f>
        <v>0</v>
      </c>
      <c r="J14" s="84">
        <f>'FJCC Template'!W6</f>
        <v>405145.77791999996</v>
      </c>
      <c r="K14" s="84">
        <f>'FJCC Template'!X6</f>
        <v>88.79849999999999</v>
      </c>
      <c r="L14" s="84">
        <f>'FJCC Template'!Y6</f>
        <v>13.4618526</v>
      </c>
      <c r="M14" s="84">
        <f>'FJCC Template'!Z6</f>
        <v>0</v>
      </c>
      <c r="N14" s="84">
        <f>'FJCC Template'!AA6</f>
        <v>425403.06681599998</v>
      </c>
      <c r="O14" s="84">
        <f>'FJCC Template'!AB6</f>
        <v>20257.288896000013</v>
      </c>
      <c r="P14" s="144">
        <f t="shared" si="1"/>
        <v>0</v>
      </c>
    </row>
    <row r="15" spans="1:16" ht="45" x14ac:dyDescent="0.25">
      <c r="A15" s="143" t="str">
        <f>'FJCC Template'!A7</f>
        <v>POWERHOUSE OPERATING ENGINEER Lead</v>
      </c>
      <c r="B15" s="76">
        <f>'FJCC Template'!O7</f>
        <v>2</v>
      </c>
      <c r="C15" s="76">
        <f>'FJCC Template'!P7</f>
        <v>3672</v>
      </c>
      <c r="D15" s="76">
        <f>'FJCC Template'!Q7</f>
        <v>488</v>
      </c>
      <c r="E15" s="76">
        <f>'FJCC Template'!R7</f>
        <v>4160</v>
      </c>
      <c r="F15" s="84">
        <f>'FJCC Template'!S7</f>
        <v>445660.35571199999</v>
      </c>
      <c r="G15" s="84">
        <f>'FJCC Template'!T7</f>
        <v>0</v>
      </c>
      <c r="H15" s="84">
        <f>'FJCC Template'!U7</f>
        <v>0</v>
      </c>
      <c r="I15" s="84">
        <f>'FJCC Template'!V7</f>
        <v>0</v>
      </c>
      <c r="J15" s="84">
        <f>'FJCC Template'!W7</f>
        <v>445660.35571199999</v>
      </c>
      <c r="K15" s="84">
        <f>'FJCC Template'!X7</f>
        <v>97.678350000000009</v>
      </c>
      <c r="L15" s="84">
        <f>'FJCC Template'!Y7</f>
        <v>14.808037860000002</v>
      </c>
      <c r="M15" s="84">
        <f>'FJCC Template'!Z7</f>
        <v>0</v>
      </c>
      <c r="N15" s="84">
        <f>'FJCC Template'!AA7</f>
        <v>467943.37349760003</v>
      </c>
      <c r="O15" s="84">
        <f>'FJCC Template'!AB7</f>
        <v>22283.017785600037</v>
      </c>
      <c r="P15" s="144">
        <f t="shared" si="1"/>
        <v>0</v>
      </c>
    </row>
    <row r="16" spans="1:16" ht="15.75" thickBot="1" x14ac:dyDescent="0.3">
      <c r="A16" s="145" t="str">
        <f>'FJCC Template'!A8</f>
        <v>Subtotal</v>
      </c>
      <c r="B16" s="146">
        <f>'FJCC Template'!O8</f>
        <v>10</v>
      </c>
      <c r="C16" s="146">
        <f>'FJCC Template'!P8</f>
        <v>18360</v>
      </c>
      <c r="D16" s="146">
        <f>'FJCC Template'!Q8</f>
        <v>2440</v>
      </c>
      <c r="E16" s="146">
        <f>'FJCC Template'!R8</f>
        <v>20800</v>
      </c>
      <c r="F16" s="147">
        <f>'FJCC Template'!S8</f>
        <v>2038026.503552</v>
      </c>
      <c r="G16" s="147">
        <f>'FJCC Template'!T8</f>
        <v>0</v>
      </c>
      <c r="H16" s="147">
        <f>'FJCC Template'!U8</f>
        <v>0</v>
      </c>
      <c r="I16" s="147">
        <f>'FJCC Template'!V8</f>
        <v>0</v>
      </c>
      <c r="J16" s="147">
        <f>'FJCC Template'!W8</f>
        <v>2038026.503552</v>
      </c>
      <c r="K16" s="147">
        <f>'FJCC Template'!X8</f>
        <v>0</v>
      </c>
      <c r="L16" s="147">
        <f>'FJCC Template'!Y8</f>
        <v>0</v>
      </c>
      <c r="M16" s="147">
        <f>'FJCC Template'!Z8</f>
        <v>0</v>
      </c>
      <c r="N16" s="147">
        <f>'FJCC Template'!AA8</f>
        <v>2139927.8287296002</v>
      </c>
      <c r="O16" s="153">
        <f>'FJCC Template'!AB8</f>
        <v>101901.32517760008</v>
      </c>
      <c r="P16" s="148">
        <f t="shared" si="1"/>
        <v>0</v>
      </c>
    </row>
    <row r="17" spans="1:16" ht="51" x14ac:dyDescent="0.25">
      <c r="A17" s="193" t="s">
        <v>186</v>
      </c>
      <c r="B17" s="194"/>
      <c r="C17" s="194"/>
      <c r="D17" s="194"/>
      <c r="E17" s="194"/>
      <c r="F17" s="102" t="s">
        <v>266</v>
      </c>
      <c r="G17" s="102" t="s">
        <v>258</v>
      </c>
      <c r="H17" s="102" t="s">
        <v>257</v>
      </c>
      <c r="I17" s="102"/>
      <c r="J17" s="102"/>
      <c r="K17" s="102" t="s">
        <v>278</v>
      </c>
      <c r="L17" s="102" t="s">
        <v>264</v>
      </c>
      <c r="M17" s="102" t="s">
        <v>267</v>
      </c>
      <c r="N17" s="141"/>
      <c r="O17" s="102" t="s">
        <v>267</v>
      </c>
      <c r="P17" s="142"/>
    </row>
    <row r="18" spans="1:16" ht="30" x14ac:dyDescent="0.25">
      <c r="A18" s="143" t="str">
        <f>'SCA Template'!A3</f>
        <v>Administrative Assistant (01020)</v>
      </c>
      <c r="B18" s="76">
        <f>'SCA Template'!I3</f>
        <v>2</v>
      </c>
      <c r="C18" s="76">
        <f>'SCA Template'!J3</f>
        <v>3744</v>
      </c>
      <c r="D18" s="76">
        <f>'SCA Template'!K3</f>
        <v>416</v>
      </c>
      <c r="E18" s="76">
        <f>'SCA Template'!L3</f>
        <v>4160</v>
      </c>
      <c r="F18" s="84">
        <f>'SCA Template'!M3</f>
        <v>134035.19999999998</v>
      </c>
      <c r="G18" s="84">
        <f>'SCA Template'!N3</f>
        <v>0</v>
      </c>
      <c r="H18" s="84">
        <f>'SCA Template'!O3</f>
        <v>134035.19999999998</v>
      </c>
      <c r="I18" s="84"/>
      <c r="J18" s="84"/>
      <c r="K18" s="84">
        <f>'SCA Template'!P3</f>
        <v>37.589999999999996</v>
      </c>
      <c r="L18" s="84">
        <f>'SCA Template'!Q3</f>
        <v>0</v>
      </c>
      <c r="M18" s="84">
        <f>'SCA Template'!R3</f>
        <v>140736.95999999999</v>
      </c>
      <c r="N18" s="84"/>
      <c r="O18" s="84">
        <f>'SCA Template'!S3</f>
        <v>6701.7600000000093</v>
      </c>
      <c r="P18" s="144">
        <f>M18-H18-O18</f>
        <v>0</v>
      </c>
    </row>
    <row r="19" spans="1:16" x14ac:dyDescent="0.25">
      <c r="A19" s="143" t="str">
        <f>'SCA Template'!A4</f>
        <v>Guard I (27101)</v>
      </c>
      <c r="B19" s="76">
        <f>'SCA Template'!I4</f>
        <v>2</v>
      </c>
      <c r="C19" s="76">
        <f>'SCA Template'!J4</f>
        <v>3744</v>
      </c>
      <c r="D19" s="76">
        <f>'SCA Template'!K4</f>
        <v>416</v>
      </c>
      <c r="E19" s="76">
        <f>'SCA Template'!L4</f>
        <v>4160</v>
      </c>
      <c r="F19" s="84">
        <f>'SCA Template'!M4</f>
        <v>105842.88</v>
      </c>
      <c r="G19" s="84">
        <f>'SCA Template'!N4</f>
        <v>0</v>
      </c>
      <c r="H19" s="84">
        <f>'SCA Template'!O4</f>
        <v>105842.88</v>
      </c>
      <c r="I19" s="84"/>
      <c r="J19" s="84"/>
      <c r="K19" s="84">
        <f>'SCA Template'!P4</f>
        <v>29.683500000000002</v>
      </c>
      <c r="L19" s="84">
        <f>'SCA Template'!Q4</f>
        <v>0</v>
      </c>
      <c r="M19" s="84">
        <f>'SCA Template'!R4</f>
        <v>111135.024</v>
      </c>
      <c r="N19" s="84"/>
      <c r="O19" s="84">
        <f>'SCA Template'!S4</f>
        <v>5292.1440000000002</v>
      </c>
      <c r="P19" s="144">
        <f t="shared" ref="P19:P21" si="2">M19-H19-O19</f>
        <v>0</v>
      </c>
    </row>
    <row r="20" spans="1:16" x14ac:dyDescent="0.25">
      <c r="A20" s="143" t="str">
        <f>'SCA Template'!A5</f>
        <v>Guard II (27102</v>
      </c>
      <c r="B20" s="76">
        <f>'SCA Template'!I5</f>
        <v>2</v>
      </c>
      <c r="C20" s="76">
        <f>'SCA Template'!J5</f>
        <v>3744</v>
      </c>
      <c r="D20" s="76">
        <f>'SCA Template'!K5</f>
        <v>416</v>
      </c>
      <c r="E20" s="76">
        <f>'SCA Template'!L5</f>
        <v>4160</v>
      </c>
      <c r="F20" s="84">
        <f>'SCA Template'!M5</f>
        <v>115914.24000000001</v>
      </c>
      <c r="G20" s="84">
        <f>'SCA Template'!N5</f>
        <v>0</v>
      </c>
      <c r="H20" s="84">
        <f>'SCA Template'!O5</f>
        <v>115914.24000000001</v>
      </c>
      <c r="I20" s="84"/>
      <c r="J20" s="84"/>
      <c r="K20" s="84">
        <f>'SCA Template'!P5</f>
        <v>32.508000000000003</v>
      </c>
      <c r="L20" s="84">
        <f>'SCA Template'!Q5</f>
        <v>0</v>
      </c>
      <c r="M20" s="84">
        <f>'SCA Template'!R5</f>
        <v>121709.952</v>
      </c>
      <c r="N20" s="84"/>
      <c r="O20" s="84">
        <f>'SCA Template'!S5</f>
        <v>5795.7119999999995</v>
      </c>
      <c r="P20" s="144">
        <f t="shared" si="2"/>
        <v>0</v>
      </c>
    </row>
    <row r="21" spans="1:16" ht="15.75" thickBot="1" x14ac:dyDescent="0.3">
      <c r="A21" s="145" t="str">
        <f>'SCA Template'!A6</f>
        <v>Subtotal</v>
      </c>
      <c r="B21" s="146">
        <f>'SCA Template'!I6</f>
        <v>6</v>
      </c>
      <c r="C21" s="146">
        <f>'SCA Template'!J6</f>
        <v>11232</v>
      </c>
      <c r="D21" s="146">
        <f>'SCA Template'!K6</f>
        <v>1248</v>
      </c>
      <c r="E21" s="146">
        <f>'SCA Template'!L6</f>
        <v>12480</v>
      </c>
      <c r="F21" s="147">
        <f>'SCA Template'!M6</f>
        <v>355792.32</v>
      </c>
      <c r="G21" s="147">
        <f>'SCA Template'!N6</f>
        <v>0</v>
      </c>
      <c r="H21" s="147">
        <f>'SCA Template'!O6</f>
        <v>355792.32</v>
      </c>
      <c r="I21" s="147"/>
      <c r="J21" s="147"/>
      <c r="K21" s="147">
        <f>'SCA Template'!P6</f>
        <v>0</v>
      </c>
      <c r="L21" s="147">
        <f>'SCA Template'!Q6</f>
        <v>0</v>
      </c>
      <c r="M21" s="147">
        <f>'SCA Template'!R6</f>
        <v>373581.93599999999</v>
      </c>
      <c r="N21" s="147"/>
      <c r="O21" s="153">
        <f>'SCA Template'!S6</f>
        <v>17789.616000000009</v>
      </c>
      <c r="P21" s="148">
        <f t="shared" si="2"/>
        <v>-2.9103830456733704E-11</v>
      </c>
    </row>
    <row r="22" spans="1:16" x14ac:dyDescent="0.25">
      <c r="A22" s="195" t="s">
        <v>188</v>
      </c>
      <c r="B22" s="195"/>
      <c r="C22" s="195"/>
      <c r="D22" s="195"/>
      <c r="E22" s="195"/>
      <c r="F22" s="140" t="s">
        <v>243</v>
      </c>
      <c r="G22" s="89"/>
      <c r="H22" s="89"/>
    </row>
    <row r="23" spans="1:16" ht="30" x14ac:dyDescent="0.25">
      <c r="A23" s="73" t="str">
        <f>'Exempt Employee Template'!A3</f>
        <v>FACILITIES MANAGER</v>
      </c>
      <c r="B23" s="76">
        <f>'Exempt Employee Template'!H3</f>
        <v>1</v>
      </c>
      <c r="C23" s="76">
        <f>'Exempt Employee Template'!I3</f>
        <v>1872</v>
      </c>
      <c r="D23" s="76">
        <f>'Exempt Employee Template'!J3</f>
        <v>208</v>
      </c>
      <c r="E23" s="76">
        <f>'Exempt Employee Template'!K3</f>
        <v>2080</v>
      </c>
      <c r="F23" s="74">
        <f>'Exempt Employee Template'!L3</f>
        <v>159669.12</v>
      </c>
    </row>
    <row r="24" spans="1:16" x14ac:dyDescent="0.25">
      <c r="A24" s="73" t="str">
        <f>'Exempt Employee Template'!A4</f>
        <v>IT MANAGER</v>
      </c>
      <c r="B24" s="76">
        <f>'Exempt Employee Template'!H4</f>
        <v>1</v>
      </c>
      <c r="C24" s="76">
        <f>'Exempt Employee Template'!I4</f>
        <v>1872</v>
      </c>
      <c r="D24" s="76">
        <f>'Exempt Employee Template'!J4</f>
        <v>208</v>
      </c>
      <c r="E24" s="76">
        <f>'Exempt Employee Template'!K4</f>
        <v>2080</v>
      </c>
      <c r="F24" s="74">
        <f>'Exempt Employee Template'!L4</f>
        <v>150933.12</v>
      </c>
    </row>
    <row r="25" spans="1:16" ht="30" x14ac:dyDescent="0.25">
      <c r="A25" s="73" t="str">
        <f>'Exempt Employee Template'!A5</f>
        <v>OPERATIONS MANAGER</v>
      </c>
      <c r="B25" s="76">
        <f>'Exempt Employee Template'!H5</f>
        <v>1</v>
      </c>
      <c r="C25" s="76">
        <f>'Exempt Employee Template'!I5</f>
        <v>1872</v>
      </c>
      <c r="D25" s="76">
        <f>'Exempt Employee Template'!J5</f>
        <v>208</v>
      </c>
      <c r="E25" s="76">
        <f>'Exempt Employee Template'!K5</f>
        <v>2080</v>
      </c>
      <c r="F25" s="74">
        <f>'Exempt Employee Template'!L5</f>
        <v>169802.88</v>
      </c>
    </row>
    <row r="26" spans="1:16" ht="30" x14ac:dyDescent="0.25">
      <c r="A26" s="73" t="str">
        <f>'Exempt Employee Template'!A6</f>
        <v>PROJECT MANAGER</v>
      </c>
      <c r="B26" s="76">
        <f>'Exempt Employee Template'!H6</f>
        <v>1</v>
      </c>
      <c r="C26" s="76">
        <f>'Exempt Employee Template'!I6</f>
        <v>1872</v>
      </c>
      <c r="D26" s="76">
        <f>'Exempt Employee Template'!J6</f>
        <v>208</v>
      </c>
      <c r="E26" s="76">
        <f>'Exempt Employee Template'!K6</f>
        <v>2080</v>
      </c>
      <c r="F26" s="74">
        <f>'Exempt Employee Template'!L6</f>
        <v>219847.67999999999</v>
      </c>
    </row>
    <row r="27" spans="1:16" ht="30" x14ac:dyDescent="0.25">
      <c r="A27" s="73" t="str">
        <f>'Exempt Employee Template'!A7</f>
        <v>SAFETY MANAGER</v>
      </c>
      <c r="B27" s="76">
        <f>'Exempt Employee Template'!H7</f>
        <v>1</v>
      </c>
      <c r="C27" s="76">
        <f>'Exempt Employee Template'!I7</f>
        <v>1872</v>
      </c>
      <c r="D27" s="76">
        <f>'Exempt Employee Template'!J7</f>
        <v>208</v>
      </c>
      <c r="E27" s="76">
        <f>'Exempt Employee Template'!K7</f>
        <v>2080</v>
      </c>
      <c r="F27" s="74">
        <f>'Exempt Employee Template'!L7</f>
        <v>160992</v>
      </c>
    </row>
    <row r="28" spans="1:16" ht="45" x14ac:dyDescent="0.25">
      <c r="A28" s="73" t="str">
        <f>'Exempt Employee Template'!A8</f>
        <v>SECURITY GUARD MANAGER</v>
      </c>
      <c r="B28" s="76">
        <f>'Exempt Employee Template'!H8</f>
        <v>1</v>
      </c>
      <c r="C28" s="76">
        <f>'Exempt Employee Template'!I8</f>
        <v>1872</v>
      </c>
      <c r="D28" s="76">
        <f>'Exempt Employee Template'!J8</f>
        <v>208</v>
      </c>
      <c r="E28" s="76">
        <f>'Exempt Employee Template'!K8</f>
        <v>2080</v>
      </c>
      <c r="F28" s="74">
        <f>'Exempt Employee Template'!L8</f>
        <v>105930.23999999999</v>
      </c>
    </row>
    <row r="29" spans="1:16" x14ac:dyDescent="0.25">
      <c r="A29" s="78" t="str">
        <f>'Exempt Employee Template'!A9</f>
        <v>TOTAL</v>
      </c>
      <c r="B29" s="139">
        <f>'Exempt Employee Template'!H9</f>
        <v>6</v>
      </c>
      <c r="C29" s="139">
        <f>'Exempt Employee Template'!I9</f>
        <v>11232</v>
      </c>
      <c r="D29" s="139">
        <f>'Exempt Employee Template'!J9</f>
        <v>1248</v>
      </c>
      <c r="E29" s="139">
        <f>'Exempt Employee Template'!K9</f>
        <v>12480</v>
      </c>
      <c r="F29" s="79">
        <f>SUM(F23:F28)</f>
        <v>967175.04</v>
      </c>
    </row>
    <row r="30" spans="1:16" x14ac:dyDescent="0.25">
      <c r="F30" s="73" t="s">
        <v>223</v>
      </c>
      <c r="G30" s="197">
        <f>SUM(J9,J16,H21,F29)</f>
        <v>5541604.3009280004</v>
      </c>
      <c r="H30" s="198"/>
      <c r="I30" s="198"/>
      <c r="J30" s="198"/>
      <c r="K30" s="199">
        <f>SUM(N9,N16,M21,F29)</f>
        <v>5812645.9796207305</v>
      </c>
      <c r="L30" s="200"/>
      <c r="M30" s="200"/>
      <c r="N30" s="201"/>
      <c r="O30" s="74">
        <f>SUM(O9,O16,O21)</f>
        <v>271041.67869273061</v>
      </c>
      <c r="P30" s="138">
        <f>K30-G30-O30</f>
        <v>-4.6566128730773926E-10</v>
      </c>
    </row>
  </sheetData>
  <mergeCells count="8">
    <mergeCell ref="A17:E17"/>
    <mergeCell ref="A22:E22"/>
    <mergeCell ref="K1:N1"/>
    <mergeCell ref="G30:J30"/>
    <mergeCell ref="K30:N30"/>
    <mergeCell ref="F1:J1"/>
    <mergeCell ref="A2:E2"/>
    <mergeCell ref="A10:E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pageSetUpPr fitToPage="1"/>
  </sheetPr>
  <dimension ref="A1:O1000"/>
  <sheetViews>
    <sheetView workbookViewId="0"/>
  </sheetViews>
  <sheetFormatPr defaultColWidth="14.42578125" defaultRowHeight="15" customHeight="1" x14ac:dyDescent="0.25"/>
  <cols>
    <col min="1" max="1" width="8.7109375" customWidth="1"/>
    <col min="2" max="2" width="51.140625" customWidth="1"/>
    <col min="3" max="3" width="34.140625" customWidth="1"/>
    <col min="4" max="12" width="18.7109375" customWidth="1"/>
    <col min="13" max="26" width="8.7109375" customWidth="1"/>
  </cols>
  <sheetData>
    <row r="1" spans="1:15" x14ac:dyDescent="0.25">
      <c r="A1" s="13"/>
      <c r="B1" s="13"/>
      <c r="C1" s="14"/>
      <c r="D1" s="13"/>
      <c r="E1" s="13"/>
      <c r="F1" s="15"/>
      <c r="G1" s="13"/>
    </row>
    <row r="2" spans="1:15" x14ac:dyDescent="0.25">
      <c r="A2" s="13"/>
      <c r="B2" s="13"/>
      <c r="C2" s="16" t="s">
        <v>11</v>
      </c>
      <c r="D2" s="16" t="s">
        <v>12</v>
      </c>
      <c r="E2" s="16" t="s">
        <v>13</v>
      </c>
      <c r="F2" s="16" t="s">
        <v>14</v>
      </c>
      <c r="G2" s="16" t="s">
        <v>15</v>
      </c>
      <c r="H2" s="2" t="s">
        <v>13</v>
      </c>
      <c r="I2" s="2" t="s">
        <v>14</v>
      </c>
      <c r="J2" s="2" t="s">
        <v>15</v>
      </c>
      <c r="K2" s="2" t="s">
        <v>16</v>
      </c>
      <c r="L2" s="2" t="s">
        <v>17</v>
      </c>
      <c r="M2" s="8"/>
      <c r="N2" s="8"/>
    </row>
    <row r="3" spans="1:15" ht="18.75" x14ac:dyDescent="0.3">
      <c r="A3" s="13"/>
      <c r="B3" s="17" t="s">
        <v>18</v>
      </c>
      <c r="C3" s="14"/>
      <c r="D3" s="13"/>
      <c r="E3" s="210" t="s">
        <v>19</v>
      </c>
      <c r="F3" s="211"/>
      <c r="G3" s="207"/>
      <c r="H3" s="212" t="s">
        <v>20</v>
      </c>
      <c r="I3" s="213"/>
      <c r="J3" s="214"/>
      <c r="K3" s="1"/>
      <c r="L3" s="1"/>
      <c r="M3" s="8"/>
      <c r="N3" s="8"/>
      <c r="O3" s="8"/>
    </row>
    <row r="4" spans="1:15" x14ac:dyDescent="0.25">
      <c r="A4" s="13"/>
      <c r="B4" s="215" t="s">
        <v>21</v>
      </c>
      <c r="C4" s="18" t="s">
        <v>22</v>
      </c>
      <c r="D4" s="19" t="s">
        <v>23</v>
      </c>
      <c r="E4" s="20">
        <v>46</v>
      </c>
      <c r="F4" s="21">
        <v>56</v>
      </c>
      <c r="G4" s="20">
        <v>66</v>
      </c>
      <c r="H4" s="22">
        <f t="shared" ref="H4:H7" si="0">I4-_xlfn.STDEV.S(E4:G4)</f>
        <v>46</v>
      </c>
      <c r="I4" s="6">
        <f t="shared" ref="I4:I7" si="1">AVERAGE(E4:G4)</f>
        <v>56</v>
      </c>
      <c r="J4" s="22">
        <f t="shared" ref="J4:J7" si="2">I4+_xlfn.STDEV.S(E4:G4)</f>
        <v>66</v>
      </c>
      <c r="K4" s="22">
        <v>122</v>
      </c>
      <c r="L4" s="22">
        <v>155.65</v>
      </c>
      <c r="M4" s="8"/>
      <c r="N4" s="9"/>
      <c r="O4" s="9"/>
    </row>
    <row r="5" spans="1:15" x14ac:dyDescent="0.25">
      <c r="A5" s="13"/>
      <c r="B5" s="206"/>
      <c r="C5" s="13" t="s">
        <v>24</v>
      </c>
      <c r="D5" s="14" t="s">
        <v>25</v>
      </c>
      <c r="E5" s="23">
        <v>45</v>
      </c>
      <c r="F5" s="24">
        <v>75</v>
      </c>
      <c r="G5" s="23">
        <v>105</v>
      </c>
      <c r="H5" s="3">
        <f t="shared" si="0"/>
        <v>45</v>
      </c>
      <c r="I5" s="5">
        <f t="shared" si="1"/>
        <v>75</v>
      </c>
      <c r="J5" s="3">
        <f t="shared" si="2"/>
        <v>105</v>
      </c>
      <c r="K5" s="3">
        <v>160</v>
      </c>
      <c r="L5" s="3">
        <v>204.78200000000001</v>
      </c>
      <c r="M5" s="8"/>
      <c r="N5" s="9"/>
      <c r="O5" s="9"/>
    </row>
    <row r="6" spans="1:15" x14ac:dyDescent="0.25">
      <c r="A6" s="13"/>
      <c r="B6" s="206"/>
      <c r="C6" s="18" t="s">
        <v>26</v>
      </c>
      <c r="D6" s="19" t="s">
        <v>27</v>
      </c>
      <c r="E6" s="20">
        <v>60</v>
      </c>
      <c r="F6" s="21">
        <v>94</v>
      </c>
      <c r="G6" s="20">
        <v>128</v>
      </c>
      <c r="H6" s="22">
        <f t="shared" si="0"/>
        <v>60</v>
      </c>
      <c r="I6" s="6">
        <f t="shared" si="1"/>
        <v>94</v>
      </c>
      <c r="J6" s="22">
        <f t="shared" si="2"/>
        <v>128</v>
      </c>
      <c r="K6" s="22">
        <v>198</v>
      </c>
      <c r="L6" s="22">
        <v>222.28199999999998</v>
      </c>
      <c r="M6" s="8"/>
      <c r="N6" s="9"/>
      <c r="O6" s="9"/>
    </row>
    <row r="7" spans="1:15" x14ac:dyDescent="0.25">
      <c r="A7" s="13"/>
      <c r="B7" s="206"/>
      <c r="C7" s="13" t="s">
        <v>28</v>
      </c>
      <c r="D7" s="14" t="s">
        <v>29</v>
      </c>
      <c r="E7" s="23">
        <v>67</v>
      </c>
      <c r="F7" s="24">
        <v>119</v>
      </c>
      <c r="G7" s="23">
        <v>171</v>
      </c>
      <c r="H7" s="3">
        <f t="shared" si="0"/>
        <v>67</v>
      </c>
      <c r="I7" s="5">
        <f t="shared" si="1"/>
        <v>119</v>
      </c>
      <c r="J7" s="3">
        <f t="shared" si="2"/>
        <v>171</v>
      </c>
      <c r="K7" s="3">
        <v>250</v>
      </c>
      <c r="L7" s="3">
        <v>278.59199999999998</v>
      </c>
      <c r="M7" s="8"/>
      <c r="N7" s="9"/>
      <c r="O7" s="9"/>
    </row>
    <row r="8" spans="1:15" x14ac:dyDescent="0.25">
      <c r="A8" s="13"/>
      <c r="B8" s="207"/>
      <c r="C8" s="18" t="s">
        <v>30</v>
      </c>
      <c r="D8" s="19" t="s">
        <v>31</v>
      </c>
      <c r="E8" s="25">
        <v>83</v>
      </c>
      <c r="F8" s="26">
        <v>141</v>
      </c>
      <c r="G8" s="20">
        <v>199</v>
      </c>
      <c r="H8" s="1"/>
      <c r="I8" s="4"/>
      <c r="J8" s="1"/>
      <c r="K8" s="1"/>
      <c r="L8" s="3"/>
      <c r="M8" s="8"/>
      <c r="N8" s="9"/>
      <c r="O8" s="9"/>
    </row>
    <row r="9" spans="1:15" ht="18.75" x14ac:dyDescent="0.3">
      <c r="A9" s="13"/>
      <c r="B9" s="17" t="s">
        <v>32</v>
      </c>
      <c r="C9" s="14"/>
      <c r="D9" s="13"/>
      <c r="E9" s="13"/>
      <c r="F9" s="15"/>
      <c r="G9" s="27"/>
      <c r="H9" s="1"/>
      <c r="I9" s="4"/>
      <c r="J9" s="1"/>
      <c r="K9" s="1"/>
      <c r="L9" s="3"/>
      <c r="M9" s="8"/>
      <c r="N9" s="9"/>
      <c r="O9" s="9"/>
    </row>
    <row r="10" spans="1:15" x14ac:dyDescent="0.25">
      <c r="A10" s="13"/>
      <c r="B10" s="205" t="s">
        <v>33</v>
      </c>
      <c r="C10" s="18" t="s">
        <v>34</v>
      </c>
      <c r="D10" s="19" t="s">
        <v>23</v>
      </c>
      <c r="E10" s="28">
        <v>55</v>
      </c>
      <c r="F10" s="29">
        <v>61</v>
      </c>
      <c r="G10" s="20">
        <v>67</v>
      </c>
      <c r="H10" s="22">
        <f t="shared" ref="H10:H13" si="3">I10-_xlfn.STDEV.S(E10:G10)</f>
        <v>55</v>
      </c>
      <c r="I10" s="6">
        <f t="shared" ref="I10:I13" si="4">AVERAGE(E10:G10)</f>
        <v>61</v>
      </c>
      <c r="J10" s="22">
        <f t="shared" ref="J10:J13" si="5">I10+_xlfn.STDEV.S(E10:G10)</f>
        <v>67</v>
      </c>
      <c r="K10" s="22">
        <v>126</v>
      </c>
      <c r="L10" s="22">
        <v>150.97399999999999</v>
      </c>
      <c r="M10" s="8"/>
      <c r="N10" s="9"/>
      <c r="O10" s="9"/>
    </row>
    <row r="11" spans="1:15" x14ac:dyDescent="0.25">
      <c r="A11" s="13"/>
      <c r="B11" s="206"/>
      <c r="C11" s="13" t="s">
        <v>7</v>
      </c>
      <c r="D11" s="14" t="s">
        <v>25</v>
      </c>
      <c r="E11" s="30">
        <v>59</v>
      </c>
      <c r="F11" s="31">
        <v>77</v>
      </c>
      <c r="G11" s="23">
        <v>95</v>
      </c>
      <c r="H11" s="3">
        <f t="shared" si="3"/>
        <v>59</v>
      </c>
      <c r="I11" s="5">
        <f t="shared" si="4"/>
        <v>77</v>
      </c>
      <c r="J11" s="3">
        <f t="shared" si="5"/>
        <v>95</v>
      </c>
      <c r="K11" s="3">
        <v>160</v>
      </c>
      <c r="L11" s="3">
        <v>187.45400000000001</v>
      </c>
      <c r="M11" s="8"/>
      <c r="N11" s="9"/>
      <c r="O11" s="9"/>
    </row>
    <row r="12" spans="1:15" x14ac:dyDescent="0.25">
      <c r="A12" s="13"/>
      <c r="B12" s="206"/>
      <c r="C12" s="18" t="s">
        <v>6</v>
      </c>
      <c r="D12" s="19" t="s">
        <v>27</v>
      </c>
      <c r="E12" s="28">
        <v>58</v>
      </c>
      <c r="F12" s="29">
        <v>92</v>
      </c>
      <c r="G12" s="20">
        <v>126</v>
      </c>
      <c r="H12" s="22">
        <f t="shared" si="3"/>
        <v>58</v>
      </c>
      <c r="I12" s="6">
        <f t="shared" si="4"/>
        <v>92</v>
      </c>
      <c r="J12" s="22">
        <f t="shared" si="5"/>
        <v>126</v>
      </c>
      <c r="K12" s="22">
        <v>198</v>
      </c>
      <c r="L12" s="22">
        <v>224.64000000000001</v>
      </c>
      <c r="M12" s="8"/>
      <c r="N12" s="9"/>
      <c r="O12" s="9"/>
    </row>
    <row r="13" spans="1:15" x14ac:dyDescent="0.25">
      <c r="A13" s="13"/>
      <c r="B13" s="206"/>
      <c r="C13" s="13" t="s">
        <v>5</v>
      </c>
      <c r="D13" s="14" t="s">
        <v>29</v>
      </c>
      <c r="E13" s="30">
        <v>63</v>
      </c>
      <c r="F13" s="31">
        <v>117</v>
      </c>
      <c r="G13" s="23">
        <v>171</v>
      </c>
      <c r="H13" s="3">
        <f t="shared" si="3"/>
        <v>63</v>
      </c>
      <c r="I13" s="5">
        <f t="shared" si="4"/>
        <v>117</v>
      </c>
      <c r="J13" s="3">
        <f t="shared" si="5"/>
        <v>171</v>
      </c>
      <c r="K13" s="3">
        <v>245</v>
      </c>
      <c r="L13" s="3">
        <v>278.90600000000001</v>
      </c>
      <c r="M13" s="8"/>
      <c r="N13" s="9"/>
      <c r="O13" s="9"/>
    </row>
    <row r="14" spans="1:15" x14ac:dyDescent="0.25">
      <c r="A14" s="13"/>
      <c r="B14" s="207"/>
      <c r="C14" s="18" t="s">
        <v>35</v>
      </c>
      <c r="D14" s="19" t="s">
        <v>31</v>
      </c>
      <c r="E14" s="25">
        <v>75</v>
      </c>
      <c r="F14" s="26">
        <v>139</v>
      </c>
      <c r="G14" s="20">
        <v>203</v>
      </c>
      <c r="H14" s="3"/>
      <c r="I14" s="4"/>
      <c r="J14" s="3"/>
      <c r="K14" s="1"/>
      <c r="L14" s="1"/>
      <c r="M14" s="8"/>
      <c r="N14" s="9"/>
      <c r="O14" s="9"/>
    </row>
    <row r="15" spans="1:15" ht="18.75" x14ac:dyDescent="0.3">
      <c r="A15" s="13"/>
      <c r="B15" s="17" t="s">
        <v>36</v>
      </c>
      <c r="C15" s="14"/>
      <c r="D15" s="13"/>
      <c r="E15" s="13"/>
      <c r="F15" s="15"/>
      <c r="G15" s="27"/>
      <c r="H15" s="3"/>
      <c r="I15" s="4"/>
      <c r="J15" s="3"/>
      <c r="K15" s="1"/>
      <c r="L15" s="1"/>
      <c r="M15" s="8"/>
      <c r="N15" s="9"/>
      <c r="O15" s="9"/>
    </row>
    <row r="16" spans="1:15" x14ac:dyDescent="0.25">
      <c r="A16" s="13"/>
      <c r="B16" s="205" t="s">
        <v>37</v>
      </c>
      <c r="C16" s="18" t="s">
        <v>38</v>
      </c>
      <c r="D16" s="19" t="s">
        <v>23</v>
      </c>
      <c r="E16" s="20">
        <v>24</v>
      </c>
      <c r="F16" s="21">
        <v>48</v>
      </c>
      <c r="G16" s="20">
        <v>72</v>
      </c>
      <c r="H16" s="22">
        <f t="shared" ref="H16:H19" si="6">I16-_xlfn.STDEV.S(E16:G16)</f>
        <v>24</v>
      </c>
      <c r="I16" s="6">
        <f t="shared" ref="I16:I19" si="7">AVERAGE(E16:G16)</f>
        <v>48</v>
      </c>
      <c r="J16" s="22">
        <f t="shared" ref="J16:J19" si="8">I16+_xlfn.STDEV.S(E16:G16)</f>
        <v>72</v>
      </c>
      <c r="K16" s="22">
        <v>118</v>
      </c>
      <c r="L16" s="22">
        <v>136.96</v>
      </c>
      <c r="M16" s="8"/>
      <c r="N16" s="9"/>
      <c r="O16" s="9"/>
    </row>
    <row r="17" spans="1:15" x14ac:dyDescent="0.25">
      <c r="A17" s="13"/>
      <c r="B17" s="206"/>
      <c r="C17" s="13" t="s">
        <v>39</v>
      </c>
      <c r="D17" s="14" t="s">
        <v>25</v>
      </c>
      <c r="E17" s="23">
        <v>40</v>
      </c>
      <c r="F17" s="24">
        <v>66</v>
      </c>
      <c r="G17" s="23">
        <v>92</v>
      </c>
      <c r="H17" s="3">
        <f t="shared" si="6"/>
        <v>40</v>
      </c>
      <c r="I17" s="5">
        <f t="shared" si="7"/>
        <v>66</v>
      </c>
      <c r="J17" s="3">
        <f t="shared" si="8"/>
        <v>92</v>
      </c>
      <c r="K17" s="3">
        <v>150</v>
      </c>
      <c r="L17" s="3">
        <v>168.12666666666667</v>
      </c>
      <c r="M17" s="8"/>
      <c r="N17" s="9"/>
      <c r="O17" s="9"/>
    </row>
    <row r="18" spans="1:15" x14ac:dyDescent="0.25">
      <c r="A18" s="13"/>
      <c r="B18" s="206"/>
      <c r="C18" s="18" t="s">
        <v>40</v>
      </c>
      <c r="D18" s="19" t="s">
        <v>27</v>
      </c>
      <c r="E18" s="20">
        <v>42</v>
      </c>
      <c r="F18" s="21">
        <v>82</v>
      </c>
      <c r="G18" s="20">
        <v>122</v>
      </c>
      <c r="H18" s="22">
        <f t="shared" si="6"/>
        <v>42</v>
      </c>
      <c r="I18" s="6">
        <f t="shared" si="7"/>
        <v>82</v>
      </c>
      <c r="J18" s="22">
        <f t="shared" si="8"/>
        <v>122</v>
      </c>
      <c r="K18" s="22">
        <v>186</v>
      </c>
      <c r="L18" s="22">
        <v>203.74666666666667</v>
      </c>
      <c r="M18" s="8"/>
      <c r="N18" s="9"/>
      <c r="O18" s="9"/>
    </row>
    <row r="19" spans="1:15" x14ac:dyDescent="0.25">
      <c r="A19" s="13"/>
      <c r="B19" s="206"/>
      <c r="C19" s="13" t="s">
        <v>41</v>
      </c>
      <c r="D19" s="14" t="s">
        <v>29</v>
      </c>
      <c r="E19" s="23">
        <v>54</v>
      </c>
      <c r="F19" s="24">
        <v>104</v>
      </c>
      <c r="G19" s="23">
        <v>154</v>
      </c>
      <c r="H19" s="3">
        <f t="shared" si="6"/>
        <v>54</v>
      </c>
      <c r="I19" s="5">
        <f t="shared" si="7"/>
        <v>104</v>
      </c>
      <c r="J19" s="3">
        <f t="shared" si="8"/>
        <v>154</v>
      </c>
      <c r="K19" s="3">
        <v>239</v>
      </c>
      <c r="L19" s="3">
        <v>246.01000000000002</v>
      </c>
      <c r="M19" s="8"/>
      <c r="N19" s="9"/>
      <c r="O19" s="9"/>
    </row>
    <row r="20" spans="1:15" x14ac:dyDescent="0.25">
      <c r="A20" s="13"/>
      <c r="B20" s="207"/>
      <c r="C20" s="18" t="s">
        <v>42</v>
      </c>
      <c r="D20" s="19" t="s">
        <v>31</v>
      </c>
      <c r="E20" s="25">
        <v>70</v>
      </c>
      <c r="F20" s="26">
        <v>126</v>
      </c>
      <c r="G20" s="20">
        <v>182</v>
      </c>
      <c r="H20" s="3"/>
      <c r="I20" s="4"/>
      <c r="J20" s="3"/>
      <c r="K20" s="1"/>
      <c r="L20" s="1"/>
      <c r="M20" s="8"/>
      <c r="N20" s="9"/>
      <c r="O20" s="9"/>
    </row>
    <row r="21" spans="1:15" ht="15.75" customHeight="1" x14ac:dyDescent="0.3">
      <c r="A21" s="13"/>
      <c r="B21" s="17" t="s">
        <v>43</v>
      </c>
      <c r="C21" s="14"/>
      <c r="D21" s="13"/>
      <c r="E21" s="13"/>
      <c r="F21" s="15"/>
      <c r="G21" s="27"/>
      <c r="H21" s="3"/>
      <c r="I21" s="4"/>
      <c r="J21" s="3"/>
      <c r="K21" s="1"/>
      <c r="L21" s="1"/>
      <c r="M21" s="8"/>
      <c r="N21" s="9"/>
      <c r="O21" s="9"/>
    </row>
    <row r="22" spans="1:15" ht="15.75" customHeight="1" x14ac:dyDescent="0.25">
      <c r="A22" s="13"/>
      <c r="B22" s="205" t="s">
        <v>44</v>
      </c>
      <c r="C22" s="18" t="s">
        <v>4</v>
      </c>
      <c r="D22" s="19" t="s">
        <v>23</v>
      </c>
      <c r="E22" s="28">
        <v>46</v>
      </c>
      <c r="F22" s="29">
        <v>58</v>
      </c>
      <c r="G22" s="20">
        <v>70</v>
      </c>
      <c r="H22" s="22">
        <f t="shared" ref="H22:H25" si="9">I22-_xlfn.STDEV.S(E22:G22)</f>
        <v>46</v>
      </c>
      <c r="I22" s="6">
        <f t="shared" ref="I22:I25" si="10">AVERAGE(E22:G22)</f>
        <v>58</v>
      </c>
      <c r="J22" s="22">
        <f t="shared" ref="J22:J25" si="11">I22+_xlfn.STDEV.S(E22:G22)</f>
        <v>70</v>
      </c>
      <c r="K22" s="22">
        <v>120</v>
      </c>
      <c r="L22" s="22">
        <v>123.53333333333335</v>
      </c>
      <c r="M22" s="8"/>
      <c r="N22" s="9"/>
      <c r="O22" s="9"/>
    </row>
    <row r="23" spans="1:15" ht="15.75" customHeight="1" x14ac:dyDescent="0.25">
      <c r="A23" s="13"/>
      <c r="B23" s="206"/>
      <c r="C23" s="13" t="s">
        <v>3</v>
      </c>
      <c r="D23" s="14" t="s">
        <v>25</v>
      </c>
      <c r="E23" s="30">
        <v>53</v>
      </c>
      <c r="F23" s="31">
        <v>77</v>
      </c>
      <c r="G23" s="23">
        <v>101</v>
      </c>
      <c r="H23" s="3">
        <f t="shared" si="9"/>
        <v>53</v>
      </c>
      <c r="I23" s="5">
        <f t="shared" si="10"/>
        <v>77</v>
      </c>
      <c r="J23" s="3">
        <f t="shared" si="11"/>
        <v>101</v>
      </c>
      <c r="K23" s="3">
        <v>149</v>
      </c>
      <c r="L23" s="3">
        <v>150.19499999999996</v>
      </c>
      <c r="M23" s="8"/>
      <c r="N23" s="9"/>
      <c r="O23" s="9"/>
    </row>
    <row r="24" spans="1:15" ht="15.75" customHeight="1" x14ac:dyDescent="0.25">
      <c r="A24" s="13"/>
      <c r="B24" s="206"/>
      <c r="C24" s="18" t="s">
        <v>45</v>
      </c>
      <c r="D24" s="19" t="s">
        <v>27</v>
      </c>
      <c r="E24" s="28">
        <v>69</v>
      </c>
      <c r="F24" s="29">
        <v>101</v>
      </c>
      <c r="G24" s="20">
        <v>133</v>
      </c>
      <c r="H24" s="22">
        <f t="shared" si="9"/>
        <v>69</v>
      </c>
      <c r="I24" s="6">
        <f t="shared" si="10"/>
        <v>101</v>
      </c>
      <c r="J24" s="22">
        <f t="shared" si="11"/>
        <v>133</v>
      </c>
      <c r="K24" s="22">
        <v>187</v>
      </c>
      <c r="L24" s="22">
        <v>183.32333333333335</v>
      </c>
      <c r="M24" s="8"/>
      <c r="N24" s="8"/>
      <c r="O24" s="8"/>
    </row>
    <row r="25" spans="1:15" ht="15.75" customHeight="1" x14ac:dyDescent="0.25">
      <c r="A25" s="13"/>
      <c r="B25" s="206"/>
      <c r="C25" s="13" t="s">
        <v>10</v>
      </c>
      <c r="D25" s="14" t="s">
        <v>29</v>
      </c>
      <c r="E25" s="30">
        <v>88</v>
      </c>
      <c r="F25" s="31">
        <v>124</v>
      </c>
      <c r="G25" s="23">
        <v>160</v>
      </c>
      <c r="H25" s="3">
        <f t="shared" si="9"/>
        <v>88</v>
      </c>
      <c r="I25" s="5">
        <f t="shared" si="10"/>
        <v>124</v>
      </c>
      <c r="J25" s="3">
        <f t="shared" si="11"/>
        <v>160</v>
      </c>
      <c r="K25" s="3">
        <v>235</v>
      </c>
      <c r="L25" s="3">
        <v>225.00666666666666</v>
      </c>
      <c r="M25" s="8"/>
      <c r="N25" s="8"/>
    </row>
    <row r="26" spans="1:15" ht="15.75" customHeight="1" x14ac:dyDescent="0.25">
      <c r="A26" s="13"/>
      <c r="B26" s="207"/>
      <c r="C26" s="18" t="s">
        <v>46</v>
      </c>
      <c r="D26" s="19" t="s">
        <v>31</v>
      </c>
      <c r="E26" s="25">
        <v>110</v>
      </c>
      <c r="F26" s="26">
        <v>152</v>
      </c>
      <c r="G26" s="20">
        <v>194</v>
      </c>
      <c r="H26" s="3"/>
      <c r="I26" s="4"/>
      <c r="J26" s="3"/>
      <c r="K26" s="1"/>
      <c r="L26" s="1"/>
      <c r="M26" s="8"/>
      <c r="N26" s="8"/>
    </row>
    <row r="27" spans="1:15" ht="15.75" customHeight="1" x14ac:dyDescent="0.3">
      <c r="A27" s="13"/>
      <c r="B27" s="17" t="s">
        <v>47</v>
      </c>
      <c r="C27" s="14"/>
      <c r="D27" s="13"/>
      <c r="E27" s="13"/>
      <c r="F27" s="15"/>
      <c r="G27" s="27"/>
      <c r="H27" s="3"/>
      <c r="I27" s="4"/>
      <c r="J27" s="3"/>
      <c r="K27" s="1"/>
      <c r="L27" s="1"/>
      <c r="M27" s="8"/>
      <c r="N27" s="8"/>
    </row>
    <row r="28" spans="1:15" ht="15.75" customHeight="1" x14ac:dyDescent="0.25">
      <c r="A28" s="13"/>
      <c r="B28" s="205" t="s">
        <v>48</v>
      </c>
      <c r="C28" s="18" t="s">
        <v>49</v>
      </c>
      <c r="D28" s="19" t="s">
        <v>23</v>
      </c>
      <c r="E28" s="20">
        <v>44</v>
      </c>
      <c r="F28" s="21">
        <v>54</v>
      </c>
      <c r="G28" s="20">
        <v>64</v>
      </c>
      <c r="H28" s="22">
        <f t="shared" ref="H28:H30" si="12">I28-_xlfn.STDEV.S(E28:G28)</f>
        <v>44</v>
      </c>
      <c r="I28" s="6">
        <f t="shared" ref="I28:I31" si="13">AVERAGE(E28:G28)</f>
        <v>54</v>
      </c>
      <c r="J28" s="22">
        <f t="shared" ref="J28:J30" si="14">I28+_xlfn.STDEV.S(E28:G28)</f>
        <v>64</v>
      </c>
      <c r="K28" s="22">
        <v>119</v>
      </c>
      <c r="L28" s="22">
        <v>79.314000000000007</v>
      </c>
      <c r="M28" s="8"/>
      <c r="N28" s="8"/>
    </row>
    <row r="29" spans="1:15" ht="15.75" customHeight="1" x14ac:dyDescent="0.25">
      <c r="A29" s="13"/>
      <c r="B29" s="206"/>
      <c r="C29" s="13" t="s">
        <v>9</v>
      </c>
      <c r="D29" s="14" t="s">
        <v>25</v>
      </c>
      <c r="E29" s="23">
        <v>58</v>
      </c>
      <c r="F29" s="24">
        <v>72</v>
      </c>
      <c r="G29" s="23">
        <v>86</v>
      </c>
      <c r="H29" s="3">
        <f t="shared" si="12"/>
        <v>58</v>
      </c>
      <c r="I29" s="5">
        <f t="shared" si="13"/>
        <v>72</v>
      </c>
      <c r="J29" s="3">
        <f t="shared" si="14"/>
        <v>86</v>
      </c>
      <c r="K29" s="3">
        <v>151</v>
      </c>
      <c r="L29" s="3">
        <v>102.97999999999999</v>
      </c>
      <c r="M29" s="8"/>
      <c r="N29" s="8"/>
    </row>
    <row r="30" spans="1:15" ht="15.75" customHeight="1" x14ac:dyDescent="0.25">
      <c r="A30" s="13"/>
      <c r="B30" s="206"/>
      <c r="C30" s="18" t="s">
        <v>8</v>
      </c>
      <c r="D30" s="19" t="s">
        <v>27</v>
      </c>
      <c r="E30" s="20">
        <v>71</v>
      </c>
      <c r="F30" s="21">
        <v>89</v>
      </c>
      <c r="G30" s="20">
        <v>107</v>
      </c>
      <c r="H30" s="22">
        <f t="shared" si="12"/>
        <v>71</v>
      </c>
      <c r="I30" s="6">
        <f t="shared" si="13"/>
        <v>89</v>
      </c>
      <c r="J30" s="22">
        <f t="shared" si="14"/>
        <v>107</v>
      </c>
      <c r="K30" s="22">
        <v>184</v>
      </c>
      <c r="L30" s="22">
        <v>130.53000000000003</v>
      </c>
      <c r="M30" s="8"/>
      <c r="N30" s="8"/>
    </row>
    <row r="31" spans="1:15" ht="15.75" customHeight="1" x14ac:dyDescent="0.25">
      <c r="A31" s="13"/>
      <c r="B31" s="206"/>
      <c r="C31" s="13" t="s">
        <v>50</v>
      </c>
      <c r="D31" s="14" t="s">
        <v>29</v>
      </c>
      <c r="E31" s="23">
        <v>81</v>
      </c>
      <c r="F31" s="32">
        <v>113</v>
      </c>
      <c r="G31" s="23">
        <v>145</v>
      </c>
      <c r="H31" s="3">
        <f>0.93*I31</f>
        <v>105.09</v>
      </c>
      <c r="I31" s="5">
        <f t="shared" si="13"/>
        <v>113</v>
      </c>
      <c r="J31" s="3">
        <f>I31*1.07</f>
        <v>120.91000000000001</v>
      </c>
      <c r="K31" s="3">
        <v>233</v>
      </c>
      <c r="L31" s="3">
        <v>158.15600000000001</v>
      </c>
      <c r="M31" s="8"/>
      <c r="N31" s="8"/>
    </row>
    <row r="32" spans="1:15" ht="15.75" customHeight="1" x14ac:dyDescent="0.25">
      <c r="A32" s="13"/>
      <c r="B32" s="207"/>
      <c r="C32" s="18" t="s">
        <v>51</v>
      </c>
      <c r="D32" s="19" t="s">
        <v>31</v>
      </c>
      <c r="E32" s="25">
        <v>93</v>
      </c>
      <c r="F32" s="26">
        <v>139</v>
      </c>
      <c r="G32" s="20">
        <v>185</v>
      </c>
      <c r="H32" s="1"/>
      <c r="I32" s="1"/>
      <c r="J32" s="1"/>
      <c r="K32" s="1"/>
      <c r="L32" s="1"/>
      <c r="M32" s="8"/>
      <c r="N32" s="8"/>
    </row>
    <row r="33" spans="1:14" ht="15.75" customHeight="1" x14ac:dyDescent="0.3">
      <c r="A33" s="13"/>
      <c r="B33" s="17" t="s">
        <v>52</v>
      </c>
      <c r="C33" s="14"/>
      <c r="D33" s="13"/>
      <c r="E33" s="13"/>
      <c r="F33" s="15"/>
      <c r="G33" s="13"/>
      <c r="H33" s="33"/>
      <c r="I33" s="33"/>
      <c r="J33" s="33"/>
      <c r="K33" s="33"/>
      <c r="L33" s="34"/>
      <c r="M33" s="8"/>
      <c r="N33" s="8"/>
    </row>
    <row r="34" spans="1:14" ht="15.75" customHeight="1" x14ac:dyDescent="0.25">
      <c r="A34" s="13"/>
      <c r="B34" s="35" t="s">
        <v>53</v>
      </c>
      <c r="C34" s="18" t="s">
        <v>54</v>
      </c>
      <c r="D34" s="18"/>
      <c r="E34" s="18"/>
      <c r="F34" s="36"/>
      <c r="G34" s="37"/>
      <c r="H34" s="38"/>
      <c r="I34" s="38"/>
      <c r="J34" s="38"/>
      <c r="K34" s="38"/>
      <c r="L34" s="39"/>
      <c r="M34" s="8"/>
      <c r="N34" s="8"/>
    </row>
    <row r="35" spans="1:14" ht="15.75" customHeight="1" x14ac:dyDescent="0.25">
      <c r="A35" s="13"/>
      <c r="B35" s="35" t="s">
        <v>55</v>
      </c>
      <c r="C35" s="13" t="s">
        <v>56</v>
      </c>
      <c r="D35" s="13"/>
      <c r="E35" s="13"/>
      <c r="F35" s="15"/>
      <c r="G35" s="13"/>
      <c r="H35" s="38"/>
      <c r="I35" s="38"/>
      <c r="J35" s="38"/>
      <c r="K35" s="38"/>
      <c r="L35" s="39"/>
    </row>
    <row r="36" spans="1:14" ht="15.75" customHeight="1" x14ac:dyDescent="0.25">
      <c r="A36" s="13"/>
      <c r="B36" s="35" t="s">
        <v>57</v>
      </c>
      <c r="C36" s="18" t="s">
        <v>58</v>
      </c>
      <c r="D36" s="18"/>
      <c r="E36" s="18"/>
      <c r="F36" s="36"/>
      <c r="G36" s="18"/>
      <c r="H36" s="40"/>
      <c r="I36" s="40"/>
      <c r="J36" s="40"/>
      <c r="K36" s="40"/>
      <c r="L36" s="41"/>
    </row>
    <row r="37" spans="1:14" ht="15.75" customHeight="1" x14ac:dyDescent="0.25">
      <c r="A37" s="13"/>
      <c r="B37" s="42" t="s">
        <v>59</v>
      </c>
      <c r="C37" s="13" t="s">
        <v>60</v>
      </c>
      <c r="D37" s="13"/>
      <c r="E37" s="13"/>
      <c r="F37" s="15"/>
      <c r="G37" s="13"/>
    </row>
    <row r="38" spans="1:14" ht="15.75" customHeight="1" x14ac:dyDescent="0.25">
      <c r="A38" s="13"/>
      <c r="B38" s="35" t="s">
        <v>61</v>
      </c>
      <c r="C38" s="18" t="s">
        <v>62</v>
      </c>
      <c r="D38" s="18"/>
      <c r="E38" s="18"/>
      <c r="F38" s="36"/>
      <c r="G38" s="18"/>
    </row>
    <row r="39" spans="1:14" ht="15.75" customHeight="1" x14ac:dyDescent="0.25">
      <c r="A39" s="13"/>
      <c r="B39" s="35" t="s">
        <v>63</v>
      </c>
      <c r="C39" s="13" t="s">
        <v>64</v>
      </c>
      <c r="D39" s="13"/>
      <c r="E39" s="13"/>
      <c r="F39" s="15"/>
      <c r="G39" s="13"/>
    </row>
    <row r="40" spans="1:14" ht="15.75" customHeight="1" x14ac:dyDescent="0.25">
      <c r="A40" s="13"/>
      <c r="B40" s="42" t="s">
        <v>65</v>
      </c>
      <c r="C40" s="18" t="s">
        <v>66</v>
      </c>
      <c r="D40" s="18"/>
      <c r="E40" s="18"/>
      <c r="F40" s="36"/>
      <c r="G40" s="18"/>
    </row>
    <row r="41" spans="1:14" ht="15.75" customHeight="1" x14ac:dyDescent="0.25">
      <c r="A41" s="13"/>
      <c r="B41" s="35" t="s">
        <v>67</v>
      </c>
      <c r="C41" s="13" t="s">
        <v>68</v>
      </c>
      <c r="D41" s="13"/>
      <c r="E41" s="13"/>
      <c r="F41" s="15"/>
      <c r="G41" s="13"/>
    </row>
    <row r="42" spans="1:14" ht="15.75" customHeight="1" x14ac:dyDescent="0.25">
      <c r="A42" s="13"/>
      <c r="B42" s="13"/>
      <c r="C42" s="18" t="s">
        <v>69</v>
      </c>
      <c r="D42" s="18"/>
      <c r="E42" s="18"/>
      <c r="F42" s="36"/>
      <c r="G42" s="18"/>
    </row>
    <row r="43" spans="1:14" ht="15.75" customHeight="1" x14ac:dyDescent="0.25">
      <c r="A43" s="13"/>
      <c r="B43" s="13"/>
      <c r="C43" s="13" t="s">
        <v>70</v>
      </c>
      <c r="D43" s="13"/>
      <c r="E43" s="13"/>
      <c r="F43" s="15"/>
      <c r="G43" s="13"/>
    </row>
    <row r="44" spans="1:14" ht="15.75" customHeight="1" x14ac:dyDescent="0.25">
      <c r="A44" s="13"/>
      <c r="B44" s="42" t="s">
        <v>71</v>
      </c>
      <c r="C44" s="18" t="s">
        <v>72</v>
      </c>
      <c r="D44" s="18"/>
      <c r="E44" s="18"/>
      <c r="F44" s="36"/>
      <c r="G44" s="18"/>
    </row>
    <row r="45" spans="1:14" ht="15.75" customHeight="1" x14ac:dyDescent="0.25">
      <c r="A45" s="13"/>
      <c r="B45" s="42" t="s">
        <v>73</v>
      </c>
      <c r="C45" s="13" t="s">
        <v>74</v>
      </c>
      <c r="D45" s="13"/>
      <c r="E45" s="13"/>
      <c r="F45" s="15"/>
      <c r="G45" s="13"/>
    </row>
    <row r="46" spans="1:14" ht="15.75" customHeight="1" x14ac:dyDescent="0.25">
      <c r="A46" s="13"/>
      <c r="B46" s="35"/>
      <c r="C46" s="13"/>
      <c r="D46" s="13"/>
      <c r="E46" s="13"/>
      <c r="F46" s="15"/>
      <c r="G46" s="13"/>
    </row>
    <row r="47" spans="1:14" ht="15.75" customHeight="1" x14ac:dyDescent="0.25">
      <c r="A47" s="13"/>
      <c r="B47" s="208" t="s">
        <v>75</v>
      </c>
      <c r="C47" s="209"/>
      <c r="D47" s="209"/>
      <c r="E47" s="209"/>
      <c r="F47" s="209"/>
      <c r="G47" s="209"/>
    </row>
    <row r="48" spans="1:14" ht="15.75" customHeight="1" x14ac:dyDescent="0.25">
      <c r="A48" s="13"/>
      <c r="B48" s="209"/>
      <c r="C48" s="209"/>
      <c r="D48" s="209"/>
      <c r="E48" s="209"/>
      <c r="F48" s="209"/>
      <c r="G48" s="209"/>
    </row>
    <row r="49" spans="1:7" ht="15.75" customHeight="1" x14ac:dyDescent="0.25">
      <c r="A49" s="13"/>
      <c r="B49" s="209"/>
      <c r="C49" s="209"/>
      <c r="D49" s="209"/>
      <c r="E49" s="209"/>
      <c r="F49" s="209"/>
      <c r="G49" s="209"/>
    </row>
    <row r="50" spans="1:7" ht="15.75" customHeight="1" x14ac:dyDescent="0.25">
      <c r="A50" s="13"/>
      <c r="B50" s="209"/>
      <c r="C50" s="209"/>
      <c r="D50" s="209"/>
      <c r="E50" s="209"/>
      <c r="F50" s="209"/>
      <c r="G50" s="209"/>
    </row>
    <row r="51" spans="1:7" ht="15.75" customHeight="1" x14ac:dyDescent="0.25">
      <c r="A51" s="13"/>
      <c r="B51" s="209"/>
      <c r="C51" s="209"/>
      <c r="D51" s="209"/>
      <c r="E51" s="209"/>
      <c r="F51" s="209"/>
      <c r="G51" s="209"/>
    </row>
    <row r="52" spans="1:7" ht="15.75" customHeight="1" x14ac:dyDescent="0.25">
      <c r="A52" s="13"/>
      <c r="B52" s="209"/>
      <c r="C52" s="209"/>
      <c r="D52" s="209"/>
      <c r="E52" s="209"/>
      <c r="F52" s="209"/>
      <c r="G52" s="209"/>
    </row>
    <row r="53" spans="1:7" ht="15.75" customHeight="1" x14ac:dyDescent="0.25">
      <c r="A53" s="13"/>
      <c r="B53" s="209"/>
      <c r="C53" s="209"/>
      <c r="D53" s="209"/>
      <c r="E53" s="209"/>
      <c r="F53" s="209"/>
      <c r="G53" s="209"/>
    </row>
    <row r="54" spans="1:7" ht="15.75" customHeight="1" x14ac:dyDescent="0.25">
      <c r="C54" s="11"/>
    </row>
    <row r="55" spans="1:7" ht="15.75" customHeight="1" x14ac:dyDescent="0.25">
      <c r="C55" s="11"/>
    </row>
    <row r="56" spans="1:7" ht="15.75" customHeight="1" x14ac:dyDescent="0.25">
      <c r="C56" s="11"/>
    </row>
    <row r="57" spans="1:7" ht="15.75" customHeight="1" x14ac:dyDescent="0.25">
      <c r="C57" s="11"/>
    </row>
    <row r="58" spans="1:7" ht="15.75" customHeight="1" x14ac:dyDescent="0.25">
      <c r="C58" s="11"/>
    </row>
    <row r="59" spans="1:7" ht="15.75" customHeight="1" x14ac:dyDescent="0.25">
      <c r="C59" s="11"/>
    </row>
    <row r="60" spans="1:7" ht="15.75" customHeight="1" x14ac:dyDescent="0.25">
      <c r="C60" s="11"/>
    </row>
    <row r="61" spans="1:7" ht="15.75" customHeight="1" x14ac:dyDescent="0.25">
      <c r="C61" s="11"/>
    </row>
    <row r="62" spans="1:7" ht="15.75" customHeight="1" x14ac:dyDescent="0.25">
      <c r="C62" s="11"/>
    </row>
    <row r="63" spans="1:7" ht="15.75" customHeight="1" x14ac:dyDescent="0.25">
      <c r="C63" s="11"/>
    </row>
    <row r="64" spans="1:7" ht="15.75" customHeight="1" x14ac:dyDescent="0.25">
      <c r="C64" s="11"/>
    </row>
    <row r="65" spans="3:3" ht="15.75" customHeight="1" x14ac:dyDescent="0.25">
      <c r="C65" s="11"/>
    </row>
    <row r="66" spans="3:3" ht="15.75" customHeight="1" x14ac:dyDescent="0.25">
      <c r="C66" s="11"/>
    </row>
    <row r="67" spans="3:3" ht="15.75" customHeight="1" x14ac:dyDescent="0.25">
      <c r="C67" s="11"/>
    </row>
    <row r="68" spans="3:3" ht="15.75" customHeight="1" x14ac:dyDescent="0.25">
      <c r="C68" s="11"/>
    </row>
    <row r="69" spans="3:3" ht="15.75" customHeight="1" x14ac:dyDescent="0.25">
      <c r="C69" s="11"/>
    </row>
    <row r="70" spans="3:3" ht="15.75" customHeight="1" x14ac:dyDescent="0.25">
      <c r="C70" s="11"/>
    </row>
    <row r="71" spans="3:3" ht="15.75" customHeight="1" x14ac:dyDescent="0.25">
      <c r="C71" s="11"/>
    </row>
    <row r="72" spans="3:3" ht="15.75" customHeight="1" x14ac:dyDescent="0.25">
      <c r="C72" s="11"/>
    </row>
    <row r="73" spans="3:3" ht="15.75" customHeight="1" x14ac:dyDescent="0.25">
      <c r="C73" s="11"/>
    </row>
    <row r="74" spans="3:3" ht="15.75" customHeight="1" x14ac:dyDescent="0.25">
      <c r="C74" s="11"/>
    </row>
    <row r="75" spans="3:3" ht="15.75" customHeight="1" x14ac:dyDescent="0.25">
      <c r="C75" s="11"/>
    </row>
    <row r="76" spans="3:3" ht="15.75" customHeight="1" x14ac:dyDescent="0.25">
      <c r="C76" s="11"/>
    </row>
    <row r="77" spans="3:3" ht="15.75" customHeight="1" x14ac:dyDescent="0.25">
      <c r="C77" s="11"/>
    </row>
    <row r="78" spans="3:3" ht="15.75" customHeight="1" x14ac:dyDescent="0.25">
      <c r="C78" s="11"/>
    </row>
    <row r="79" spans="3:3" ht="15.75" customHeight="1" x14ac:dyDescent="0.25">
      <c r="C79" s="11"/>
    </row>
    <row r="80" spans="3:3" ht="15.75" customHeight="1" x14ac:dyDescent="0.25">
      <c r="C80" s="11"/>
    </row>
    <row r="81" spans="3:3" ht="15.75" customHeight="1" x14ac:dyDescent="0.25">
      <c r="C81" s="11"/>
    </row>
    <row r="82" spans="3:3" ht="15.75" customHeight="1" x14ac:dyDescent="0.25">
      <c r="C82" s="11"/>
    </row>
    <row r="83" spans="3:3" ht="15.75" customHeight="1" x14ac:dyDescent="0.25">
      <c r="C83" s="11"/>
    </row>
    <row r="84" spans="3:3" ht="15.75" customHeight="1" x14ac:dyDescent="0.25">
      <c r="C84" s="11"/>
    </row>
    <row r="85" spans="3:3" ht="15.75" customHeight="1" x14ac:dyDescent="0.25">
      <c r="C85" s="11"/>
    </row>
    <row r="86" spans="3:3" ht="15.75" customHeight="1" x14ac:dyDescent="0.25">
      <c r="C86" s="11"/>
    </row>
    <row r="87" spans="3:3" ht="15.75" customHeight="1" x14ac:dyDescent="0.25">
      <c r="C87" s="11"/>
    </row>
    <row r="88" spans="3:3" ht="15.75" customHeight="1" x14ac:dyDescent="0.25">
      <c r="C88" s="11"/>
    </row>
    <row r="89" spans="3:3" ht="15.75" customHeight="1" x14ac:dyDescent="0.25">
      <c r="C89" s="11"/>
    </row>
    <row r="90" spans="3:3" ht="15.75" customHeight="1" x14ac:dyDescent="0.25">
      <c r="C90" s="11"/>
    </row>
    <row r="91" spans="3:3" ht="15.75" customHeight="1" x14ac:dyDescent="0.25">
      <c r="C91" s="11"/>
    </row>
    <row r="92" spans="3:3" ht="15.75" customHeight="1" x14ac:dyDescent="0.25">
      <c r="C92" s="11"/>
    </row>
    <row r="93" spans="3:3" ht="15.75" customHeight="1" x14ac:dyDescent="0.25">
      <c r="C93" s="11"/>
    </row>
    <row r="94" spans="3:3" ht="15.75" customHeight="1" x14ac:dyDescent="0.25">
      <c r="C94" s="11"/>
    </row>
    <row r="95" spans="3:3" ht="15.75" customHeight="1" x14ac:dyDescent="0.25">
      <c r="C95" s="11"/>
    </row>
    <row r="96" spans="3:3" ht="15.75" customHeight="1" x14ac:dyDescent="0.25">
      <c r="C96" s="11"/>
    </row>
    <row r="97" spans="3:3" ht="15.75" customHeight="1" x14ac:dyDescent="0.25">
      <c r="C97" s="11"/>
    </row>
    <row r="98" spans="3:3" ht="15.75" customHeight="1" x14ac:dyDescent="0.25">
      <c r="C98" s="11"/>
    </row>
    <row r="99" spans="3:3" ht="15.75" customHeight="1" x14ac:dyDescent="0.25">
      <c r="C99" s="11"/>
    </row>
    <row r="100" spans="3:3" ht="15.75" customHeight="1" x14ac:dyDescent="0.25">
      <c r="C100" s="11"/>
    </row>
    <row r="101" spans="3:3" ht="15.75" customHeight="1" x14ac:dyDescent="0.25">
      <c r="C101" s="11"/>
    </row>
    <row r="102" spans="3:3" ht="15.75" customHeight="1" x14ac:dyDescent="0.25">
      <c r="C102" s="11"/>
    </row>
    <row r="103" spans="3:3" ht="15.75" customHeight="1" x14ac:dyDescent="0.25">
      <c r="C103" s="11"/>
    </row>
    <row r="104" spans="3:3" ht="15.75" customHeight="1" x14ac:dyDescent="0.25">
      <c r="C104" s="11"/>
    </row>
    <row r="105" spans="3:3" ht="15.75" customHeight="1" x14ac:dyDescent="0.25">
      <c r="C105" s="11"/>
    </row>
    <row r="106" spans="3:3" ht="15.75" customHeight="1" x14ac:dyDescent="0.25">
      <c r="C106" s="11"/>
    </row>
    <row r="107" spans="3:3" ht="15.75" customHeight="1" x14ac:dyDescent="0.25">
      <c r="C107" s="11"/>
    </row>
    <row r="108" spans="3:3" ht="15.75" customHeight="1" x14ac:dyDescent="0.25">
      <c r="C108" s="11"/>
    </row>
    <row r="109" spans="3:3" ht="15.75" customHeight="1" x14ac:dyDescent="0.25">
      <c r="C109" s="11"/>
    </row>
    <row r="110" spans="3:3" ht="15.75" customHeight="1" x14ac:dyDescent="0.25">
      <c r="C110" s="11"/>
    </row>
    <row r="111" spans="3:3" ht="15.75" customHeight="1" x14ac:dyDescent="0.25">
      <c r="C111" s="11"/>
    </row>
    <row r="112" spans="3:3" ht="15.75" customHeight="1" x14ac:dyDescent="0.25">
      <c r="C112" s="11"/>
    </row>
    <row r="113" spans="3:3" ht="15.75" customHeight="1" x14ac:dyDescent="0.25">
      <c r="C113" s="11"/>
    </row>
    <row r="114" spans="3:3" ht="15.75" customHeight="1" x14ac:dyDescent="0.25">
      <c r="C114" s="11"/>
    </row>
    <row r="115" spans="3:3" ht="15.75" customHeight="1" x14ac:dyDescent="0.25">
      <c r="C115" s="11"/>
    </row>
    <row r="116" spans="3:3" ht="15.75" customHeight="1" x14ac:dyDescent="0.25">
      <c r="C116" s="11"/>
    </row>
    <row r="117" spans="3:3" ht="15.75" customHeight="1" x14ac:dyDescent="0.25">
      <c r="C117" s="11"/>
    </row>
    <row r="118" spans="3:3" ht="15.75" customHeight="1" x14ac:dyDescent="0.25">
      <c r="C118" s="11"/>
    </row>
    <row r="119" spans="3:3" ht="15.75" customHeight="1" x14ac:dyDescent="0.25">
      <c r="C119" s="11"/>
    </row>
    <row r="120" spans="3:3" ht="15.75" customHeight="1" x14ac:dyDescent="0.25">
      <c r="C120" s="11"/>
    </row>
    <row r="121" spans="3:3" ht="15.75" customHeight="1" x14ac:dyDescent="0.25">
      <c r="C121" s="11"/>
    </row>
    <row r="122" spans="3:3" ht="15.75" customHeight="1" x14ac:dyDescent="0.25">
      <c r="C122" s="11"/>
    </row>
    <row r="123" spans="3:3" ht="15.75" customHeight="1" x14ac:dyDescent="0.25">
      <c r="C123" s="11"/>
    </row>
    <row r="124" spans="3:3" ht="15.75" customHeight="1" x14ac:dyDescent="0.25">
      <c r="C124" s="11"/>
    </row>
    <row r="125" spans="3:3" ht="15.75" customHeight="1" x14ac:dyDescent="0.25">
      <c r="C125" s="11"/>
    </row>
    <row r="126" spans="3:3" ht="15.75" customHeight="1" x14ac:dyDescent="0.25">
      <c r="C126" s="11"/>
    </row>
    <row r="127" spans="3:3" ht="15.75" customHeight="1" x14ac:dyDescent="0.25">
      <c r="C127" s="11"/>
    </row>
    <row r="128" spans="3:3" ht="15.75" customHeight="1" x14ac:dyDescent="0.25">
      <c r="C128" s="11"/>
    </row>
    <row r="129" spans="3:3" ht="15.75" customHeight="1" x14ac:dyDescent="0.25">
      <c r="C129" s="11"/>
    </row>
    <row r="130" spans="3:3" ht="15.75" customHeight="1" x14ac:dyDescent="0.25">
      <c r="C130" s="11"/>
    </row>
    <row r="131" spans="3:3" ht="15.75" customHeight="1" x14ac:dyDescent="0.25">
      <c r="C131" s="11"/>
    </row>
    <row r="132" spans="3:3" ht="15.75" customHeight="1" x14ac:dyDescent="0.25">
      <c r="C132" s="11"/>
    </row>
    <row r="133" spans="3:3" ht="15.75" customHeight="1" x14ac:dyDescent="0.25">
      <c r="C133" s="11"/>
    </row>
    <row r="134" spans="3:3" ht="15.75" customHeight="1" x14ac:dyDescent="0.25">
      <c r="C134" s="11"/>
    </row>
    <row r="135" spans="3:3" ht="15.75" customHeight="1" x14ac:dyDescent="0.25">
      <c r="C135" s="11"/>
    </row>
    <row r="136" spans="3:3" ht="15.75" customHeight="1" x14ac:dyDescent="0.25">
      <c r="C136" s="11"/>
    </row>
    <row r="137" spans="3:3" ht="15.75" customHeight="1" x14ac:dyDescent="0.25">
      <c r="C137" s="11"/>
    </row>
    <row r="138" spans="3:3" ht="15.75" customHeight="1" x14ac:dyDescent="0.25">
      <c r="C138" s="11"/>
    </row>
    <row r="139" spans="3:3" ht="15.75" customHeight="1" x14ac:dyDescent="0.25">
      <c r="C139" s="11"/>
    </row>
    <row r="140" spans="3:3" ht="15.75" customHeight="1" x14ac:dyDescent="0.25">
      <c r="C140" s="11"/>
    </row>
    <row r="141" spans="3:3" ht="15.75" customHeight="1" x14ac:dyDescent="0.25">
      <c r="C141" s="11"/>
    </row>
    <row r="142" spans="3:3" ht="15.75" customHeight="1" x14ac:dyDescent="0.25">
      <c r="C142" s="11"/>
    </row>
    <row r="143" spans="3:3" ht="15.75" customHeight="1" x14ac:dyDescent="0.25">
      <c r="C143" s="11"/>
    </row>
    <row r="144" spans="3:3" ht="15.75" customHeight="1" x14ac:dyDescent="0.25">
      <c r="C144" s="11"/>
    </row>
    <row r="145" spans="3:3" ht="15.75" customHeight="1" x14ac:dyDescent="0.25">
      <c r="C145" s="11"/>
    </row>
    <row r="146" spans="3:3" ht="15.75" customHeight="1" x14ac:dyDescent="0.25">
      <c r="C146" s="11"/>
    </row>
    <row r="147" spans="3:3" ht="15.75" customHeight="1" x14ac:dyDescent="0.25">
      <c r="C147" s="11"/>
    </row>
    <row r="148" spans="3:3" ht="15.75" customHeight="1" x14ac:dyDescent="0.25">
      <c r="C148" s="11"/>
    </row>
    <row r="149" spans="3:3" ht="15.75" customHeight="1" x14ac:dyDescent="0.25">
      <c r="C149" s="11"/>
    </row>
    <row r="150" spans="3:3" ht="15.75" customHeight="1" x14ac:dyDescent="0.25">
      <c r="C150" s="11"/>
    </row>
    <row r="151" spans="3:3" ht="15.75" customHeight="1" x14ac:dyDescent="0.25">
      <c r="C151" s="11"/>
    </row>
    <row r="152" spans="3:3" ht="15.75" customHeight="1" x14ac:dyDescent="0.25">
      <c r="C152" s="11"/>
    </row>
    <row r="153" spans="3:3" ht="15.75" customHeight="1" x14ac:dyDescent="0.25">
      <c r="C153" s="11"/>
    </row>
    <row r="154" spans="3:3" ht="15.75" customHeight="1" x14ac:dyDescent="0.25">
      <c r="C154" s="11"/>
    </row>
    <row r="155" spans="3:3" ht="15.75" customHeight="1" x14ac:dyDescent="0.25">
      <c r="C155" s="11"/>
    </row>
    <row r="156" spans="3:3" ht="15.75" customHeight="1" x14ac:dyDescent="0.25">
      <c r="C156" s="11"/>
    </row>
    <row r="157" spans="3:3" ht="15.75" customHeight="1" x14ac:dyDescent="0.25">
      <c r="C157" s="11"/>
    </row>
    <row r="158" spans="3:3" ht="15.75" customHeight="1" x14ac:dyDescent="0.25">
      <c r="C158" s="11"/>
    </row>
    <row r="159" spans="3:3" ht="15.75" customHeight="1" x14ac:dyDescent="0.25">
      <c r="C159" s="11"/>
    </row>
    <row r="160" spans="3:3" ht="15.75" customHeight="1" x14ac:dyDescent="0.25">
      <c r="C160" s="11"/>
    </row>
    <row r="161" spans="3:3" ht="15.75" customHeight="1" x14ac:dyDescent="0.25">
      <c r="C161" s="11"/>
    </row>
    <row r="162" spans="3:3" ht="15.75" customHeight="1" x14ac:dyDescent="0.25">
      <c r="C162" s="11"/>
    </row>
    <row r="163" spans="3:3" ht="15.75" customHeight="1" x14ac:dyDescent="0.25">
      <c r="C163" s="11"/>
    </row>
    <row r="164" spans="3:3" ht="15.75" customHeight="1" x14ac:dyDescent="0.25">
      <c r="C164" s="11"/>
    </row>
    <row r="165" spans="3:3" ht="15.75" customHeight="1" x14ac:dyDescent="0.25">
      <c r="C165" s="11"/>
    </row>
    <row r="166" spans="3:3" ht="15.75" customHeight="1" x14ac:dyDescent="0.25">
      <c r="C166" s="11"/>
    </row>
    <row r="167" spans="3:3" ht="15.75" customHeight="1" x14ac:dyDescent="0.25">
      <c r="C167" s="11"/>
    </row>
    <row r="168" spans="3:3" ht="15.75" customHeight="1" x14ac:dyDescent="0.25">
      <c r="C168" s="11"/>
    </row>
    <row r="169" spans="3:3" ht="15.75" customHeight="1" x14ac:dyDescent="0.25">
      <c r="C169" s="11"/>
    </row>
    <row r="170" spans="3:3" ht="15.75" customHeight="1" x14ac:dyDescent="0.25">
      <c r="C170" s="11"/>
    </row>
    <row r="171" spans="3:3" ht="15.75" customHeight="1" x14ac:dyDescent="0.25">
      <c r="C171" s="11"/>
    </row>
    <row r="172" spans="3:3" ht="15.75" customHeight="1" x14ac:dyDescent="0.25">
      <c r="C172" s="11"/>
    </row>
    <row r="173" spans="3:3" ht="15.75" customHeight="1" x14ac:dyDescent="0.25">
      <c r="C173" s="11"/>
    </row>
    <row r="174" spans="3:3" ht="15.75" customHeight="1" x14ac:dyDescent="0.25">
      <c r="C174" s="11"/>
    </row>
    <row r="175" spans="3:3" ht="15.75" customHeight="1" x14ac:dyDescent="0.25">
      <c r="C175" s="11"/>
    </row>
    <row r="176" spans="3:3" ht="15.75" customHeight="1" x14ac:dyDescent="0.25">
      <c r="C176" s="11"/>
    </row>
    <row r="177" spans="3:3" ht="15.75" customHeight="1" x14ac:dyDescent="0.25">
      <c r="C177" s="11"/>
    </row>
    <row r="178" spans="3:3" ht="15.75" customHeight="1" x14ac:dyDescent="0.25">
      <c r="C178" s="11"/>
    </row>
    <row r="179" spans="3:3" ht="15.75" customHeight="1" x14ac:dyDescent="0.25">
      <c r="C179" s="11"/>
    </row>
    <row r="180" spans="3:3" ht="15.75" customHeight="1" x14ac:dyDescent="0.25">
      <c r="C180" s="11"/>
    </row>
    <row r="181" spans="3:3" ht="15.75" customHeight="1" x14ac:dyDescent="0.25">
      <c r="C181" s="11"/>
    </row>
    <row r="182" spans="3:3" ht="15.75" customHeight="1" x14ac:dyDescent="0.25">
      <c r="C182" s="11"/>
    </row>
    <row r="183" spans="3:3" ht="15.75" customHeight="1" x14ac:dyDescent="0.25">
      <c r="C183" s="11"/>
    </row>
    <row r="184" spans="3:3" ht="15.75" customHeight="1" x14ac:dyDescent="0.25">
      <c r="C184" s="11"/>
    </row>
    <row r="185" spans="3:3" ht="15.75" customHeight="1" x14ac:dyDescent="0.25">
      <c r="C185" s="11"/>
    </row>
    <row r="186" spans="3:3" ht="15.75" customHeight="1" x14ac:dyDescent="0.25">
      <c r="C186" s="11"/>
    </row>
    <row r="187" spans="3:3" ht="15.75" customHeight="1" x14ac:dyDescent="0.25">
      <c r="C187" s="11"/>
    </row>
    <row r="188" spans="3:3" ht="15.75" customHeight="1" x14ac:dyDescent="0.25">
      <c r="C188" s="11"/>
    </row>
    <row r="189" spans="3:3" ht="15.75" customHeight="1" x14ac:dyDescent="0.25">
      <c r="C189" s="11"/>
    </row>
    <row r="190" spans="3:3" ht="15.75" customHeight="1" x14ac:dyDescent="0.25">
      <c r="C190" s="11"/>
    </row>
    <row r="191" spans="3:3" ht="15.75" customHeight="1" x14ac:dyDescent="0.25">
      <c r="C191" s="11"/>
    </row>
    <row r="192" spans="3:3" ht="15.75" customHeight="1" x14ac:dyDescent="0.25">
      <c r="C192" s="11"/>
    </row>
    <row r="193" spans="3:3" ht="15.75" customHeight="1" x14ac:dyDescent="0.25">
      <c r="C193" s="11"/>
    </row>
    <row r="194" spans="3:3" ht="15.75" customHeight="1" x14ac:dyDescent="0.25">
      <c r="C194" s="11"/>
    </row>
    <row r="195" spans="3:3" ht="15.75" customHeight="1" x14ac:dyDescent="0.25">
      <c r="C195" s="11"/>
    </row>
    <row r="196" spans="3:3" ht="15.75" customHeight="1" x14ac:dyDescent="0.25">
      <c r="C196" s="11"/>
    </row>
    <row r="197" spans="3:3" ht="15.75" customHeight="1" x14ac:dyDescent="0.25">
      <c r="C197" s="11"/>
    </row>
    <row r="198" spans="3:3" ht="15.75" customHeight="1" x14ac:dyDescent="0.25">
      <c r="C198" s="11"/>
    </row>
    <row r="199" spans="3:3" ht="15.75" customHeight="1" x14ac:dyDescent="0.25">
      <c r="C199" s="11"/>
    </row>
    <row r="200" spans="3:3" ht="15.75" customHeight="1" x14ac:dyDescent="0.25">
      <c r="C200" s="11"/>
    </row>
    <row r="201" spans="3:3" ht="15.75" customHeight="1" x14ac:dyDescent="0.25">
      <c r="C201" s="11"/>
    </row>
    <row r="202" spans="3:3" ht="15.75" customHeight="1" x14ac:dyDescent="0.25">
      <c r="C202" s="11"/>
    </row>
    <row r="203" spans="3:3" ht="15.75" customHeight="1" x14ac:dyDescent="0.25">
      <c r="C203" s="11"/>
    </row>
    <row r="204" spans="3:3" ht="15.75" customHeight="1" x14ac:dyDescent="0.25">
      <c r="C204" s="11"/>
    </row>
    <row r="205" spans="3:3" ht="15.75" customHeight="1" x14ac:dyDescent="0.25">
      <c r="C205" s="11"/>
    </row>
    <row r="206" spans="3:3" ht="15.75" customHeight="1" x14ac:dyDescent="0.25">
      <c r="C206" s="11"/>
    </row>
    <row r="207" spans="3:3" ht="15.75" customHeight="1" x14ac:dyDescent="0.25">
      <c r="C207" s="11"/>
    </row>
    <row r="208" spans="3:3" ht="15.75" customHeight="1" x14ac:dyDescent="0.25">
      <c r="C208" s="11"/>
    </row>
    <row r="209" spans="3:3" ht="15.75" customHeight="1" x14ac:dyDescent="0.25">
      <c r="C209" s="11"/>
    </row>
    <row r="210" spans="3:3" ht="15.75" customHeight="1" x14ac:dyDescent="0.25">
      <c r="C210" s="11"/>
    </row>
    <row r="211" spans="3:3" ht="15.75" customHeight="1" x14ac:dyDescent="0.25">
      <c r="C211" s="11"/>
    </row>
    <row r="212" spans="3:3" ht="15.75" customHeight="1" x14ac:dyDescent="0.25">
      <c r="C212" s="11"/>
    </row>
    <row r="213" spans="3:3" ht="15.75" customHeight="1" x14ac:dyDescent="0.25">
      <c r="C213" s="11"/>
    </row>
    <row r="214" spans="3:3" ht="15.75" customHeight="1" x14ac:dyDescent="0.25">
      <c r="C214" s="11"/>
    </row>
    <row r="215" spans="3:3" ht="15.75" customHeight="1" x14ac:dyDescent="0.25">
      <c r="C215" s="11"/>
    </row>
    <row r="216" spans="3:3" ht="15.75" customHeight="1" x14ac:dyDescent="0.25">
      <c r="C216" s="11"/>
    </row>
    <row r="217" spans="3:3" ht="15.75" customHeight="1" x14ac:dyDescent="0.25">
      <c r="C217" s="11"/>
    </row>
    <row r="218" spans="3:3" ht="15.75" customHeight="1" x14ac:dyDescent="0.25">
      <c r="C218" s="11"/>
    </row>
    <row r="219" spans="3:3" ht="15.75" customHeight="1" x14ac:dyDescent="0.25">
      <c r="C219" s="11"/>
    </row>
    <row r="220" spans="3:3" ht="15.75" customHeight="1" x14ac:dyDescent="0.25">
      <c r="C220" s="11"/>
    </row>
    <row r="221" spans="3:3" ht="15.75" customHeight="1" x14ac:dyDescent="0.25">
      <c r="C221" s="11"/>
    </row>
    <row r="222" spans="3:3" ht="15.75" customHeight="1" x14ac:dyDescent="0.25">
      <c r="C222" s="11"/>
    </row>
    <row r="223" spans="3:3" ht="15.75" customHeight="1" x14ac:dyDescent="0.25">
      <c r="C223" s="11"/>
    </row>
    <row r="224" spans="3:3" ht="15.75" customHeight="1" x14ac:dyDescent="0.25">
      <c r="C224" s="11"/>
    </row>
    <row r="225" spans="3:3" ht="15.75" customHeight="1" x14ac:dyDescent="0.25">
      <c r="C225" s="11"/>
    </row>
    <row r="226" spans="3:3" ht="15.75" customHeight="1" x14ac:dyDescent="0.25">
      <c r="C226" s="11"/>
    </row>
    <row r="227" spans="3:3" ht="15.75" customHeight="1" x14ac:dyDescent="0.25">
      <c r="C227" s="11"/>
    </row>
    <row r="228" spans="3:3" ht="15.75" customHeight="1" x14ac:dyDescent="0.25">
      <c r="C228" s="11"/>
    </row>
    <row r="229" spans="3:3" ht="15.75" customHeight="1" x14ac:dyDescent="0.25">
      <c r="C229" s="11"/>
    </row>
    <row r="230" spans="3:3" ht="15.75" customHeight="1" x14ac:dyDescent="0.25">
      <c r="C230" s="11"/>
    </row>
    <row r="231" spans="3:3" ht="15.75" customHeight="1" x14ac:dyDescent="0.25">
      <c r="C231" s="11"/>
    </row>
    <row r="232" spans="3:3" ht="15.75" customHeight="1" x14ac:dyDescent="0.25">
      <c r="C232" s="11"/>
    </row>
    <row r="233" spans="3:3" ht="15.75" customHeight="1" x14ac:dyDescent="0.25">
      <c r="C233" s="11"/>
    </row>
    <row r="234" spans="3:3" ht="15.75" customHeight="1" x14ac:dyDescent="0.25">
      <c r="C234" s="11"/>
    </row>
    <row r="235" spans="3:3" ht="15.75" customHeight="1" x14ac:dyDescent="0.25">
      <c r="C235" s="11"/>
    </row>
    <row r="236" spans="3:3" ht="15.75" customHeight="1" x14ac:dyDescent="0.25">
      <c r="C236" s="11"/>
    </row>
    <row r="237" spans="3:3" ht="15.75" customHeight="1" x14ac:dyDescent="0.25">
      <c r="C237" s="11"/>
    </row>
    <row r="238" spans="3:3" ht="15.75" customHeight="1" x14ac:dyDescent="0.25">
      <c r="C238" s="11"/>
    </row>
    <row r="239" spans="3:3" ht="15.75" customHeight="1" x14ac:dyDescent="0.25">
      <c r="C239" s="11"/>
    </row>
    <row r="240" spans="3:3" ht="15.75" customHeight="1" x14ac:dyDescent="0.25">
      <c r="C240" s="11"/>
    </row>
    <row r="241" spans="3:3" ht="15.75" customHeight="1" x14ac:dyDescent="0.25">
      <c r="C241" s="11"/>
    </row>
    <row r="242" spans="3:3" ht="15.75" customHeight="1" x14ac:dyDescent="0.25">
      <c r="C242" s="11"/>
    </row>
    <row r="243" spans="3:3" ht="15.75" customHeight="1" x14ac:dyDescent="0.25">
      <c r="C243" s="11"/>
    </row>
    <row r="244" spans="3:3" ht="15.75" customHeight="1" x14ac:dyDescent="0.25">
      <c r="C244" s="11"/>
    </row>
    <row r="245" spans="3:3" ht="15.75" customHeight="1" x14ac:dyDescent="0.25">
      <c r="C245" s="11"/>
    </row>
    <row r="246" spans="3:3" ht="15.75" customHeight="1" x14ac:dyDescent="0.25">
      <c r="C246" s="11"/>
    </row>
    <row r="247" spans="3:3" ht="15.75" customHeight="1" x14ac:dyDescent="0.25">
      <c r="C247" s="11"/>
    </row>
    <row r="248" spans="3:3" ht="15.75" customHeight="1" x14ac:dyDescent="0.25">
      <c r="C248" s="11"/>
    </row>
    <row r="249" spans="3:3" ht="15.75" customHeight="1" x14ac:dyDescent="0.25">
      <c r="C249" s="11"/>
    </row>
    <row r="250" spans="3:3" ht="15.75" customHeight="1" x14ac:dyDescent="0.25">
      <c r="C250" s="11"/>
    </row>
    <row r="251" spans="3:3" ht="15.75" customHeight="1" x14ac:dyDescent="0.25">
      <c r="C251" s="11"/>
    </row>
    <row r="252" spans="3:3" ht="15.75" customHeight="1" x14ac:dyDescent="0.25">
      <c r="C252" s="11"/>
    </row>
    <row r="253" spans="3:3" ht="15.75" customHeight="1" x14ac:dyDescent="0.25">
      <c r="C253" s="11"/>
    </row>
    <row r="254" spans="3:3" ht="15.75" customHeight="1" x14ac:dyDescent="0.25">
      <c r="C254" s="11"/>
    </row>
    <row r="255" spans="3:3" ht="15.75" customHeight="1" x14ac:dyDescent="0.25">
      <c r="C255" s="11"/>
    </row>
    <row r="256" spans="3:3" ht="15.75" customHeight="1" x14ac:dyDescent="0.25">
      <c r="C256" s="11"/>
    </row>
    <row r="257" spans="3:3" ht="15.75" customHeight="1" x14ac:dyDescent="0.25">
      <c r="C257" s="11"/>
    </row>
    <row r="258" spans="3:3" ht="15.75" customHeight="1" x14ac:dyDescent="0.25">
      <c r="C258" s="11"/>
    </row>
    <row r="259" spans="3:3" ht="15.75" customHeight="1" x14ac:dyDescent="0.25">
      <c r="C259" s="11"/>
    </row>
    <row r="260" spans="3:3" ht="15.75" customHeight="1" x14ac:dyDescent="0.25">
      <c r="C260" s="11"/>
    </row>
    <row r="261" spans="3:3" ht="15.75" customHeight="1" x14ac:dyDescent="0.25">
      <c r="C261" s="11"/>
    </row>
    <row r="262" spans="3:3" ht="15.75" customHeight="1" x14ac:dyDescent="0.25">
      <c r="C262" s="11"/>
    </row>
    <row r="263" spans="3:3" ht="15.75" customHeight="1" x14ac:dyDescent="0.25">
      <c r="C263" s="11"/>
    </row>
    <row r="264" spans="3:3" ht="15.75" customHeight="1" x14ac:dyDescent="0.25">
      <c r="C264" s="11"/>
    </row>
    <row r="265" spans="3:3" ht="15.75" customHeight="1" x14ac:dyDescent="0.25">
      <c r="C265" s="11"/>
    </row>
    <row r="266" spans="3:3" ht="15.75" customHeight="1" x14ac:dyDescent="0.25">
      <c r="C266" s="11"/>
    </row>
    <row r="267" spans="3:3" ht="15.75" customHeight="1" x14ac:dyDescent="0.25">
      <c r="C267" s="11"/>
    </row>
    <row r="268" spans="3:3" ht="15.75" customHeight="1" x14ac:dyDescent="0.25">
      <c r="C268" s="11"/>
    </row>
    <row r="269" spans="3:3" ht="15.75" customHeight="1" x14ac:dyDescent="0.25">
      <c r="C269" s="11"/>
    </row>
    <row r="270" spans="3:3" ht="15.75" customHeight="1" x14ac:dyDescent="0.25">
      <c r="C270" s="11"/>
    </row>
    <row r="271" spans="3:3" ht="15.75" customHeight="1" x14ac:dyDescent="0.25">
      <c r="C271" s="11"/>
    </row>
    <row r="272" spans="3:3" ht="15.75" customHeight="1" x14ac:dyDescent="0.25">
      <c r="C272" s="11"/>
    </row>
    <row r="273" spans="3:3" ht="15.75" customHeight="1" x14ac:dyDescent="0.25">
      <c r="C273" s="11"/>
    </row>
    <row r="274" spans="3:3" ht="15.75" customHeight="1" x14ac:dyDescent="0.25">
      <c r="C274" s="11"/>
    </row>
    <row r="275" spans="3:3" ht="15.75" customHeight="1" x14ac:dyDescent="0.25">
      <c r="C275" s="11"/>
    </row>
    <row r="276" spans="3:3" ht="15.75" customHeight="1" x14ac:dyDescent="0.25">
      <c r="C276" s="11"/>
    </row>
    <row r="277" spans="3:3" ht="15.75" customHeight="1" x14ac:dyDescent="0.25">
      <c r="C277" s="11"/>
    </row>
    <row r="278" spans="3:3" ht="15.75" customHeight="1" x14ac:dyDescent="0.25">
      <c r="C278" s="11"/>
    </row>
    <row r="279" spans="3:3" ht="15.75" customHeight="1" x14ac:dyDescent="0.25">
      <c r="C279" s="11"/>
    </row>
    <row r="280" spans="3:3" ht="15.75" customHeight="1" x14ac:dyDescent="0.25">
      <c r="C280" s="11"/>
    </row>
    <row r="281" spans="3:3" ht="15.75" customHeight="1" x14ac:dyDescent="0.25">
      <c r="C281" s="11"/>
    </row>
    <row r="282" spans="3:3" ht="15.75" customHeight="1" x14ac:dyDescent="0.25">
      <c r="C282" s="11"/>
    </row>
    <row r="283" spans="3:3" ht="15.75" customHeight="1" x14ac:dyDescent="0.25">
      <c r="C283" s="11"/>
    </row>
    <row r="284" spans="3:3" ht="15.75" customHeight="1" x14ac:dyDescent="0.25">
      <c r="C284" s="11"/>
    </row>
    <row r="285" spans="3:3" ht="15.75" customHeight="1" x14ac:dyDescent="0.25">
      <c r="C285" s="11"/>
    </row>
    <row r="286" spans="3:3" ht="15.75" customHeight="1" x14ac:dyDescent="0.25">
      <c r="C286" s="11"/>
    </row>
    <row r="287" spans="3:3" ht="15.75" customHeight="1" x14ac:dyDescent="0.25">
      <c r="C287" s="11"/>
    </row>
    <row r="288" spans="3:3" ht="15.75" customHeight="1" x14ac:dyDescent="0.25">
      <c r="C288" s="11"/>
    </row>
    <row r="289" spans="3:3" ht="15.75" customHeight="1" x14ac:dyDescent="0.25">
      <c r="C289" s="11"/>
    </row>
    <row r="290" spans="3:3" ht="15.75" customHeight="1" x14ac:dyDescent="0.25">
      <c r="C290" s="11"/>
    </row>
    <row r="291" spans="3:3" ht="15.75" customHeight="1" x14ac:dyDescent="0.25">
      <c r="C291" s="11"/>
    </row>
    <row r="292" spans="3:3" ht="15.75" customHeight="1" x14ac:dyDescent="0.25">
      <c r="C292" s="11"/>
    </row>
    <row r="293" spans="3:3" ht="15.75" customHeight="1" x14ac:dyDescent="0.25">
      <c r="C293" s="11"/>
    </row>
    <row r="294" spans="3:3" ht="15.75" customHeight="1" x14ac:dyDescent="0.25">
      <c r="C294" s="11"/>
    </row>
    <row r="295" spans="3:3" ht="15.75" customHeight="1" x14ac:dyDescent="0.25">
      <c r="C295" s="11"/>
    </row>
    <row r="296" spans="3:3" ht="15.75" customHeight="1" x14ac:dyDescent="0.25">
      <c r="C296" s="11"/>
    </row>
    <row r="297" spans="3:3" ht="15.75" customHeight="1" x14ac:dyDescent="0.25">
      <c r="C297" s="11"/>
    </row>
    <row r="298" spans="3:3" ht="15.75" customHeight="1" x14ac:dyDescent="0.25">
      <c r="C298" s="11"/>
    </row>
    <row r="299" spans="3:3" ht="15.75" customHeight="1" x14ac:dyDescent="0.25">
      <c r="C299" s="11"/>
    </row>
    <row r="300" spans="3:3" ht="15.75" customHeight="1" x14ac:dyDescent="0.25">
      <c r="C300" s="11"/>
    </row>
    <row r="301" spans="3:3" ht="15.75" customHeight="1" x14ac:dyDescent="0.25">
      <c r="C301" s="11"/>
    </row>
    <row r="302" spans="3:3" ht="15.75" customHeight="1" x14ac:dyDescent="0.25">
      <c r="C302" s="11"/>
    </row>
    <row r="303" spans="3:3" ht="15.75" customHeight="1" x14ac:dyDescent="0.25">
      <c r="C303" s="11"/>
    </row>
    <row r="304" spans="3:3" ht="15.75" customHeight="1" x14ac:dyDescent="0.25">
      <c r="C304" s="11"/>
    </row>
    <row r="305" spans="3:3" ht="15.75" customHeight="1" x14ac:dyDescent="0.25">
      <c r="C305" s="11"/>
    </row>
    <row r="306" spans="3:3" ht="15.75" customHeight="1" x14ac:dyDescent="0.25">
      <c r="C306" s="11"/>
    </row>
    <row r="307" spans="3:3" ht="15.75" customHeight="1" x14ac:dyDescent="0.25">
      <c r="C307" s="11"/>
    </row>
    <row r="308" spans="3:3" ht="15.75" customHeight="1" x14ac:dyDescent="0.25">
      <c r="C308" s="11"/>
    </row>
    <row r="309" spans="3:3" ht="15.75" customHeight="1" x14ac:dyDescent="0.25">
      <c r="C309" s="11"/>
    </row>
    <row r="310" spans="3:3" ht="15.75" customHeight="1" x14ac:dyDescent="0.25">
      <c r="C310" s="11"/>
    </row>
    <row r="311" spans="3:3" ht="15.75" customHeight="1" x14ac:dyDescent="0.25">
      <c r="C311" s="11"/>
    </row>
    <row r="312" spans="3:3" ht="15.75" customHeight="1" x14ac:dyDescent="0.25">
      <c r="C312" s="11"/>
    </row>
    <row r="313" spans="3:3" ht="15.75" customHeight="1" x14ac:dyDescent="0.25">
      <c r="C313" s="11"/>
    </row>
    <row r="314" spans="3:3" ht="15.75" customHeight="1" x14ac:dyDescent="0.25">
      <c r="C314" s="11"/>
    </row>
    <row r="315" spans="3:3" ht="15.75" customHeight="1" x14ac:dyDescent="0.25">
      <c r="C315" s="11"/>
    </row>
    <row r="316" spans="3:3" ht="15.75" customHeight="1" x14ac:dyDescent="0.25">
      <c r="C316" s="11"/>
    </row>
    <row r="317" spans="3:3" ht="15.75" customHeight="1" x14ac:dyDescent="0.25">
      <c r="C317" s="11"/>
    </row>
    <row r="318" spans="3:3" ht="15.75" customHeight="1" x14ac:dyDescent="0.25">
      <c r="C318" s="11"/>
    </row>
    <row r="319" spans="3:3" ht="15.75" customHeight="1" x14ac:dyDescent="0.25">
      <c r="C319" s="11"/>
    </row>
    <row r="320" spans="3:3" ht="15.75" customHeight="1" x14ac:dyDescent="0.25">
      <c r="C320" s="11"/>
    </row>
    <row r="321" spans="3:3" ht="15.75" customHeight="1" x14ac:dyDescent="0.25">
      <c r="C321" s="11"/>
    </row>
    <row r="322" spans="3:3" ht="15.75" customHeight="1" x14ac:dyDescent="0.25">
      <c r="C322" s="11"/>
    </row>
    <row r="323" spans="3:3" ht="15.75" customHeight="1" x14ac:dyDescent="0.25">
      <c r="C323" s="11"/>
    </row>
    <row r="324" spans="3:3" ht="15.75" customHeight="1" x14ac:dyDescent="0.25">
      <c r="C324" s="11"/>
    </row>
    <row r="325" spans="3:3" ht="15.75" customHeight="1" x14ac:dyDescent="0.25">
      <c r="C325" s="11"/>
    </row>
    <row r="326" spans="3:3" ht="15.75" customHeight="1" x14ac:dyDescent="0.25">
      <c r="C326" s="11"/>
    </row>
    <row r="327" spans="3:3" ht="15.75" customHeight="1" x14ac:dyDescent="0.25">
      <c r="C327" s="11"/>
    </row>
    <row r="328" spans="3:3" ht="15.75" customHeight="1" x14ac:dyDescent="0.25">
      <c r="C328" s="11"/>
    </row>
    <row r="329" spans="3:3" ht="15.75" customHeight="1" x14ac:dyDescent="0.25">
      <c r="C329" s="11"/>
    </row>
    <row r="330" spans="3:3" ht="15.75" customHeight="1" x14ac:dyDescent="0.25">
      <c r="C330" s="11"/>
    </row>
    <row r="331" spans="3:3" ht="15.75" customHeight="1" x14ac:dyDescent="0.25">
      <c r="C331" s="11"/>
    </row>
    <row r="332" spans="3:3" ht="15.75" customHeight="1" x14ac:dyDescent="0.25">
      <c r="C332" s="11"/>
    </row>
    <row r="333" spans="3:3" ht="15.75" customHeight="1" x14ac:dyDescent="0.25">
      <c r="C333" s="11"/>
    </row>
    <row r="334" spans="3:3" ht="15.75" customHeight="1" x14ac:dyDescent="0.25">
      <c r="C334" s="11"/>
    </row>
    <row r="335" spans="3:3" ht="15.75" customHeight="1" x14ac:dyDescent="0.25">
      <c r="C335" s="11"/>
    </row>
    <row r="336" spans="3:3" ht="15.75" customHeight="1" x14ac:dyDescent="0.25">
      <c r="C336" s="11"/>
    </row>
    <row r="337" spans="3:3" ht="15.75" customHeight="1" x14ac:dyDescent="0.25">
      <c r="C337" s="11"/>
    </row>
    <row r="338" spans="3:3" ht="15.75" customHeight="1" x14ac:dyDescent="0.25">
      <c r="C338" s="11"/>
    </row>
    <row r="339" spans="3:3" ht="15.75" customHeight="1" x14ac:dyDescent="0.25">
      <c r="C339" s="11"/>
    </row>
    <row r="340" spans="3:3" ht="15.75" customHeight="1" x14ac:dyDescent="0.25">
      <c r="C340" s="11"/>
    </row>
    <row r="341" spans="3:3" ht="15.75" customHeight="1" x14ac:dyDescent="0.25">
      <c r="C341" s="11"/>
    </row>
    <row r="342" spans="3:3" ht="15.75" customHeight="1" x14ac:dyDescent="0.25">
      <c r="C342" s="11"/>
    </row>
    <row r="343" spans="3:3" ht="15.75" customHeight="1" x14ac:dyDescent="0.25">
      <c r="C343" s="11"/>
    </row>
    <row r="344" spans="3:3" ht="15.75" customHeight="1" x14ac:dyDescent="0.25">
      <c r="C344" s="11"/>
    </row>
    <row r="345" spans="3:3" ht="15.75" customHeight="1" x14ac:dyDescent="0.25">
      <c r="C345" s="11"/>
    </row>
    <row r="346" spans="3:3" ht="15.75" customHeight="1" x14ac:dyDescent="0.25">
      <c r="C346" s="11"/>
    </row>
    <row r="347" spans="3:3" ht="15.75" customHeight="1" x14ac:dyDescent="0.25">
      <c r="C347" s="11"/>
    </row>
    <row r="348" spans="3:3" ht="15.75" customHeight="1" x14ac:dyDescent="0.25">
      <c r="C348" s="11"/>
    </row>
    <row r="349" spans="3:3" ht="15.75" customHeight="1" x14ac:dyDescent="0.25">
      <c r="C349" s="11"/>
    </row>
    <row r="350" spans="3:3" ht="15.75" customHeight="1" x14ac:dyDescent="0.25">
      <c r="C350" s="11"/>
    </row>
    <row r="351" spans="3:3" ht="15.75" customHeight="1" x14ac:dyDescent="0.25">
      <c r="C351" s="11"/>
    </row>
    <row r="352" spans="3:3" ht="15.75" customHeight="1" x14ac:dyDescent="0.25">
      <c r="C352" s="11"/>
    </row>
    <row r="353" spans="3:3" ht="15.75" customHeight="1" x14ac:dyDescent="0.25">
      <c r="C353" s="11"/>
    </row>
    <row r="354" spans="3:3" ht="15.75" customHeight="1" x14ac:dyDescent="0.25">
      <c r="C354" s="11"/>
    </row>
    <row r="355" spans="3:3" ht="15.75" customHeight="1" x14ac:dyDescent="0.25">
      <c r="C355" s="11"/>
    </row>
    <row r="356" spans="3:3" ht="15.75" customHeight="1" x14ac:dyDescent="0.25">
      <c r="C356" s="11"/>
    </row>
    <row r="357" spans="3:3" ht="15.75" customHeight="1" x14ac:dyDescent="0.25">
      <c r="C357" s="11"/>
    </row>
    <row r="358" spans="3:3" ht="15.75" customHeight="1" x14ac:dyDescent="0.25">
      <c r="C358" s="11"/>
    </row>
    <row r="359" spans="3:3" ht="15.75" customHeight="1" x14ac:dyDescent="0.25">
      <c r="C359" s="11"/>
    </row>
    <row r="360" spans="3:3" ht="15.75" customHeight="1" x14ac:dyDescent="0.25">
      <c r="C360" s="11"/>
    </row>
    <row r="361" spans="3:3" ht="15.75" customHeight="1" x14ac:dyDescent="0.25">
      <c r="C361" s="11"/>
    </row>
    <row r="362" spans="3:3" ht="15.75" customHeight="1" x14ac:dyDescent="0.25">
      <c r="C362" s="11"/>
    </row>
    <row r="363" spans="3:3" ht="15.75" customHeight="1" x14ac:dyDescent="0.25">
      <c r="C363" s="11"/>
    </row>
    <row r="364" spans="3:3" ht="15.75" customHeight="1" x14ac:dyDescent="0.25">
      <c r="C364" s="11"/>
    </row>
    <row r="365" spans="3:3" ht="15.75" customHeight="1" x14ac:dyDescent="0.25">
      <c r="C365" s="11"/>
    </row>
    <row r="366" spans="3:3" ht="15.75" customHeight="1" x14ac:dyDescent="0.25">
      <c r="C366" s="11"/>
    </row>
    <row r="367" spans="3:3" ht="15.75" customHeight="1" x14ac:dyDescent="0.25">
      <c r="C367" s="11"/>
    </row>
    <row r="368" spans="3:3" ht="15.75" customHeight="1" x14ac:dyDescent="0.25">
      <c r="C368" s="11"/>
    </row>
    <row r="369" spans="3:3" ht="15.75" customHeight="1" x14ac:dyDescent="0.25">
      <c r="C369" s="11"/>
    </row>
    <row r="370" spans="3:3" ht="15.75" customHeight="1" x14ac:dyDescent="0.25">
      <c r="C370" s="11"/>
    </row>
    <row r="371" spans="3:3" ht="15.75" customHeight="1" x14ac:dyDescent="0.25">
      <c r="C371" s="11"/>
    </row>
    <row r="372" spans="3:3" ht="15.75" customHeight="1" x14ac:dyDescent="0.25">
      <c r="C372" s="11"/>
    </row>
    <row r="373" spans="3:3" ht="15.75" customHeight="1" x14ac:dyDescent="0.25">
      <c r="C373" s="11"/>
    </row>
    <row r="374" spans="3:3" ht="15.75" customHeight="1" x14ac:dyDescent="0.25">
      <c r="C374" s="11"/>
    </row>
    <row r="375" spans="3:3" ht="15.75" customHeight="1" x14ac:dyDescent="0.25">
      <c r="C375" s="11"/>
    </row>
    <row r="376" spans="3:3" ht="15.75" customHeight="1" x14ac:dyDescent="0.25">
      <c r="C376" s="11"/>
    </row>
    <row r="377" spans="3:3" ht="15.75" customHeight="1" x14ac:dyDescent="0.25">
      <c r="C377" s="11"/>
    </row>
    <row r="378" spans="3:3" ht="15.75" customHeight="1" x14ac:dyDescent="0.25">
      <c r="C378" s="11"/>
    </row>
    <row r="379" spans="3:3" ht="15.75" customHeight="1" x14ac:dyDescent="0.25">
      <c r="C379" s="11"/>
    </row>
    <row r="380" spans="3:3" ht="15.75" customHeight="1" x14ac:dyDescent="0.25">
      <c r="C380" s="11"/>
    </row>
    <row r="381" spans="3:3" ht="15.75" customHeight="1" x14ac:dyDescent="0.25">
      <c r="C381" s="11"/>
    </row>
    <row r="382" spans="3:3" ht="15.75" customHeight="1" x14ac:dyDescent="0.25">
      <c r="C382" s="11"/>
    </row>
    <row r="383" spans="3:3" ht="15.75" customHeight="1" x14ac:dyDescent="0.25">
      <c r="C383" s="11"/>
    </row>
    <row r="384" spans="3:3" ht="15.75" customHeight="1" x14ac:dyDescent="0.25">
      <c r="C384" s="11"/>
    </row>
    <row r="385" spans="3:3" ht="15.75" customHeight="1" x14ac:dyDescent="0.25">
      <c r="C385" s="11"/>
    </row>
    <row r="386" spans="3:3" ht="15.75" customHeight="1" x14ac:dyDescent="0.25">
      <c r="C386" s="11"/>
    </row>
    <row r="387" spans="3:3" ht="15.75" customHeight="1" x14ac:dyDescent="0.25">
      <c r="C387" s="11"/>
    </row>
    <row r="388" spans="3:3" ht="15.75" customHeight="1" x14ac:dyDescent="0.25">
      <c r="C388" s="11"/>
    </row>
    <row r="389" spans="3:3" ht="15.75" customHeight="1" x14ac:dyDescent="0.25">
      <c r="C389" s="11"/>
    </row>
    <row r="390" spans="3:3" ht="15.75" customHeight="1" x14ac:dyDescent="0.25">
      <c r="C390" s="11"/>
    </row>
    <row r="391" spans="3:3" ht="15.75" customHeight="1" x14ac:dyDescent="0.25">
      <c r="C391" s="11"/>
    </row>
    <row r="392" spans="3:3" ht="15.75" customHeight="1" x14ac:dyDescent="0.25">
      <c r="C392" s="11"/>
    </row>
    <row r="393" spans="3:3" ht="15.75" customHeight="1" x14ac:dyDescent="0.25">
      <c r="C393" s="11"/>
    </row>
    <row r="394" spans="3:3" ht="15.75" customHeight="1" x14ac:dyDescent="0.25">
      <c r="C394" s="11"/>
    </row>
    <row r="395" spans="3:3" ht="15.75" customHeight="1" x14ac:dyDescent="0.25">
      <c r="C395" s="11"/>
    </row>
    <row r="396" spans="3:3" ht="15.75" customHeight="1" x14ac:dyDescent="0.25">
      <c r="C396" s="11"/>
    </row>
    <row r="397" spans="3:3" ht="15.75" customHeight="1" x14ac:dyDescent="0.25">
      <c r="C397" s="11"/>
    </row>
    <row r="398" spans="3:3" ht="15.75" customHeight="1" x14ac:dyDescent="0.25">
      <c r="C398" s="11"/>
    </row>
    <row r="399" spans="3:3" ht="15.75" customHeight="1" x14ac:dyDescent="0.25">
      <c r="C399" s="11"/>
    </row>
    <row r="400" spans="3:3" ht="15.75" customHeight="1" x14ac:dyDescent="0.25">
      <c r="C400" s="11"/>
    </row>
    <row r="401" spans="3:3" ht="15.75" customHeight="1" x14ac:dyDescent="0.25">
      <c r="C401" s="11"/>
    </row>
    <row r="402" spans="3:3" ht="15.75" customHeight="1" x14ac:dyDescent="0.25">
      <c r="C402" s="11"/>
    </row>
    <row r="403" spans="3:3" ht="15.75" customHeight="1" x14ac:dyDescent="0.25">
      <c r="C403" s="11"/>
    </row>
    <row r="404" spans="3:3" ht="15.75" customHeight="1" x14ac:dyDescent="0.25">
      <c r="C404" s="11"/>
    </row>
    <row r="405" spans="3:3" ht="15.75" customHeight="1" x14ac:dyDescent="0.25">
      <c r="C405" s="11"/>
    </row>
    <row r="406" spans="3:3" ht="15.75" customHeight="1" x14ac:dyDescent="0.25">
      <c r="C406" s="11"/>
    </row>
    <row r="407" spans="3:3" ht="15.75" customHeight="1" x14ac:dyDescent="0.25">
      <c r="C407" s="11"/>
    </row>
    <row r="408" spans="3:3" ht="15.75" customHeight="1" x14ac:dyDescent="0.25">
      <c r="C408" s="11"/>
    </row>
    <row r="409" spans="3:3" ht="15.75" customHeight="1" x14ac:dyDescent="0.25">
      <c r="C409" s="11"/>
    </row>
    <row r="410" spans="3:3" ht="15.75" customHeight="1" x14ac:dyDescent="0.25">
      <c r="C410" s="11"/>
    </row>
    <row r="411" spans="3:3" ht="15.75" customHeight="1" x14ac:dyDescent="0.25">
      <c r="C411" s="11"/>
    </row>
    <row r="412" spans="3:3" ht="15.75" customHeight="1" x14ac:dyDescent="0.25">
      <c r="C412" s="11"/>
    </row>
    <row r="413" spans="3:3" ht="15.75" customHeight="1" x14ac:dyDescent="0.25">
      <c r="C413" s="11"/>
    </row>
    <row r="414" spans="3:3" ht="15.75" customHeight="1" x14ac:dyDescent="0.25">
      <c r="C414" s="11"/>
    </row>
    <row r="415" spans="3:3" ht="15.75" customHeight="1" x14ac:dyDescent="0.25">
      <c r="C415" s="11"/>
    </row>
    <row r="416" spans="3:3" ht="15.75" customHeight="1" x14ac:dyDescent="0.25">
      <c r="C416" s="11"/>
    </row>
    <row r="417" spans="3:3" ht="15.75" customHeight="1" x14ac:dyDescent="0.25">
      <c r="C417" s="11"/>
    </row>
    <row r="418" spans="3:3" ht="15.75" customHeight="1" x14ac:dyDescent="0.25">
      <c r="C418" s="11"/>
    </row>
    <row r="419" spans="3:3" ht="15.75" customHeight="1" x14ac:dyDescent="0.25">
      <c r="C419" s="11"/>
    </row>
    <row r="420" spans="3:3" ht="15.75" customHeight="1" x14ac:dyDescent="0.25">
      <c r="C420" s="11"/>
    </row>
    <row r="421" spans="3:3" ht="15.75" customHeight="1" x14ac:dyDescent="0.25">
      <c r="C421" s="11"/>
    </row>
    <row r="422" spans="3:3" ht="15.75" customHeight="1" x14ac:dyDescent="0.25">
      <c r="C422" s="11"/>
    </row>
    <row r="423" spans="3:3" ht="15.75" customHeight="1" x14ac:dyDescent="0.25">
      <c r="C423" s="11"/>
    </row>
    <row r="424" spans="3:3" ht="15.75" customHeight="1" x14ac:dyDescent="0.25">
      <c r="C424" s="11"/>
    </row>
    <row r="425" spans="3:3" ht="15.75" customHeight="1" x14ac:dyDescent="0.25">
      <c r="C425" s="11"/>
    </row>
    <row r="426" spans="3:3" ht="15.75" customHeight="1" x14ac:dyDescent="0.25">
      <c r="C426" s="11"/>
    </row>
    <row r="427" spans="3:3" ht="15.75" customHeight="1" x14ac:dyDescent="0.25">
      <c r="C427" s="11"/>
    </row>
    <row r="428" spans="3:3" ht="15.75" customHeight="1" x14ac:dyDescent="0.25">
      <c r="C428" s="11"/>
    </row>
    <row r="429" spans="3:3" ht="15.75" customHeight="1" x14ac:dyDescent="0.25">
      <c r="C429" s="11"/>
    </row>
    <row r="430" spans="3:3" ht="15.75" customHeight="1" x14ac:dyDescent="0.25">
      <c r="C430" s="11"/>
    </row>
    <row r="431" spans="3:3" ht="15.75" customHeight="1" x14ac:dyDescent="0.25">
      <c r="C431" s="11"/>
    </row>
    <row r="432" spans="3:3" ht="15.75" customHeight="1" x14ac:dyDescent="0.25">
      <c r="C432" s="11"/>
    </row>
    <row r="433" spans="3:3" ht="15.75" customHeight="1" x14ac:dyDescent="0.25">
      <c r="C433" s="11"/>
    </row>
    <row r="434" spans="3:3" ht="15.75" customHeight="1" x14ac:dyDescent="0.25">
      <c r="C434" s="11"/>
    </row>
    <row r="435" spans="3:3" ht="15.75" customHeight="1" x14ac:dyDescent="0.25">
      <c r="C435" s="11"/>
    </row>
    <row r="436" spans="3:3" ht="15.75" customHeight="1" x14ac:dyDescent="0.25">
      <c r="C436" s="11"/>
    </row>
    <row r="437" spans="3:3" ht="15.75" customHeight="1" x14ac:dyDescent="0.25">
      <c r="C437" s="11"/>
    </row>
    <row r="438" spans="3:3" ht="15.75" customHeight="1" x14ac:dyDescent="0.25">
      <c r="C438" s="11"/>
    </row>
    <row r="439" spans="3:3" ht="15.75" customHeight="1" x14ac:dyDescent="0.25">
      <c r="C439" s="11"/>
    </row>
    <row r="440" spans="3:3" ht="15.75" customHeight="1" x14ac:dyDescent="0.25">
      <c r="C440" s="11"/>
    </row>
    <row r="441" spans="3:3" ht="15.75" customHeight="1" x14ac:dyDescent="0.25">
      <c r="C441" s="11"/>
    </row>
    <row r="442" spans="3:3" ht="15.75" customHeight="1" x14ac:dyDescent="0.25">
      <c r="C442" s="11"/>
    </row>
    <row r="443" spans="3:3" ht="15.75" customHeight="1" x14ac:dyDescent="0.25">
      <c r="C443" s="11"/>
    </row>
    <row r="444" spans="3:3" ht="15.75" customHeight="1" x14ac:dyDescent="0.25">
      <c r="C444" s="11"/>
    </row>
    <row r="445" spans="3:3" ht="15.75" customHeight="1" x14ac:dyDescent="0.25">
      <c r="C445" s="11"/>
    </row>
    <row r="446" spans="3:3" ht="15.75" customHeight="1" x14ac:dyDescent="0.25">
      <c r="C446" s="11"/>
    </row>
    <row r="447" spans="3:3" ht="15.75" customHeight="1" x14ac:dyDescent="0.25">
      <c r="C447" s="11"/>
    </row>
    <row r="448" spans="3:3" ht="15.75" customHeight="1" x14ac:dyDescent="0.25">
      <c r="C448" s="11"/>
    </row>
    <row r="449" spans="3:3" ht="15.75" customHeight="1" x14ac:dyDescent="0.25">
      <c r="C449" s="11"/>
    </row>
    <row r="450" spans="3:3" ht="15.75" customHeight="1" x14ac:dyDescent="0.25">
      <c r="C450" s="11"/>
    </row>
    <row r="451" spans="3:3" ht="15.75" customHeight="1" x14ac:dyDescent="0.25">
      <c r="C451" s="11"/>
    </row>
    <row r="452" spans="3:3" ht="15.75" customHeight="1" x14ac:dyDescent="0.25">
      <c r="C452" s="11"/>
    </row>
    <row r="453" spans="3:3" ht="15.75" customHeight="1" x14ac:dyDescent="0.25">
      <c r="C453" s="11"/>
    </row>
    <row r="454" spans="3:3" ht="15.75" customHeight="1" x14ac:dyDescent="0.25">
      <c r="C454" s="11"/>
    </row>
    <row r="455" spans="3:3" ht="15.75" customHeight="1" x14ac:dyDescent="0.25">
      <c r="C455" s="11"/>
    </row>
    <row r="456" spans="3:3" ht="15.75" customHeight="1" x14ac:dyDescent="0.25">
      <c r="C456" s="11"/>
    </row>
    <row r="457" spans="3:3" ht="15.75" customHeight="1" x14ac:dyDescent="0.25">
      <c r="C457" s="11"/>
    </row>
    <row r="458" spans="3:3" ht="15.75" customHeight="1" x14ac:dyDescent="0.25">
      <c r="C458" s="11"/>
    </row>
    <row r="459" spans="3:3" ht="15.75" customHeight="1" x14ac:dyDescent="0.25">
      <c r="C459" s="11"/>
    </row>
    <row r="460" spans="3:3" ht="15.75" customHeight="1" x14ac:dyDescent="0.25">
      <c r="C460" s="11"/>
    </row>
    <row r="461" spans="3:3" ht="15.75" customHeight="1" x14ac:dyDescent="0.25">
      <c r="C461" s="11"/>
    </row>
    <row r="462" spans="3:3" ht="15.75" customHeight="1" x14ac:dyDescent="0.25">
      <c r="C462" s="11"/>
    </row>
    <row r="463" spans="3:3" ht="15.75" customHeight="1" x14ac:dyDescent="0.25">
      <c r="C463" s="11"/>
    </row>
    <row r="464" spans="3:3" ht="15.75" customHeight="1" x14ac:dyDescent="0.25">
      <c r="C464" s="11"/>
    </row>
    <row r="465" spans="3:3" ht="15.75" customHeight="1" x14ac:dyDescent="0.25">
      <c r="C465" s="11"/>
    </row>
    <row r="466" spans="3:3" ht="15.75" customHeight="1" x14ac:dyDescent="0.25">
      <c r="C466" s="11"/>
    </row>
    <row r="467" spans="3:3" ht="15.75" customHeight="1" x14ac:dyDescent="0.25">
      <c r="C467" s="11"/>
    </row>
    <row r="468" spans="3:3" ht="15.75" customHeight="1" x14ac:dyDescent="0.25">
      <c r="C468" s="11"/>
    </row>
    <row r="469" spans="3:3" ht="15.75" customHeight="1" x14ac:dyDescent="0.25">
      <c r="C469" s="11"/>
    </row>
    <row r="470" spans="3:3" ht="15.75" customHeight="1" x14ac:dyDescent="0.25">
      <c r="C470" s="11"/>
    </row>
    <row r="471" spans="3:3" ht="15.75" customHeight="1" x14ac:dyDescent="0.25">
      <c r="C471" s="11"/>
    </row>
    <row r="472" spans="3:3" ht="15.75" customHeight="1" x14ac:dyDescent="0.25">
      <c r="C472" s="11"/>
    </row>
    <row r="473" spans="3:3" ht="15.75" customHeight="1" x14ac:dyDescent="0.25">
      <c r="C473" s="11"/>
    </row>
    <row r="474" spans="3:3" ht="15.75" customHeight="1" x14ac:dyDescent="0.25">
      <c r="C474" s="11"/>
    </row>
    <row r="475" spans="3:3" ht="15.75" customHeight="1" x14ac:dyDescent="0.25">
      <c r="C475" s="11"/>
    </row>
    <row r="476" spans="3:3" ht="15.75" customHeight="1" x14ac:dyDescent="0.25">
      <c r="C476" s="11"/>
    </row>
    <row r="477" spans="3:3" ht="15.75" customHeight="1" x14ac:dyDescent="0.25">
      <c r="C477" s="11"/>
    </row>
    <row r="478" spans="3:3" ht="15.75" customHeight="1" x14ac:dyDescent="0.25">
      <c r="C478" s="11"/>
    </row>
    <row r="479" spans="3:3" ht="15.75" customHeight="1" x14ac:dyDescent="0.25">
      <c r="C479" s="11"/>
    </row>
    <row r="480" spans="3:3" ht="15.75" customHeight="1" x14ac:dyDescent="0.25">
      <c r="C480" s="11"/>
    </row>
    <row r="481" spans="3:3" ht="15.75" customHeight="1" x14ac:dyDescent="0.25">
      <c r="C481" s="11"/>
    </row>
    <row r="482" spans="3:3" ht="15.75" customHeight="1" x14ac:dyDescent="0.25">
      <c r="C482" s="11"/>
    </row>
    <row r="483" spans="3:3" ht="15.75" customHeight="1" x14ac:dyDescent="0.25">
      <c r="C483" s="11"/>
    </row>
    <row r="484" spans="3:3" ht="15.75" customHeight="1" x14ac:dyDescent="0.25">
      <c r="C484" s="11"/>
    </row>
    <row r="485" spans="3:3" ht="15.75" customHeight="1" x14ac:dyDescent="0.25">
      <c r="C485" s="11"/>
    </row>
    <row r="486" spans="3:3" ht="15.75" customHeight="1" x14ac:dyDescent="0.25">
      <c r="C486" s="11"/>
    </row>
    <row r="487" spans="3:3" ht="15.75" customHeight="1" x14ac:dyDescent="0.25">
      <c r="C487" s="11"/>
    </row>
    <row r="488" spans="3:3" ht="15.75" customHeight="1" x14ac:dyDescent="0.25">
      <c r="C488" s="11"/>
    </row>
    <row r="489" spans="3:3" ht="15.75" customHeight="1" x14ac:dyDescent="0.25">
      <c r="C489" s="11"/>
    </row>
    <row r="490" spans="3:3" ht="15.75" customHeight="1" x14ac:dyDescent="0.25">
      <c r="C490" s="11"/>
    </row>
    <row r="491" spans="3:3" ht="15.75" customHeight="1" x14ac:dyDescent="0.25">
      <c r="C491" s="11"/>
    </row>
    <row r="492" spans="3:3" ht="15.75" customHeight="1" x14ac:dyDescent="0.25">
      <c r="C492" s="11"/>
    </row>
    <row r="493" spans="3:3" ht="15.75" customHeight="1" x14ac:dyDescent="0.25">
      <c r="C493" s="11"/>
    </row>
    <row r="494" spans="3:3" ht="15.75" customHeight="1" x14ac:dyDescent="0.25">
      <c r="C494" s="11"/>
    </row>
    <row r="495" spans="3:3" ht="15.75" customHeight="1" x14ac:dyDescent="0.25">
      <c r="C495" s="11"/>
    </row>
    <row r="496" spans="3:3" ht="15.75" customHeight="1" x14ac:dyDescent="0.25">
      <c r="C496" s="11"/>
    </row>
    <row r="497" spans="3:3" ht="15.75" customHeight="1" x14ac:dyDescent="0.25">
      <c r="C497" s="11"/>
    </row>
    <row r="498" spans="3:3" ht="15.75" customHeight="1" x14ac:dyDescent="0.25">
      <c r="C498" s="11"/>
    </row>
    <row r="499" spans="3:3" ht="15.75" customHeight="1" x14ac:dyDescent="0.25">
      <c r="C499" s="11"/>
    </row>
    <row r="500" spans="3:3" ht="15.75" customHeight="1" x14ac:dyDescent="0.25">
      <c r="C500" s="11"/>
    </row>
    <row r="501" spans="3:3" ht="15.75" customHeight="1" x14ac:dyDescent="0.25">
      <c r="C501" s="11"/>
    </row>
    <row r="502" spans="3:3" ht="15.75" customHeight="1" x14ac:dyDescent="0.25">
      <c r="C502" s="11"/>
    </row>
    <row r="503" spans="3:3" ht="15.75" customHeight="1" x14ac:dyDescent="0.25">
      <c r="C503" s="11"/>
    </row>
    <row r="504" spans="3:3" ht="15.75" customHeight="1" x14ac:dyDescent="0.25">
      <c r="C504" s="11"/>
    </row>
    <row r="505" spans="3:3" ht="15.75" customHeight="1" x14ac:dyDescent="0.25">
      <c r="C505" s="11"/>
    </row>
    <row r="506" spans="3:3" ht="15.75" customHeight="1" x14ac:dyDescent="0.25">
      <c r="C506" s="11"/>
    </row>
    <row r="507" spans="3:3" ht="15.75" customHeight="1" x14ac:dyDescent="0.25">
      <c r="C507" s="11"/>
    </row>
    <row r="508" spans="3:3" ht="15.75" customHeight="1" x14ac:dyDescent="0.25">
      <c r="C508" s="11"/>
    </row>
    <row r="509" spans="3:3" ht="15.75" customHeight="1" x14ac:dyDescent="0.25">
      <c r="C509" s="11"/>
    </row>
    <row r="510" spans="3:3" ht="15.75" customHeight="1" x14ac:dyDescent="0.25">
      <c r="C510" s="11"/>
    </row>
    <row r="511" spans="3:3" ht="15.75" customHeight="1" x14ac:dyDescent="0.25">
      <c r="C511" s="11"/>
    </row>
    <row r="512" spans="3:3" ht="15.75" customHeight="1" x14ac:dyDescent="0.25">
      <c r="C512" s="11"/>
    </row>
    <row r="513" spans="3:3" ht="15.75" customHeight="1" x14ac:dyDescent="0.25">
      <c r="C513" s="11"/>
    </row>
    <row r="514" spans="3:3" ht="15.75" customHeight="1" x14ac:dyDescent="0.25">
      <c r="C514" s="11"/>
    </row>
    <row r="515" spans="3:3" ht="15.75" customHeight="1" x14ac:dyDescent="0.25">
      <c r="C515" s="11"/>
    </row>
    <row r="516" spans="3:3" ht="15.75" customHeight="1" x14ac:dyDescent="0.25">
      <c r="C516" s="11"/>
    </row>
    <row r="517" spans="3:3" ht="15.75" customHeight="1" x14ac:dyDescent="0.25">
      <c r="C517" s="11"/>
    </row>
    <row r="518" spans="3:3" ht="15.75" customHeight="1" x14ac:dyDescent="0.25">
      <c r="C518" s="11"/>
    </row>
    <row r="519" spans="3:3" ht="15.75" customHeight="1" x14ac:dyDescent="0.25">
      <c r="C519" s="11"/>
    </row>
    <row r="520" spans="3:3" ht="15.75" customHeight="1" x14ac:dyDescent="0.25">
      <c r="C520" s="11"/>
    </row>
    <row r="521" spans="3:3" ht="15.75" customHeight="1" x14ac:dyDescent="0.25">
      <c r="C521" s="11"/>
    </row>
    <row r="522" spans="3:3" ht="15.75" customHeight="1" x14ac:dyDescent="0.25">
      <c r="C522" s="11"/>
    </row>
    <row r="523" spans="3:3" ht="15.75" customHeight="1" x14ac:dyDescent="0.25">
      <c r="C523" s="11"/>
    </row>
    <row r="524" spans="3:3" ht="15.75" customHeight="1" x14ac:dyDescent="0.25">
      <c r="C524" s="11"/>
    </row>
    <row r="525" spans="3:3" ht="15.75" customHeight="1" x14ac:dyDescent="0.25">
      <c r="C525" s="11"/>
    </row>
    <row r="526" spans="3:3" ht="15.75" customHeight="1" x14ac:dyDescent="0.25">
      <c r="C526" s="11"/>
    </row>
    <row r="527" spans="3:3" ht="15.75" customHeight="1" x14ac:dyDescent="0.25">
      <c r="C527" s="11"/>
    </row>
    <row r="528" spans="3:3" ht="15.75" customHeight="1" x14ac:dyDescent="0.25">
      <c r="C528" s="11"/>
    </row>
    <row r="529" spans="3:3" ht="15.75" customHeight="1" x14ac:dyDescent="0.25">
      <c r="C529" s="11"/>
    </row>
    <row r="530" spans="3:3" ht="15.75" customHeight="1" x14ac:dyDescent="0.25">
      <c r="C530" s="11"/>
    </row>
    <row r="531" spans="3:3" ht="15.75" customHeight="1" x14ac:dyDescent="0.25">
      <c r="C531" s="11"/>
    </row>
    <row r="532" spans="3:3" ht="15.75" customHeight="1" x14ac:dyDescent="0.25">
      <c r="C532" s="11"/>
    </row>
    <row r="533" spans="3:3" ht="15.75" customHeight="1" x14ac:dyDescent="0.25">
      <c r="C533" s="11"/>
    </row>
    <row r="534" spans="3:3" ht="15.75" customHeight="1" x14ac:dyDescent="0.25">
      <c r="C534" s="11"/>
    </row>
    <row r="535" spans="3:3" ht="15.75" customHeight="1" x14ac:dyDescent="0.25">
      <c r="C535" s="11"/>
    </row>
    <row r="536" spans="3:3" ht="15.75" customHeight="1" x14ac:dyDescent="0.25">
      <c r="C536" s="11"/>
    </row>
    <row r="537" spans="3:3" ht="15.75" customHeight="1" x14ac:dyDescent="0.25">
      <c r="C537" s="11"/>
    </row>
    <row r="538" spans="3:3" ht="15.75" customHeight="1" x14ac:dyDescent="0.25">
      <c r="C538" s="11"/>
    </row>
    <row r="539" spans="3:3" ht="15.75" customHeight="1" x14ac:dyDescent="0.25">
      <c r="C539" s="11"/>
    </row>
    <row r="540" spans="3:3" ht="15.75" customHeight="1" x14ac:dyDescent="0.25">
      <c r="C540" s="11"/>
    </row>
    <row r="541" spans="3:3" ht="15.75" customHeight="1" x14ac:dyDescent="0.25">
      <c r="C541" s="11"/>
    </row>
    <row r="542" spans="3:3" ht="15.75" customHeight="1" x14ac:dyDescent="0.25">
      <c r="C542" s="11"/>
    </row>
    <row r="543" spans="3:3" ht="15.75" customHeight="1" x14ac:dyDescent="0.25">
      <c r="C543" s="11"/>
    </row>
    <row r="544" spans="3:3" ht="15.75" customHeight="1" x14ac:dyDescent="0.25">
      <c r="C544" s="11"/>
    </row>
    <row r="545" spans="3:3" ht="15.75" customHeight="1" x14ac:dyDescent="0.25">
      <c r="C545" s="11"/>
    </row>
    <row r="546" spans="3:3" ht="15.75" customHeight="1" x14ac:dyDescent="0.25">
      <c r="C546" s="11"/>
    </row>
    <row r="547" spans="3:3" ht="15.75" customHeight="1" x14ac:dyDescent="0.25">
      <c r="C547" s="11"/>
    </row>
    <row r="548" spans="3:3" ht="15.75" customHeight="1" x14ac:dyDescent="0.25">
      <c r="C548" s="11"/>
    </row>
    <row r="549" spans="3:3" ht="15.75" customHeight="1" x14ac:dyDescent="0.25">
      <c r="C549" s="11"/>
    </row>
    <row r="550" spans="3:3" ht="15.75" customHeight="1" x14ac:dyDescent="0.25">
      <c r="C550" s="11"/>
    </row>
    <row r="551" spans="3:3" ht="15.75" customHeight="1" x14ac:dyDescent="0.25">
      <c r="C551" s="11"/>
    </row>
    <row r="552" spans="3:3" ht="15.75" customHeight="1" x14ac:dyDescent="0.25">
      <c r="C552" s="11"/>
    </row>
    <row r="553" spans="3:3" ht="15.75" customHeight="1" x14ac:dyDescent="0.25">
      <c r="C553" s="11"/>
    </row>
    <row r="554" spans="3:3" ht="15.75" customHeight="1" x14ac:dyDescent="0.25">
      <c r="C554" s="11"/>
    </row>
    <row r="555" spans="3:3" ht="15.75" customHeight="1" x14ac:dyDescent="0.25">
      <c r="C555" s="11"/>
    </row>
    <row r="556" spans="3:3" ht="15.75" customHeight="1" x14ac:dyDescent="0.25">
      <c r="C556" s="11"/>
    </row>
    <row r="557" spans="3:3" ht="15.75" customHeight="1" x14ac:dyDescent="0.25">
      <c r="C557" s="11"/>
    </row>
    <row r="558" spans="3:3" ht="15.75" customHeight="1" x14ac:dyDescent="0.25">
      <c r="C558" s="11"/>
    </row>
    <row r="559" spans="3:3" ht="15.75" customHeight="1" x14ac:dyDescent="0.25">
      <c r="C559" s="11"/>
    </row>
    <row r="560" spans="3:3" ht="15.75" customHeight="1" x14ac:dyDescent="0.25">
      <c r="C560" s="11"/>
    </row>
    <row r="561" spans="3:3" ht="15.75" customHeight="1" x14ac:dyDescent="0.25">
      <c r="C561" s="11"/>
    </row>
    <row r="562" spans="3:3" ht="15.75" customHeight="1" x14ac:dyDescent="0.25">
      <c r="C562" s="11"/>
    </row>
    <row r="563" spans="3:3" ht="15.75" customHeight="1" x14ac:dyDescent="0.25">
      <c r="C563" s="11"/>
    </row>
    <row r="564" spans="3:3" ht="15.75" customHeight="1" x14ac:dyDescent="0.25">
      <c r="C564" s="11"/>
    </row>
    <row r="565" spans="3:3" ht="15.75" customHeight="1" x14ac:dyDescent="0.25">
      <c r="C565" s="11"/>
    </row>
    <row r="566" spans="3:3" ht="15.75" customHeight="1" x14ac:dyDescent="0.25">
      <c r="C566" s="11"/>
    </row>
    <row r="567" spans="3:3" ht="15.75" customHeight="1" x14ac:dyDescent="0.25">
      <c r="C567" s="11"/>
    </row>
    <row r="568" spans="3:3" ht="15.75" customHeight="1" x14ac:dyDescent="0.25">
      <c r="C568" s="11"/>
    </row>
    <row r="569" spans="3:3" ht="15.75" customHeight="1" x14ac:dyDescent="0.25">
      <c r="C569" s="11"/>
    </row>
    <row r="570" spans="3:3" ht="15.75" customHeight="1" x14ac:dyDescent="0.25">
      <c r="C570" s="11"/>
    </row>
    <row r="571" spans="3:3" ht="15.75" customHeight="1" x14ac:dyDescent="0.25">
      <c r="C571" s="11"/>
    </row>
    <row r="572" spans="3:3" ht="15.75" customHeight="1" x14ac:dyDescent="0.25">
      <c r="C572" s="11"/>
    </row>
    <row r="573" spans="3:3" ht="15.75" customHeight="1" x14ac:dyDescent="0.25">
      <c r="C573" s="11"/>
    </row>
    <row r="574" spans="3:3" ht="15.75" customHeight="1" x14ac:dyDescent="0.25">
      <c r="C574" s="11"/>
    </row>
    <row r="575" spans="3:3" ht="15.75" customHeight="1" x14ac:dyDescent="0.25">
      <c r="C575" s="11"/>
    </row>
    <row r="576" spans="3:3" ht="15.75" customHeight="1" x14ac:dyDescent="0.25">
      <c r="C576" s="11"/>
    </row>
    <row r="577" spans="3:3" ht="15.75" customHeight="1" x14ac:dyDescent="0.25">
      <c r="C577" s="11"/>
    </row>
    <row r="578" spans="3:3" ht="15.75" customHeight="1" x14ac:dyDescent="0.25">
      <c r="C578" s="11"/>
    </row>
    <row r="579" spans="3:3" ht="15.75" customHeight="1" x14ac:dyDescent="0.25">
      <c r="C579" s="11"/>
    </row>
    <row r="580" spans="3:3" ht="15.75" customHeight="1" x14ac:dyDescent="0.25">
      <c r="C580" s="11"/>
    </row>
    <row r="581" spans="3:3" ht="15.75" customHeight="1" x14ac:dyDescent="0.25">
      <c r="C581" s="11"/>
    </row>
    <row r="582" spans="3:3" ht="15.75" customHeight="1" x14ac:dyDescent="0.25">
      <c r="C582" s="11"/>
    </row>
    <row r="583" spans="3:3" ht="15.75" customHeight="1" x14ac:dyDescent="0.25">
      <c r="C583" s="11"/>
    </row>
    <row r="584" spans="3:3" ht="15.75" customHeight="1" x14ac:dyDescent="0.25">
      <c r="C584" s="11"/>
    </row>
    <row r="585" spans="3:3" ht="15.75" customHeight="1" x14ac:dyDescent="0.25">
      <c r="C585" s="11"/>
    </row>
    <row r="586" spans="3:3" ht="15.75" customHeight="1" x14ac:dyDescent="0.25">
      <c r="C586" s="11"/>
    </row>
    <row r="587" spans="3:3" ht="15.75" customHeight="1" x14ac:dyDescent="0.25">
      <c r="C587" s="11"/>
    </row>
    <row r="588" spans="3:3" ht="15.75" customHeight="1" x14ac:dyDescent="0.25">
      <c r="C588" s="11"/>
    </row>
    <row r="589" spans="3:3" ht="15.75" customHeight="1" x14ac:dyDescent="0.25">
      <c r="C589" s="11"/>
    </row>
    <row r="590" spans="3:3" ht="15.75" customHeight="1" x14ac:dyDescent="0.25">
      <c r="C590" s="11"/>
    </row>
    <row r="591" spans="3:3" ht="15.75" customHeight="1" x14ac:dyDescent="0.25">
      <c r="C591" s="11"/>
    </row>
    <row r="592" spans="3:3" ht="15.75" customHeight="1" x14ac:dyDescent="0.25">
      <c r="C592" s="11"/>
    </row>
    <row r="593" spans="3:3" ht="15.75" customHeight="1" x14ac:dyDescent="0.25">
      <c r="C593" s="11"/>
    </row>
    <row r="594" spans="3:3" ht="15.75" customHeight="1" x14ac:dyDescent="0.25">
      <c r="C594" s="11"/>
    </row>
    <row r="595" spans="3:3" ht="15.75" customHeight="1" x14ac:dyDescent="0.25">
      <c r="C595" s="11"/>
    </row>
    <row r="596" spans="3:3" ht="15.75" customHeight="1" x14ac:dyDescent="0.25">
      <c r="C596" s="11"/>
    </row>
    <row r="597" spans="3:3" ht="15.75" customHeight="1" x14ac:dyDescent="0.25">
      <c r="C597" s="11"/>
    </row>
    <row r="598" spans="3:3" ht="15.75" customHeight="1" x14ac:dyDescent="0.25">
      <c r="C598" s="11"/>
    </row>
    <row r="599" spans="3:3" ht="15.75" customHeight="1" x14ac:dyDescent="0.25">
      <c r="C599" s="11"/>
    </row>
    <row r="600" spans="3:3" ht="15.75" customHeight="1" x14ac:dyDescent="0.25">
      <c r="C600" s="11"/>
    </row>
    <row r="601" spans="3:3" ht="15.75" customHeight="1" x14ac:dyDescent="0.25">
      <c r="C601" s="11"/>
    </row>
    <row r="602" spans="3:3" ht="15.75" customHeight="1" x14ac:dyDescent="0.25">
      <c r="C602" s="11"/>
    </row>
    <row r="603" spans="3:3" ht="15.75" customHeight="1" x14ac:dyDescent="0.25">
      <c r="C603" s="11"/>
    </row>
    <row r="604" spans="3:3" ht="15.75" customHeight="1" x14ac:dyDescent="0.25">
      <c r="C604" s="11"/>
    </row>
    <row r="605" spans="3:3" ht="15.75" customHeight="1" x14ac:dyDescent="0.25">
      <c r="C605" s="11"/>
    </row>
    <row r="606" spans="3:3" ht="15.75" customHeight="1" x14ac:dyDescent="0.25">
      <c r="C606" s="11"/>
    </row>
    <row r="607" spans="3:3" ht="15.75" customHeight="1" x14ac:dyDescent="0.25">
      <c r="C607" s="11"/>
    </row>
    <row r="608" spans="3:3" ht="15.75" customHeight="1" x14ac:dyDescent="0.25">
      <c r="C608" s="11"/>
    </row>
    <row r="609" spans="3:3" ht="15.75" customHeight="1" x14ac:dyDescent="0.25">
      <c r="C609" s="11"/>
    </row>
    <row r="610" spans="3:3" ht="15.75" customHeight="1" x14ac:dyDescent="0.25">
      <c r="C610" s="11"/>
    </row>
    <row r="611" spans="3:3" ht="15.75" customHeight="1" x14ac:dyDescent="0.25">
      <c r="C611" s="11"/>
    </row>
    <row r="612" spans="3:3" ht="15.75" customHeight="1" x14ac:dyDescent="0.25">
      <c r="C612" s="11"/>
    </row>
    <row r="613" spans="3:3" ht="15.75" customHeight="1" x14ac:dyDescent="0.25">
      <c r="C613" s="11"/>
    </row>
    <row r="614" spans="3:3" ht="15.75" customHeight="1" x14ac:dyDescent="0.25">
      <c r="C614" s="11"/>
    </row>
    <row r="615" spans="3:3" ht="15.75" customHeight="1" x14ac:dyDescent="0.25">
      <c r="C615" s="11"/>
    </row>
    <row r="616" spans="3:3" ht="15.75" customHeight="1" x14ac:dyDescent="0.25">
      <c r="C616" s="11"/>
    </row>
    <row r="617" spans="3:3" ht="15.75" customHeight="1" x14ac:dyDescent="0.25">
      <c r="C617" s="11"/>
    </row>
    <row r="618" spans="3:3" ht="15.75" customHeight="1" x14ac:dyDescent="0.25">
      <c r="C618" s="11"/>
    </row>
    <row r="619" spans="3:3" ht="15.75" customHeight="1" x14ac:dyDescent="0.25">
      <c r="C619" s="11"/>
    </row>
    <row r="620" spans="3:3" ht="15.75" customHeight="1" x14ac:dyDescent="0.25">
      <c r="C620" s="11"/>
    </row>
    <row r="621" spans="3:3" ht="15.75" customHeight="1" x14ac:dyDescent="0.25">
      <c r="C621" s="11"/>
    </row>
    <row r="622" spans="3:3" ht="15.75" customHeight="1" x14ac:dyDescent="0.25">
      <c r="C622" s="11"/>
    </row>
    <row r="623" spans="3:3" ht="15.75" customHeight="1" x14ac:dyDescent="0.25">
      <c r="C623" s="11"/>
    </row>
    <row r="624" spans="3:3" ht="15.75" customHeight="1" x14ac:dyDescent="0.25">
      <c r="C624" s="11"/>
    </row>
    <row r="625" spans="3:3" ht="15.75" customHeight="1" x14ac:dyDescent="0.25">
      <c r="C625" s="11"/>
    </row>
    <row r="626" spans="3:3" ht="15.75" customHeight="1" x14ac:dyDescent="0.25">
      <c r="C626" s="11"/>
    </row>
    <row r="627" spans="3:3" ht="15.75" customHeight="1" x14ac:dyDescent="0.25">
      <c r="C627" s="11"/>
    </row>
    <row r="628" spans="3:3" ht="15.75" customHeight="1" x14ac:dyDescent="0.25">
      <c r="C628" s="11"/>
    </row>
    <row r="629" spans="3:3" ht="15.75" customHeight="1" x14ac:dyDescent="0.25">
      <c r="C629" s="11"/>
    </row>
    <row r="630" spans="3:3" ht="15.75" customHeight="1" x14ac:dyDescent="0.25">
      <c r="C630" s="11"/>
    </row>
    <row r="631" spans="3:3" ht="15.75" customHeight="1" x14ac:dyDescent="0.25">
      <c r="C631" s="11"/>
    </row>
    <row r="632" spans="3:3" ht="15.75" customHeight="1" x14ac:dyDescent="0.25">
      <c r="C632" s="11"/>
    </row>
    <row r="633" spans="3:3" ht="15.75" customHeight="1" x14ac:dyDescent="0.25">
      <c r="C633" s="11"/>
    </row>
    <row r="634" spans="3:3" ht="15.75" customHeight="1" x14ac:dyDescent="0.25">
      <c r="C634" s="11"/>
    </row>
    <row r="635" spans="3:3" ht="15.75" customHeight="1" x14ac:dyDescent="0.25">
      <c r="C635" s="11"/>
    </row>
    <row r="636" spans="3:3" ht="15.75" customHeight="1" x14ac:dyDescent="0.25">
      <c r="C636" s="11"/>
    </row>
    <row r="637" spans="3:3" ht="15.75" customHeight="1" x14ac:dyDescent="0.25">
      <c r="C637" s="11"/>
    </row>
    <row r="638" spans="3:3" ht="15.75" customHeight="1" x14ac:dyDescent="0.25">
      <c r="C638" s="11"/>
    </row>
    <row r="639" spans="3:3" ht="15.75" customHeight="1" x14ac:dyDescent="0.25">
      <c r="C639" s="11"/>
    </row>
    <row r="640" spans="3:3" ht="15.75" customHeight="1" x14ac:dyDescent="0.25">
      <c r="C640" s="11"/>
    </row>
    <row r="641" spans="3:3" ht="15.75" customHeight="1" x14ac:dyDescent="0.25">
      <c r="C641" s="11"/>
    </row>
    <row r="642" spans="3:3" ht="15.75" customHeight="1" x14ac:dyDescent="0.25">
      <c r="C642" s="11"/>
    </row>
    <row r="643" spans="3:3" ht="15.75" customHeight="1" x14ac:dyDescent="0.25">
      <c r="C643" s="11"/>
    </row>
    <row r="644" spans="3:3" ht="15.75" customHeight="1" x14ac:dyDescent="0.25">
      <c r="C644" s="11"/>
    </row>
    <row r="645" spans="3:3" ht="15.75" customHeight="1" x14ac:dyDescent="0.25">
      <c r="C645" s="11"/>
    </row>
    <row r="646" spans="3:3" ht="15.75" customHeight="1" x14ac:dyDescent="0.25">
      <c r="C646" s="11"/>
    </row>
    <row r="647" spans="3:3" ht="15.75" customHeight="1" x14ac:dyDescent="0.25">
      <c r="C647" s="11"/>
    </row>
    <row r="648" spans="3:3" ht="15.75" customHeight="1" x14ac:dyDescent="0.25">
      <c r="C648" s="11"/>
    </row>
    <row r="649" spans="3:3" ht="15.75" customHeight="1" x14ac:dyDescent="0.25">
      <c r="C649" s="11"/>
    </row>
    <row r="650" spans="3:3" ht="15.75" customHeight="1" x14ac:dyDescent="0.25">
      <c r="C650" s="11"/>
    </row>
    <row r="651" spans="3:3" ht="15.75" customHeight="1" x14ac:dyDescent="0.25">
      <c r="C651" s="11"/>
    </row>
    <row r="652" spans="3:3" ht="15.75" customHeight="1" x14ac:dyDescent="0.25">
      <c r="C652" s="11"/>
    </row>
    <row r="653" spans="3:3" ht="15.75" customHeight="1" x14ac:dyDescent="0.25">
      <c r="C653" s="11"/>
    </row>
    <row r="654" spans="3:3" ht="15.75" customHeight="1" x14ac:dyDescent="0.25">
      <c r="C654" s="11"/>
    </row>
    <row r="655" spans="3:3" ht="15.75" customHeight="1" x14ac:dyDescent="0.25">
      <c r="C655" s="11"/>
    </row>
    <row r="656" spans="3:3" ht="15.75" customHeight="1" x14ac:dyDescent="0.25">
      <c r="C656" s="11"/>
    </row>
    <row r="657" spans="3:3" ht="15.75" customHeight="1" x14ac:dyDescent="0.25">
      <c r="C657" s="11"/>
    </row>
    <row r="658" spans="3:3" ht="15.75" customHeight="1" x14ac:dyDescent="0.25">
      <c r="C658" s="11"/>
    </row>
    <row r="659" spans="3:3" ht="15.75" customHeight="1" x14ac:dyDescent="0.25">
      <c r="C659" s="11"/>
    </row>
    <row r="660" spans="3:3" ht="15.75" customHeight="1" x14ac:dyDescent="0.25">
      <c r="C660" s="11"/>
    </row>
    <row r="661" spans="3:3" ht="15.75" customHeight="1" x14ac:dyDescent="0.25">
      <c r="C661" s="11"/>
    </row>
    <row r="662" spans="3:3" ht="15.75" customHeight="1" x14ac:dyDescent="0.25">
      <c r="C662" s="11"/>
    </row>
    <row r="663" spans="3:3" ht="15.75" customHeight="1" x14ac:dyDescent="0.25">
      <c r="C663" s="11"/>
    </row>
    <row r="664" spans="3:3" ht="15.75" customHeight="1" x14ac:dyDescent="0.25">
      <c r="C664" s="11"/>
    </row>
    <row r="665" spans="3:3" ht="15.75" customHeight="1" x14ac:dyDescent="0.25">
      <c r="C665" s="11"/>
    </row>
    <row r="666" spans="3:3" ht="15.75" customHeight="1" x14ac:dyDescent="0.25">
      <c r="C666" s="11"/>
    </row>
    <row r="667" spans="3:3" ht="15.75" customHeight="1" x14ac:dyDescent="0.25">
      <c r="C667" s="11"/>
    </row>
    <row r="668" spans="3:3" ht="15.75" customHeight="1" x14ac:dyDescent="0.25">
      <c r="C668" s="11"/>
    </row>
    <row r="669" spans="3:3" ht="15.75" customHeight="1" x14ac:dyDescent="0.25">
      <c r="C669" s="11"/>
    </row>
    <row r="670" spans="3:3" ht="15.75" customHeight="1" x14ac:dyDescent="0.25">
      <c r="C670" s="11"/>
    </row>
    <row r="671" spans="3:3" ht="15.75" customHeight="1" x14ac:dyDescent="0.25">
      <c r="C671" s="11"/>
    </row>
    <row r="672" spans="3:3" ht="15.75" customHeight="1" x14ac:dyDescent="0.25">
      <c r="C672" s="11"/>
    </row>
    <row r="673" spans="3:3" ht="15.75" customHeight="1" x14ac:dyDescent="0.25">
      <c r="C673" s="11"/>
    </row>
    <row r="674" spans="3:3" ht="15.75" customHeight="1" x14ac:dyDescent="0.25">
      <c r="C674" s="11"/>
    </row>
    <row r="675" spans="3:3" ht="15.75" customHeight="1" x14ac:dyDescent="0.25">
      <c r="C675" s="11"/>
    </row>
    <row r="676" spans="3:3" ht="15.75" customHeight="1" x14ac:dyDescent="0.25">
      <c r="C676" s="11"/>
    </row>
    <row r="677" spans="3:3" ht="15.75" customHeight="1" x14ac:dyDescent="0.25">
      <c r="C677" s="11"/>
    </row>
    <row r="678" spans="3:3" ht="15.75" customHeight="1" x14ac:dyDescent="0.25">
      <c r="C678" s="11"/>
    </row>
    <row r="679" spans="3:3" ht="15.75" customHeight="1" x14ac:dyDescent="0.25">
      <c r="C679" s="11"/>
    </row>
    <row r="680" spans="3:3" ht="15.75" customHeight="1" x14ac:dyDescent="0.25">
      <c r="C680" s="11"/>
    </row>
    <row r="681" spans="3:3" ht="15.75" customHeight="1" x14ac:dyDescent="0.25">
      <c r="C681" s="11"/>
    </row>
    <row r="682" spans="3:3" ht="15.75" customHeight="1" x14ac:dyDescent="0.25">
      <c r="C682" s="11"/>
    </row>
    <row r="683" spans="3:3" ht="15.75" customHeight="1" x14ac:dyDescent="0.25">
      <c r="C683" s="11"/>
    </row>
    <row r="684" spans="3:3" ht="15.75" customHeight="1" x14ac:dyDescent="0.25">
      <c r="C684" s="11"/>
    </row>
    <row r="685" spans="3:3" ht="15.75" customHeight="1" x14ac:dyDescent="0.25">
      <c r="C685" s="11"/>
    </row>
    <row r="686" spans="3:3" ht="15.75" customHeight="1" x14ac:dyDescent="0.25">
      <c r="C686" s="11"/>
    </row>
    <row r="687" spans="3:3" ht="15.75" customHeight="1" x14ac:dyDescent="0.25">
      <c r="C687" s="11"/>
    </row>
    <row r="688" spans="3:3" ht="15.75" customHeight="1" x14ac:dyDescent="0.25">
      <c r="C688" s="11"/>
    </row>
    <row r="689" spans="3:3" ht="15.75" customHeight="1" x14ac:dyDescent="0.25">
      <c r="C689" s="11"/>
    </row>
    <row r="690" spans="3:3" ht="15.75" customHeight="1" x14ac:dyDescent="0.25">
      <c r="C690" s="11"/>
    </row>
    <row r="691" spans="3:3" ht="15.75" customHeight="1" x14ac:dyDescent="0.25">
      <c r="C691" s="11"/>
    </row>
    <row r="692" spans="3:3" ht="15.75" customHeight="1" x14ac:dyDescent="0.25">
      <c r="C692" s="11"/>
    </row>
    <row r="693" spans="3:3" ht="15.75" customHeight="1" x14ac:dyDescent="0.25">
      <c r="C693" s="11"/>
    </row>
    <row r="694" spans="3:3" ht="15.75" customHeight="1" x14ac:dyDescent="0.25">
      <c r="C694" s="11"/>
    </row>
    <row r="695" spans="3:3" ht="15.75" customHeight="1" x14ac:dyDescent="0.25">
      <c r="C695" s="11"/>
    </row>
    <row r="696" spans="3:3" ht="15.75" customHeight="1" x14ac:dyDescent="0.25">
      <c r="C696" s="11"/>
    </row>
    <row r="697" spans="3:3" ht="15.75" customHeight="1" x14ac:dyDescent="0.25">
      <c r="C697" s="11"/>
    </row>
    <row r="698" spans="3:3" ht="15.75" customHeight="1" x14ac:dyDescent="0.25">
      <c r="C698" s="11"/>
    </row>
    <row r="699" spans="3:3" ht="15.75" customHeight="1" x14ac:dyDescent="0.25">
      <c r="C699" s="11"/>
    </row>
    <row r="700" spans="3:3" ht="15.75" customHeight="1" x14ac:dyDescent="0.25">
      <c r="C700" s="11"/>
    </row>
    <row r="701" spans="3:3" ht="15.75" customHeight="1" x14ac:dyDescent="0.25">
      <c r="C701" s="11"/>
    </row>
    <row r="702" spans="3:3" ht="15.75" customHeight="1" x14ac:dyDescent="0.25">
      <c r="C702" s="11"/>
    </row>
    <row r="703" spans="3:3" ht="15.75" customHeight="1" x14ac:dyDescent="0.25">
      <c r="C703" s="11"/>
    </row>
    <row r="704" spans="3:3" ht="15.75" customHeight="1" x14ac:dyDescent="0.25">
      <c r="C704" s="11"/>
    </row>
    <row r="705" spans="3:3" ht="15.75" customHeight="1" x14ac:dyDescent="0.25">
      <c r="C705" s="11"/>
    </row>
    <row r="706" spans="3:3" ht="15.75" customHeight="1" x14ac:dyDescent="0.25">
      <c r="C706" s="11"/>
    </row>
    <row r="707" spans="3:3" ht="15.75" customHeight="1" x14ac:dyDescent="0.25">
      <c r="C707" s="11"/>
    </row>
    <row r="708" spans="3:3" ht="15.75" customHeight="1" x14ac:dyDescent="0.25">
      <c r="C708" s="11"/>
    </row>
    <row r="709" spans="3:3" ht="15.75" customHeight="1" x14ac:dyDescent="0.25">
      <c r="C709" s="11"/>
    </row>
    <row r="710" spans="3:3" ht="15.75" customHeight="1" x14ac:dyDescent="0.25">
      <c r="C710" s="11"/>
    </row>
    <row r="711" spans="3:3" ht="15.75" customHeight="1" x14ac:dyDescent="0.25">
      <c r="C711" s="11"/>
    </row>
    <row r="712" spans="3:3" ht="15.75" customHeight="1" x14ac:dyDescent="0.25">
      <c r="C712" s="11"/>
    </row>
    <row r="713" spans="3:3" ht="15.75" customHeight="1" x14ac:dyDescent="0.25">
      <c r="C713" s="11"/>
    </row>
    <row r="714" spans="3:3" ht="15.75" customHeight="1" x14ac:dyDescent="0.25">
      <c r="C714" s="11"/>
    </row>
    <row r="715" spans="3:3" ht="15.75" customHeight="1" x14ac:dyDescent="0.25">
      <c r="C715" s="11"/>
    </row>
    <row r="716" spans="3:3" ht="15.75" customHeight="1" x14ac:dyDescent="0.25">
      <c r="C716" s="11"/>
    </row>
    <row r="717" spans="3:3" ht="15.75" customHeight="1" x14ac:dyDescent="0.25">
      <c r="C717" s="11"/>
    </row>
    <row r="718" spans="3:3" ht="15.75" customHeight="1" x14ac:dyDescent="0.25">
      <c r="C718" s="11"/>
    </row>
    <row r="719" spans="3:3" ht="15.75" customHeight="1" x14ac:dyDescent="0.25">
      <c r="C719" s="11"/>
    </row>
    <row r="720" spans="3:3" ht="15.75" customHeight="1" x14ac:dyDescent="0.25">
      <c r="C720" s="11"/>
    </row>
    <row r="721" spans="3:3" ht="15.75" customHeight="1" x14ac:dyDescent="0.25">
      <c r="C721" s="11"/>
    </row>
    <row r="722" spans="3:3" ht="15.75" customHeight="1" x14ac:dyDescent="0.25">
      <c r="C722" s="11"/>
    </row>
    <row r="723" spans="3:3" ht="15.75" customHeight="1" x14ac:dyDescent="0.25">
      <c r="C723" s="11"/>
    </row>
    <row r="724" spans="3:3" ht="15.75" customHeight="1" x14ac:dyDescent="0.25">
      <c r="C724" s="11"/>
    </row>
    <row r="725" spans="3:3" ht="15.75" customHeight="1" x14ac:dyDescent="0.25">
      <c r="C725" s="11"/>
    </row>
    <row r="726" spans="3:3" ht="15.75" customHeight="1" x14ac:dyDescent="0.25">
      <c r="C726" s="11"/>
    </row>
    <row r="727" spans="3:3" ht="15.75" customHeight="1" x14ac:dyDescent="0.25">
      <c r="C727" s="11"/>
    </row>
    <row r="728" spans="3:3" ht="15.75" customHeight="1" x14ac:dyDescent="0.25">
      <c r="C728" s="11"/>
    </row>
    <row r="729" spans="3:3" ht="15.75" customHeight="1" x14ac:dyDescent="0.25">
      <c r="C729" s="11"/>
    </row>
    <row r="730" spans="3:3" ht="15.75" customHeight="1" x14ac:dyDescent="0.25">
      <c r="C730" s="11"/>
    </row>
    <row r="731" spans="3:3" ht="15.75" customHeight="1" x14ac:dyDescent="0.25">
      <c r="C731" s="11"/>
    </row>
    <row r="732" spans="3:3" ht="15.75" customHeight="1" x14ac:dyDescent="0.25">
      <c r="C732" s="11"/>
    </row>
    <row r="733" spans="3:3" ht="15.75" customHeight="1" x14ac:dyDescent="0.25">
      <c r="C733" s="11"/>
    </row>
    <row r="734" spans="3:3" ht="15.75" customHeight="1" x14ac:dyDescent="0.25">
      <c r="C734" s="11"/>
    </row>
    <row r="735" spans="3:3" ht="15.75" customHeight="1" x14ac:dyDescent="0.25">
      <c r="C735" s="11"/>
    </row>
    <row r="736" spans="3:3" ht="15.75" customHeight="1" x14ac:dyDescent="0.25">
      <c r="C736" s="11"/>
    </row>
    <row r="737" spans="3:3" ht="15.75" customHeight="1" x14ac:dyDescent="0.25">
      <c r="C737" s="11"/>
    </row>
    <row r="738" spans="3:3" ht="15.75" customHeight="1" x14ac:dyDescent="0.25">
      <c r="C738" s="11"/>
    </row>
    <row r="739" spans="3:3" ht="15.75" customHeight="1" x14ac:dyDescent="0.25">
      <c r="C739" s="11"/>
    </row>
    <row r="740" spans="3:3" ht="15.75" customHeight="1" x14ac:dyDescent="0.25">
      <c r="C740" s="11"/>
    </row>
    <row r="741" spans="3:3" ht="15.75" customHeight="1" x14ac:dyDescent="0.25">
      <c r="C741" s="11"/>
    </row>
    <row r="742" spans="3:3" ht="15.75" customHeight="1" x14ac:dyDescent="0.25">
      <c r="C742" s="11"/>
    </row>
    <row r="743" spans="3:3" ht="15.75" customHeight="1" x14ac:dyDescent="0.25">
      <c r="C743" s="11"/>
    </row>
    <row r="744" spans="3:3" ht="15.75" customHeight="1" x14ac:dyDescent="0.25">
      <c r="C744" s="11"/>
    </row>
    <row r="745" spans="3:3" ht="15.75" customHeight="1" x14ac:dyDescent="0.25">
      <c r="C745" s="11"/>
    </row>
    <row r="746" spans="3:3" ht="15.75" customHeight="1" x14ac:dyDescent="0.25">
      <c r="C746" s="11"/>
    </row>
    <row r="747" spans="3:3" ht="15.75" customHeight="1" x14ac:dyDescent="0.25">
      <c r="C747" s="11"/>
    </row>
    <row r="748" spans="3:3" ht="15.75" customHeight="1" x14ac:dyDescent="0.25">
      <c r="C748" s="11"/>
    </row>
    <row r="749" spans="3:3" ht="15.75" customHeight="1" x14ac:dyDescent="0.25">
      <c r="C749" s="11"/>
    </row>
    <row r="750" spans="3:3" ht="15.75" customHeight="1" x14ac:dyDescent="0.25">
      <c r="C750" s="11"/>
    </row>
    <row r="751" spans="3:3" ht="15.75" customHeight="1" x14ac:dyDescent="0.25">
      <c r="C751" s="11"/>
    </row>
    <row r="752" spans="3:3" ht="15.75" customHeight="1" x14ac:dyDescent="0.25">
      <c r="C752" s="11"/>
    </row>
    <row r="753" spans="3:3" ht="15.75" customHeight="1" x14ac:dyDescent="0.25">
      <c r="C753" s="11"/>
    </row>
    <row r="754" spans="3:3" ht="15.75" customHeight="1" x14ac:dyDescent="0.25">
      <c r="C754" s="11"/>
    </row>
    <row r="755" spans="3:3" ht="15.75" customHeight="1" x14ac:dyDescent="0.25">
      <c r="C755" s="11"/>
    </row>
    <row r="756" spans="3:3" ht="15.75" customHeight="1" x14ac:dyDescent="0.25">
      <c r="C756" s="11"/>
    </row>
    <row r="757" spans="3:3" ht="15.75" customHeight="1" x14ac:dyDescent="0.25">
      <c r="C757" s="11"/>
    </row>
    <row r="758" spans="3:3" ht="15.75" customHeight="1" x14ac:dyDescent="0.25">
      <c r="C758" s="11"/>
    </row>
    <row r="759" spans="3:3" ht="15.75" customHeight="1" x14ac:dyDescent="0.25">
      <c r="C759" s="11"/>
    </row>
    <row r="760" spans="3:3" ht="15.75" customHeight="1" x14ac:dyDescent="0.25">
      <c r="C760" s="11"/>
    </row>
    <row r="761" spans="3:3" ht="15.75" customHeight="1" x14ac:dyDescent="0.25">
      <c r="C761" s="11"/>
    </row>
    <row r="762" spans="3:3" ht="15.75" customHeight="1" x14ac:dyDescent="0.25">
      <c r="C762" s="11"/>
    </row>
    <row r="763" spans="3:3" ht="15.75" customHeight="1" x14ac:dyDescent="0.25">
      <c r="C763" s="11"/>
    </row>
    <row r="764" spans="3:3" ht="15.75" customHeight="1" x14ac:dyDescent="0.25">
      <c r="C764" s="11"/>
    </row>
    <row r="765" spans="3:3" ht="15.75" customHeight="1" x14ac:dyDescent="0.25">
      <c r="C765" s="11"/>
    </row>
    <row r="766" spans="3:3" ht="15.75" customHeight="1" x14ac:dyDescent="0.25">
      <c r="C766" s="11"/>
    </row>
    <row r="767" spans="3:3" ht="15.75" customHeight="1" x14ac:dyDescent="0.25">
      <c r="C767" s="11"/>
    </row>
    <row r="768" spans="3:3" ht="15.75" customHeight="1" x14ac:dyDescent="0.25">
      <c r="C768" s="11"/>
    </row>
    <row r="769" spans="3:3" ht="15.75" customHeight="1" x14ac:dyDescent="0.25">
      <c r="C769" s="11"/>
    </row>
    <row r="770" spans="3:3" ht="15.75" customHeight="1" x14ac:dyDescent="0.25">
      <c r="C770" s="11"/>
    </row>
    <row r="771" spans="3:3" ht="15.75" customHeight="1" x14ac:dyDescent="0.25">
      <c r="C771" s="11"/>
    </row>
    <row r="772" spans="3:3" ht="15.75" customHeight="1" x14ac:dyDescent="0.25">
      <c r="C772" s="11"/>
    </row>
    <row r="773" spans="3:3" ht="15.75" customHeight="1" x14ac:dyDescent="0.25">
      <c r="C773" s="11"/>
    </row>
    <row r="774" spans="3:3" ht="15.75" customHeight="1" x14ac:dyDescent="0.25">
      <c r="C774" s="11"/>
    </row>
    <row r="775" spans="3:3" ht="15.75" customHeight="1" x14ac:dyDescent="0.25">
      <c r="C775" s="11"/>
    </row>
    <row r="776" spans="3:3" ht="15.75" customHeight="1" x14ac:dyDescent="0.25">
      <c r="C776" s="11"/>
    </row>
    <row r="777" spans="3:3" ht="15.75" customHeight="1" x14ac:dyDescent="0.25">
      <c r="C777" s="11"/>
    </row>
    <row r="778" spans="3:3" ht="15.75" customHeight="1" x14ac:dyDescent="0.25">
      <c r="C778" s="11"/>
    </row>
    <row r="779" spans="3:3" ht="15.75" customHeight="1" x14ac:dyDescent="0.25">
      <c r="C779" s="11"/>
    </row>
    <row r="780" spans="3:3" ht="15.75" customHeight="1" x14ac:dyDescent="0.25">
      <c r="C780" s="11"/>
    </row>
    <row r="781" spans="3:3" ht="15.75" customHeight="1" x14ac:dyDescent="0.25">
      <c r="C781" s="11"/>
    </row>
    <row r="782" spans="3:3" ht="15.75" customHeight="1" x14ac:dyDescent="0.25">
      <c r="C782" s="11"/>
    </row>
    <row r="783" spans="3:3" ht="15.75" customHeight="1" x14ac:dyDescent="0.25">
      <c r="C783" s="11"/>
    </row>
    <row r="784" spans="3:3" ht="15.75" customHeight="1" x14ac:dyDescent="0.25">
      <c r="C784" s="11"/>
    </row>
    <row r="785" spans="3:3" ht="15.75" customHeight="1" x14ac:dyDescent="0.25">
      <c r="C785" s="11"/>
    </row>
    <row r="786" spans="3:3" ht="15.75" customHeight="1" x14ac:dyDescent="0.25">
      <c r="C786" s="11"/>
    </row>
    <row r="787" spans="3:3" ht="15.75" customHeight="1" x14ac:dyDescent="0.25">
      <c r="C787" s="11"/>
    </row>
    <row r="788" spans="3:3" ht="15.75" customHeight="1" x14ac:dyDescent="0.25">
      <c r="C788" s="11"/>
    </row>
    <row r="789" spans="3:3" ht="15.75" customHeight="1" x14ac:dyDescent="0.25">
      <c r="C789" s="11"/>
    </row>
    <row r="790" spans="3:3" ht="15.75" customHeight="1" x14ac:dyDescent="0.25">
      <c r="C790" s="11"/>
    </row>
    <row r="791" spans="3:3" ht="15.75" customHeight="1" x14ac:dyDescent="0.25">
      <c r="C791" s="11"/>
    </row>
    <row r="792" spans="3:3" ht="15.75" customHeight="1" x14ac:dyDescent="0.25">
      <c r="C792" s="11"/>
    </row>
    <row r="793" spans="3:3" ht="15.75" customHeight="1" x14ac:dyDescent="0.25">
      <c r="C793" s="11"/>
    </row>
    <row r="794" spans="3:3" ht="15.75" customHeight="1" x14ac:dyDescent="0.25">
      <c r="C794" s="11"/>
    </row>
    <row r="795" spans="3:3" ht="15.75" customHeight="1" x14ac:dyDescent="0.25">
      <c r="C795" s="11"/>
    </row>
    <row r="796" spans="3:3" ht="15.75" customHeight="1" x14ac:dyDescent="0.25">
      <c r="C796" s="11"/>
    </row>
    <row r="797" spans="3:3" ht="15.75" customHeight="1" x14ac:dyDescent="0.25">
      <c r="C797" s="11"/>
    </row>
    <row r="798" spans="3:3" ht="15.75" customHeight="1" x14ac:dyDescent="0.25">
      <c r="C798" s="11"/>
    </row>
    <row r="799" spans="3:3" ht="15.75" customHeight="1" x14ac:dyDescent="0.25">
      <c r="C799" s="11"/>
    </row>
    <row r="800" spans="3:3" ht="15.75" customHeight="1" x14ac:dyDescent="0.25">
      <c r="C800" s="11"/>
    </row>
    <row r="801" spans="3:3" ht="15.75" customHeight="1" x14ac:dyDescent="0.25">
      <c r="C801" s="11"/>
    </row>
    <row r="802" spans="3:3" ht="15.75" customHeight="1" x14ac:dyDescent="0.25">
      <c r="C802" s="11"/>
    </row>
    <row r="803" spans="3:3" ht="15.75" customHeight="1" x14ac:dyDescent="0.25">
      <c r="C803" s="11"/>
    </row>
    <row r="804" spans="3:3" ht="15.75" customHeight="1" x14ac:dyDescent="0.25">
      <c r="C804" s="11"/>
    </row>
    <row r="805" spans="3:3" ht="15.75" customHeight="1" x14ac:dyDescent="0.25">
      <c r="C805" s="11"/>
    </row>
    <row r="806" spans="3:3" ht="15.75" customHeight="1" x14ac:dyDescent="0.25">
      <c r="C806" s="11"/>
    </row>
    <row r="807" spans="3:3" ht="15.75" customHeight="1" x14ac:dyDescent="0.25">
      <c r="C807" s="11"/>
    </row>
    <row r="808" spans="3:3" ht="15.75" customHeight="1" x14ac:dyDescent="0.25">
      <c r="C808" s="11"/>
    </row>
    <row r="809" spans="3:3" ht="15.75" customHeight="1" x14ac:dyDescent="0.25">
      <c r="C809" s="11"/>
    </row>
    <row r="810" spans="3:3" ht="15.75" customHeight="1" x14ac:dyDescent="0.25">
      <c r="C810" s="11"/>
    </row>
    <row r="811" spans="3:3" ht="15.75" customHeight="1" x14ac:dyDescent="0.25">
      <c r="C811" s="11"/>
    </row>
    <row r="812" spans="3:3" ht="15.75" customHeight="1" x14ac:dyDescent="0.25">
      <c r="C812" s="11"/>
    </row>
    <row r="813" spans="3:3" ht="15.75" customHeight="1" x14ac:dyDescent="0.25">
      <c r="C813" s="11"/>
    </row>
    <row r="814" spans="3:3" ht="15.75" customHeight="1" x14ac:dyDescent="0.25">
      <c r="C814" s="11"/>
    </row>
    <row r="815" spans="3:3" ht="15.75" customHeight="1" x14ac:dyDescent="0.25">
      <c r="C815" s="11"/>
    </row>
    <row r="816" spans="3:3" ht="15.75" customHeight="1" x14ac:dyDescent="0.25">
      <c r="C816" s="11"/>
    </row>
    <row r="817" spans="3:3" ht="15.75" customHeight="1" x14ac:dyDescent="0.25">
      <c r="C817" s="11"/>
    </row>
    <row r="818" spans="3:3" ht="15.75" customHeight="1" x14ac:dyDescent="0.25">
      <c r="C818" s="11"/>
    </row>
    <row r="819" spans="3:3" ht="15.75" customHeight="1" x14ac:dyDescent="0.25">
      <c r="C819" s="11"/>
    </row>
    <row r="820" spans="3:3" ht="15.75" customHeight="1" x14ac:dyDescent="0.25">
      <c r="C820" s="11"/>
    </row>
    <row r="821" spans="3:3" ht="15.75" customHeight="1" x14ac:dyDescent="0.25">
      <c r="C821" s="11"/>
    </row>
    <row r="822" spans="3:3" ht="15.75" customHeight="1" x14ac:dyDescent="0.25">
      <c r="C822" s="11"/>
    </row>
    <row r="823" spans="3:3" ht="15.75" customHeight="1" x14ac:dyDescent="0.25">
      <c r="C823" s="11"/>
    </row>
    <row r="824" spans="3:3" ht="15.75" customHeight="1" x14ac:dyDescent="0.25">
      <c r="C824" s="11"/>
    </row>
    <row r="825" spans="3:3" ht="15.75" customHeight="1" x14ac:dyDescent="0.25">
      <c r="C825" s="11"/>
    </row>
    <row r="826" spans="3:3" ht="15.75" customHeight="1" x14ac:dyDescent="0.25">
      <c r="C826" s="11"/>
    </row>
    <row r="827" spans="3:3" ht="15.75" customHeight="1" x14ac:dyDescent="0.25">
      <c r="C827" s="11"/>
    </row>
    <row r="828" spans="3:3" ht="15.75" customHeight="1" x14ac:dyDescent="0.25">
      <c r="C828" s="11"/>
    </row>
    <row r="829" spans="3:3" ht="15.75" customHeight="1" x14ac:dyDescent="0.25">
      <c r="C829" s="11"/>
    </row>
    <row r="830" spans="3:3" ht="15.75" customHeight="1" x14ac:dyDescent="0.25">
      <c r="C830" s="11"/>
    </row>
    <row r="831" spans="3:3" ht="15.75" customHeight="1" x14ac:dyDescent="0.25">
      <c r="C831" s="11"/>
    </row>
    <row r="832" spans="3:3" ht="15.75" customHeight="1" x14ac:dyDescent="0.25">
      <c r="C832" s="11"/>
    </row>
    <row r="833" spans="3:3" ht="15.75" customHeight="1" x14ac:dyDescent="0.25">
      <c r="C833" s="11"/>
    </row>
    <row r="834" spans="3:3" ht="15.75" customHeight="1" x14ac:dyDescent="0.25">
      <c r="C834" s="11"/>
    </row>
    <row r="835" spans="3:3" ht="15.75" customHeight="1" x14ac:dyDescent="0.25">
      <c r="C835" s="11"/>
    </row>
    <row r="836" spans="3:3" ht="15.75" customHeight="1" x14ac:dyDescent="0.25">
      <c r="C836" s="11"/>
    </row>
    <row r="837" spans="3:3" ht="15.75" customHeight="1" x14ac:dyDescent="0.25">
      <c r="C837" s="11"/>
    </row>
    <row r="838" spans="3:3" ht="15.75" customHeight="1" x14ac:dyDescent="0.25">
      <c r="C838" s="11"/>
    </row>
    <row r="839" spans="3:3" ht="15.75" customHeight="1" x14ac:dyDescent="0.25">
      <c r="C839" s="11"/>
    </row>
    <row r="840" spans="3:3" ht="15.75" customHeight="1" x14ac:dyDescent="0.25">
      <c r="C840" s="11"/>
    </row>
    <row r="841" spans="3:3" ht="15.75" customHeight="1" x14ac:dyDescent="0.25">
      <c r="C841" s="11"/>
    </row>
    <row r="842" spans="3:3" ht="15.75" customHeight="1" x14ac:dyDescent="0.25">
      <c r="C842" s="11"/>
    </row>
    <row r="843" spans="3:3" ht="15.75" customHeight="1" x14ac:dyDescent="0.25">
      <c r="C843" s="11"/>
    </row>
    <row r="844" spans="3:3" ht="15.75" customHeight="1" x14ac:dyDescent="0.25">
      <c r="C844" s="11"/>
    </row>
    <row r="845" spans="3:3" ht="15.75" customHeight="1" x14ac:dyDescent="0.25">
      <c r="C845" s="11"/>
    </row>
    <row r="846" spans="3:3" ht="15.75" customHeight="1" x14ac:dyDescent="0.25">
      <c r="C846" s="11"/>
    </row>
    <row r="847" spans="3:3" ht="15.75" customHeight="1" x14ac:dyDescent="0.25">
      <c r="C847" s="11"/>
    </row>
    <row r="848" spans="3:3" ht="15.75" customHeight="1" x14ac:dyDescent="0.25">
      <c r="C848" s="11"/>
    </row>
    <row r="849" spans="3:3" ht="15.75" customHeight="1" x14ac:dyDescent="0.25">
      <c r="C849" s="11"/>
    </row>
    <row r="850" spans="3:3" ht="15.75" customHeight="1" x14ac:dyDescent="0.25">
      <c r="C850" s="11"/>
    </row>
    <row r="851" spans="3:3" ht="15.75" customHeight="1" x14ac:dyDescent="0.25">
      <c r="C851" s="11"/>
    </row>
    <row r="852" spans="3:3" ht="15.75" customHeight="1" x14ac:dyDescent="0.25">
      <c r="C852" s="11"/>
    </row>
    <row r="853" spans="3:3" ht="15.75" customHeight="1" x14ac:dyDescent="0.25">
      <c r="C853" s="11"/>
    </row>
    <row r="854" spans="3:3" ht="15.75" customHeight="1" x14ac:dyDescent="0.25">
      <c r="C854" s="11"/>
    </row>
    <row r="855" spans="3:3" ht="15.75" customHeight="1" x14ac:dyDescent="0.25">
      <c r="C855" s="11"/>
    </row>
    <row r="856" spans="3:3" ht="15.75" customHeight="1" x14ac:dyDescent="0.25">
      <c r="C856" s="11"/>
    </row>
    <row r="857" spans="3:3" ht="15.75" customHeight="1" x14ac:dyDescent="0.25">
      <c r="C857" s="11"/>
    </row>
    <row r="858" spans="3:3" ht="15.75" customHeight="1" x14ac:dyDescent="0.25">
      <c r="C858" s="11"/>
    </row>
    <row r="859" spans="3:3" ht="15.75" customHeight="1" x14ac:dyDescent="0.25">
      <c r="C859" s="11"/>
    </row>
    <row r="860" spans="3:3" ht="15.75" customHeight="1" x14ac:dyDescent="0.25">
      <c r="C860" s="11"/>
    </row>
    <row r="861" spans="3:3" ht="15.75" customHeight="1" x14ac:dyDescent="0.25">
      <c r="C861" s="11"/>
    </row>
    <row r="862" spans="3:3" ht="15.75" customHeight="1" x14ac:dyDescent="0.25">
      <c r="C862" s="11"/>
    </row>
    <row r="863" spans="3:3" ht="15.75" customHeight="1" x14ac:dyDescent="0.25">
      <c r="C863" s="11"/>
    </row>
    <row r="864" spans="3:3" ht="15.75" customHeight="1" x14ac:dyDescent="0.25">
      <c r="C864" s="11"/>
    </row>
    <row r="865" spans="3:3" ht="15.75" customHeight="1" x14ac:dyDescent="0.25">
      <c r="C865" s="11"/>
    </row>
    <row r="866" spans="3:3" ht="15.75" customHeight="1" x14ac:dyDescent="0.25">
      <c r="C866" s="11"/>
    </row>
    <row r="867" spans="3:3" ht="15.75" customHeight="1" x14ac:dyDescent="0.25">
      <c r="C867" s="11"/>
    </row>
    <row r="868" spans="3:3" ht="15.75" customHeight="1" x14ac:dyDescent="0.25">
      <c r="C868" s="11"/>
    </row>
    <row r="869" spans="3:3" ht="15.75" customHeight="1" x14ac:dyDescent="0.25">
      <c r="C869" s="11"/>
    </row>
    <row r="870" spans="3:3" ht="15.75" customHeight="1" x14ac:dyDescent="0.25">
      <c r="C870" s="11"/>
    </row>
    <row r="871" spans="3:3" ht="15.75" customHeight="1" x14ac:dyDescent="0.25">
      <c r="C871" s="11"/>
    </row>
    <row r="872" spans="3:3" ht="15.75" customHeight="1" x14ac:dyDescent="0.25">
      <c r="C872" s="11"/>
    </row>
    <row r="873" spans="3:3" ht="15.75" customHeight="1" x14ac:dyDescent="0.25">
      <c r="C873" s="11"/>
    </row>
    <row r="874" spans="3:3" ht="15.75" customHeight="1" x14ac:dyDescent="0.25">
      <c r="C874" s="11"/>
    </row>
    <row r="875" spans="3:3" ht="15.75" customHeight="1" x14ac:dyDescent="0.25">
      <c r="C875" s="11"/>
    </row>
    <row r="876" spans="3:3" ht="15.75" customHeight="1" x14ac:dyDescent="0.25">
      <c r="C876" s="11"/>
    </row>
    <row r="877" spans="3:3" ht="15.75" customHeight="1" x14ac:dyDescent="0.25">
      <c r="C877" s="11"/>
    </row>
    <row r="878" spans="3:3" ht="15.75" customHeight="1" x14ac:dyDescent="0.25">
      <c r="C878" s="11"/>
    </row>
    <row r="879" spans="3:3" ht="15.75" customHeight="1" x14ac:dyDescent="0.25">
      <c r="C879" s="11"/>
    </row>
    <row r="880" spans="3:3" ht="15.75" customHeight="1" x14ac:dyDescent="0.25">
      <c r="C880" s="11"/>
    </row>
    <row r="881" spans="3:3" ht="15.75" customHeight="1" x14ac:dyDescent="0.25">
      <c r="C881" s="11"/>
    </row>
    <row r="882" spans="3:3" ht="15.75" customHeight="1" x14ac:dyDescent="0.25">
      <c r="C882" s="11"/>
    </row>
    <row r="883" spans="3:3" ht="15.75" customHeight="1" x14ac:dyDescent="0.25">
      <c r="C883" s="11"/>
    </row>
    <row r="884" spans="3:3" ht="15.75" customHeight="1" x14ac:dyDescent="0.25">
      <c r="C884" s="11"/>
    </row>
    <row r="885" spans="3:3" ht="15.75" customHeight="1" x14ac:dyDescent="0.25">
      <c r="C885" s="11"/>
    </row>
    <row r="886" spans="3:3" ht="15.75" customHeight="1" x14ac:dyDescent="0.25">
      <c r="C886" s="11"/>
    </row>
    <row r="887" spans="3:3" ht="15.75" customHeight="1" x14ac:dyDescent="0.25">
      <c r="C887" s="11"/>
    </row>
    <row r="888" spans="3:3" ht="15.75" customHeight="1" x14ac:dyDescent="0.25">
      <c r="C888" s="11"/>
    </row>
    <row r="889" spans="3:3" ht="15.75" customHeight="1" x14ac:dyDescent="0.25">
      <c r="C889" s="11"/>
    </row>
    <row r="890" spans="3:3" ht="15.75" customHeight="1" x14ac:dyDescent="0.25">
      <c r="C890" s="11"/>
    </row>
    <row r="891" spans="3:3" ht="15.75" customHeight="1" x14ac:dyDescent="0.25">
      <c r="C891" s="11"/>
    </row>
    <row r="892" spans="3:3" ht="15.75" customHeight="1" x14ac:dyDescent="0.25">
      <c r="C892" s="11"/>
    </row>
    <row r="893" spans="3:3" ht="15.75" customHeight="1" x14ac:dyDescent="0.25">
      <c r="C893" s="11"/>
    </row>
    <row r="894" spans="3:3" ht="15.75" customHeight="1" x14ac:dyDescent="0.25">
      <c r="C894" s="11"/>
    </row>
    <row r="895" spans="3:3" ht="15.75" customHeight="1" x14ac:dyDescent="0.25">
      <c r="C895" s="11"/>
    </row>
    <row r="896" spans="3:3" ht="15.75" customHeight="1" x14ac:dyDescent="0.25">
      <c r="C896" s="11"/>
    </row>
    <row r="897" spans="3:3" ht="15.75" customHeight="1" x14ac:dyDescent="0.25">
      <c r="C897" s="11"/>
    </row>
    <row r="898" spans="3:3" ht="15.75" customHeight="1" x14ac:dyDescent="0.25">
      <c r="C898" s="11"/>
    </row>
    <row r="899" spans="3:3" ht="15.75" customHeight="1" x14ac:dyDescent="0.25">
      <c r="C899" s="11"/>
    </row>
    <row r="900" spans="3:3" ht="15.75" customHeight="1" x14ac:dyDescent="0.25">
      <c r="C900" s="11"/>
    </row>
    <row r="901" spans="3:3" ht="15.75" customHeight="1" x14ac:dyDescent="0.25">
      <c r="C901" s="11"/>
    </row>
    <row r="902" spans="3:3" ht="15.75" customHeight="1" x14ac:dyDescent="0.25">
      <c r="C902" s="11"/>
    </row>
    <row r="903" spans="3:3" ht="15.75" customHeight="1" x14ac:dyDescent="0.25">
      <c r="C903" s="11"/>
    </row>
    <row r="904" spans="3:3" ht="15.75" customHeight="1" x14ac:dyDescent="0.25">
      <c r="C904" s="11"/>
    </row>
    <row r="905" spans="3:3" ht="15.75" customHeight="1" x14ac:dyDescent="0.25">
      <c r="C905" s="11"/>
    </row>
    <row r="906" spans="3:3" ht="15.75" customHeight="1" x14ac:dyDescent="0.25">
      <c r="C906" s="11"/>
    </row>
    <row r="907" spans="3:3" ht="15.75" customHeight="1" x14ac:dyDescent="0.25">
      <c r="C907" s="11"/>
    </row>
    <row r="908" spans="3:3" ht="15.75" customHeight="1" x14ac:dyDescent="0.25">
      <c r="C908" s="11"/>
    </row>
    <row r="909" spans="3:3" ht="15.75" customHeight="1" x14ac:dyDescent="0.25">
      <c r="C909" s="11"/>
    </row>
    <row r="910" spans="3:3" ht="15.75" customHeight="1" x14ac:dyDescent="0.25">
      <c r="C910" s="11"/>
    </row>
    <row r="911" spans="3:3" ht="15.75" customHeight="1" x14ac:dyDescent="0.25">
      <c r="C911" s="11"/>
    </row>
    <row r="912" spans="3:3" ht="15.75" customHeight="1" x14ac:dyDescent="0.25">
      <c r="C912" s="11"/>
    </row>
    <row r="913" spans="3:3" ht="15.75" customHeight="1" x14ac:dyDescent="0.25">
      <c r="C913" s="11"/>
    </row>
    <row r="914" spans="3:3" ht="15.75" customHeight="1" x14ac:dyDescent="0.25">
      <c r="C914" s="11"/>
    </row>
    <row r="915" spans="3:3" ht="15.75" customHeight="1" x14ac:dyDescent="0.25">
      <c r="C915" s="11"/>
    </row>
    <row r="916" spans="3:3" ht="15.75" customHeight="1" x14ac:dyDescent="0.25">
      <c r="C916" s="11"/>
    </row>
    <row r="917" spans="3:3" ht="15.75" customHeight="1" x14ac:dyDescent="0.25">
      <c r="C917" s="11"/>
    </row>
    <row r="918" spans="3:3" ht="15.75" customHeight="1" x14ac:dyDescent="0.25">
      <c r="C918" s="11"/>
    </row>
    <row r="919" spans="3:3" ht="15.75" customHeight="1" x14ac:dyDescent="0.25">
      <c r="C919" s="11"/>
    </row>
    <row r="920" spans="3:3" ht="15.75" customHeight="1" x14ac:dyDescent="0.25">
      <c r="C920" s="11"/>
    </row>
    <row r="921" spans="3:3" ht="15.75" customHeight="1" x14ac:dyDescent="0.25">
      <c r="C921" s="11"/>
    </row>
    <row r="922" spans="3:3" ht="15.75" customHeight="1" x14ac:dyDescent="0.25">
      <c r="C922" s="11"/>
    </row>
    <row r="923" spans="3:3" ht="15.75" customHeight="1" x14ac:dyDescent="0.25">
      <c r="C923" s="11"/>
    </row>
    <row r="924" spans="3:3" ht="15.75" customHeight="1" x14ac:dyDescent="0.25">
      <c r="C924" s="11"/>
    </row>
    <row r="925" spans="3:3" ht="15.75" customHeight="1" x14ac:dyDescent="0.25">
      <c r="C925" s="11"/>
    </row>
    <row r="926" spans="3:3" ht="15.75" customHeight="1" x14ac:dyDescent="0.25">
      <c r="C926" s="11"/>
    </row>
    <row r="927" spans="3:3" ht="15.75" customHeight="1" x14ac:dyDescent="0.25">
      <c r="C927" s="11"/>
    </row>
    <row r="928" spans="3:3" ht="15.75" customHeight="1" x14ac:dyDescent="0.25">
      <c r="C928" s="11"/>
    </row>
    <row r="929" spans="3:3" ht="15.75" customHeight="1" x14ac:dyDescent="0.25">
      <c r="C929" s="11"/>
    </row>
    <row r="930" spans="3:3" ht="15.75" customHeight="1" x14ac:dyDescent="0.25">
      <c r="C930" s="11"/>
    </row>
    <row r="931" spans="3:3" ht="15.75" customHeight="1" x14ac:dyDescent="0.25">
      <c r="C931" s="11"/>
    </row>
    <row r="932" spans="3:3" ht="15.75" customHeight="1" x14ac:dyDescent="0.25">
      <c r="C932" s="11"/>
    </row>
    <row r="933" spans="3:3" ht="15.75" customHeight="1" x14ac:dyDescent="0.25">
      <c r="C933" s="11"/>
    </row>
    <row r="934" spans="3:3" ht="15.75" customHeight="1" x14ac:dyDescent="0.25">
      <c r="C934" s="11"/>
    </row>
    <row r="935" spans="3:3" ht="15.75" customHeight="1" x14ac:dyDescent="0.25">
      <c r="C935" s="11"/>
    </row>
    <row r="936" spans="3:3" ht="15.75" customHeight="1" x14ac:dyDescent="0.25">
      <c r="C936" s="11"/>
    </row>
    <row r="937" spans="3:3" ht="15.75" customHeight="1" x14ac:dyDescent="0.25">
      <c r="C937" s="11"/>
    </row>
    <row r="938" spans="3:3" ht="15.75" customHeight="1" x14ac:dyDescent="0.25">
      <c r="C938" s="11"/>
    </row>
    <row r="939" spans="3:3" ht="15.75" customHeight="1" x14ac:dyDescent="0.25">
      <c r="C939" s="11"/>
    </row>
    <row r="940" spans="3:3" ht="15.75" customHeight="1" x14ac:dyDescent="0.25">
      <c r="C940" s="11"/>
    </row>
    <row r="941" spans="3:3" ht="15.75" customHeight="1" x14ac:dyDescent="0.25">
      <c r="C941" s="11"/>
    </row>
    <row r="942" spans="3:3" ht="15.75" customHeight="1" x14ac:dyDescent="0.25">
      <c r="C942" s="11"/>
    </row>
    <row r="943" spans="3:3" ht="15.75" customHeight="1" x14ac:dyDescent="0.25">
      <c r="C943" s="11"/>
    </row>
    <row r="944" spans="3:3" ht="15.75" customHeight="1" x14ac:dyDescent="0.25">
      <c r="C944" s="11"/>
    </row>
    <row r="945" spans="3:3" ht="15.75" customHeight="1" x14ac:dyDescent="0.25">
      <c r="C945" s="11"/>
    </row>
    <row r="946" spans="3:3" ht="15.75" customHeight="1" x14ac:dyDescent="0.25">
      <c r="C946" s="11"/>
    </row>
    <row r="947" spans="3:3" ht="15.75" customHeight="1" x14ac:dyDescent="0.25">
      <c r="C947" s="11"/>
    </row>
    <row r="948" spans="3:3" ht="15.75" customHeight="1" x14ac:dyDescent="0.25">
      <c r="C948" s="11"/>
    </row>
    <row r="949" spans="3:3" ht="15.75" customHeight="1" x14ac:dyDescent="0.25">
      <c r="C949" s="11"/>
    </row>
    <row r="950" spans="3:3" ht="15.75" customHeight="1" x14ac:dyDescent="0.25">
      <c r="C950" s="11"/>
    </row>
    <row r="951" spans="3:3" ht="15.75" customHeight="1" x14ac:dyDescent="0.25">
      <c r="C951" s="11"/>
    </row>
    <row r="952" spans="3:3" ht="15.75" customHeight="1" x14ac:dyDescent="0.25">
      <c r="C952" s="11"/>
    </row>
    <row r="953" spans="3:3" ht="15.75" customHeight="1" x14ac:dyDescent="0.25">
      <c r="C953" s="11"/>
    </row>
    <row r="954" spans="3:3" ht="15.75" customHeight="1" x14ac:dyDescent="0.25">
      <c r="C954" s="11"/>
    </row>
    <row r="955" spans="3:3" ht="15.75" customHeight="1" x14ac:dyDescent="0.25">
      <c r="C955" s="11"/>
    </row>
    <row r="956" spans="3:3" ht="15.75" customHeight="1" x14ac:dyDescent="0.25">
      <c r="C956" s="11"/>
    </row>
    <row r="957" spans="3:3" ht="15.75" customHeight="1" x14ac:dyDescent="0.25">
      <c r="C957" s="11"/>
    </row>
    <row r="958" spans="3:3" ht="15.75" customHeight="1" x14ac:dyDescent="0.25">
      <c r="C958" s="11"/>
    </row>
    <row r="959" spans="3:3" ht="15.75" customHeight="1" x14ac:dyDescent="0.25">
      <c r="C959" s="11"/>
    </row>
    <row r="960" spans="3:3" ht="15.75" customHeight="1" x14ac:dyDescent="0.25">
      <c r="C960" s="11"/>
    </row>
    <row r="961" spans="3:3" ht="15.75" customHeight="1" x14ac:dyDescent="0.25">
      <c r="C961" s="11"/>
    </row>
    <row r="962" spans="3:3" ht="15.75" customHeight="1" x14ac:dyDescent="0.25">
      <c r="C962" s="11"/>
    </row>
    <row r="963" spans="3:3" ht="15.75" customHeight="1" x14ac:dyDescent="0.25">
      <c r="C963" s="11"/>
    </row>
    <row r="964" spans="3:3" ht="15.75" customHeight="1" x14ac:dyDescent="0.25">
      <c r="C964" s="11"/>
    </row>
    <row r="965" spans="3:3" ht="15.75" customHeight="1" x14ac:dyDescent="0.25">
      <c r="C965" s="11"/>
    </row>
    <row r="966" spans="3:3" ht="15.75" customHeight="1" x14ac:dyDescent="0.25">
      <c r="C966" s="11"/>
    </row>
    <row r="967" spans="3:3" ht="15.75" customHeight="1" x14ac:dyDescent="0.25">
      <c r="C967" s="11"/>
    </row>
    <row r="968" spans="3:3" ht="15.75" customHeight="1" x14ac:dyDescent="0.25">
      <c r="C968" s="11"/>
    </row>
    <row r="969" spans="3:3" ht="15.75" customHeight="1" x14ac:dyDescent="0.25">
      <c r="C969" s="11"/>
    </row>
    <row r="970" spans="3:3" ht="15.75" customHeight="1" x14ac:dyDescent="0.25">
      <c r="C970" s="11"/>
    </row>
    <row r="971" spans="3:3" ht="15.75" customHeight="1" x14ac:dyDescent="0.25">
      <c r="C971" s="11"/>
    </row>
    <row r="972" spans="3:3" ht="15.75" customHeight="1" x14ac:dyDescent="0.25">
      <c r="C972" s="11"/>
    </row>
    <row r="973" spans="3:3" ht="15.75" customHeight="1" x14ac:dyDescent="0.25">
      <c r="C973" s="11"/>
    </row>
    <row r="974" spans="3:3" ht="15.75" customHeight="1" x14ac:dyDescent="0.25">
      <c r="C974" s="11"/>
    </row>
    <row r="975" spans="3:3" ht="15.75" customHeight="1" x14ac:dyDescent="0.25">
      <c r="C975" s="11"/>
    </row>
    <row r="976" spans="3:3" ht="15.75" customHeight="1" x14ac:dyDescent="0.25">
      <c r="C976" s="11"/>
    </row>
    <row r="977" spans="3:3" ht="15.75" customHeight="1" x14ac:dyDescent="0.25">
      <c r="C977" s="11"/>
    </row>
    <row r="978" spans="3:3" ht="15.75" customHeight="1" x14ac:dyDescent="0.25">
      <c r="C978" s="11"/>
    </row>
    <row r="979" spans="3:3" ht="15.75" customHeight="1" x14ac:dyDescent="0.25">
      <c r="C979" s="11"/>
    </row>
    <row r="980" spans="3:3" ht="15.75" customHeight="1" x14ac:dyDescent="0.25">
      <c r="C980" s="11"/>
    </row>
    <row r="981" spans="3:3" ht="15.75" customHeight="1" x14ac:dyDescent="0.25">
      <c r="C981" s="11"/>
    </row>
    <row r="982" spans="3:3" ht="15.75" customHeight="1" x14ac:dyDescent="0.25">
      <c r="C982" s="11"/>
    </row>
    <row r="983" spans="3:3" ht="15.75" customHeight="1" x14ac:dyDescent="0.25">
      <c r="C983" s="11"/>
    </row>
    <row r="984" spans="3:3" ht="15.75" customHeight="1" x14ac:dyDescent="0.25">
      <c r="C984" s="11"/>
    </row>
    <row r="985" spans="3:3" ht="15.75" customHeight="1" x14ac:dyDescent="0.25">
      <c r="C985" s="11"/>
    </row>
    <row r="986" spans="3:3" ht="15.75" customHeight="1" x14ac:dyDescent="0.25">
      <c r="C986" s="11"/>
    </row>
    <row r="987" spans="3:3" ht="15.75" customHeight="1" x14ac:dyDescent="0.25">
      <c r="C987" s="11"/>
    </row>
    <row r="988" spans="3:3" ht="15.75" customHeight="1" x14ac:dyDescent="0.25">
      <c r="C988" s="11"/>
    </row>
    <row r="989" spans="3:3" ht="15.75" customHeight="1" x14ac:dyDescent="0.25">
      <c r="C989" s="11"/>
    </row>
    <row r="990" spans="3:3" ht="15.75" customHeight="1" x14ac:dyDescent="0.25">
      <c r="C990" s="11"/>
    </row>
    <row r="991" spans="3:3" ht="15.75" customHeight="1" x14ac:dyDescent="0.25">
      <c r="C991" s="11"/>
    </row>
    <row r="992" spans="3:3" ht="15.75" customHeight="1" x14ac:dyDescent="0.25">
      <c r="C992" s="11"/>
    </row>
    <row r="993" spans="3:3" ht="15.75" customHeight="1" x14ac:dyDescent="0.25">
      <c r="C993" s="11"/>
    </row>
    <row r="994" spans="3:3" ht="15.75" customHeight="1" x14ac:dyDescent="0.25">
      <c r="C994" s="11"/>
    </row>
    <row r="995" spans="3:3" ht="15.75" customHeight="1" x14ac:dyDescent="0.25">
      <c r="C995" s="11"/>
    </row>
    <row r="996" spans="3:3" ht="15.75" customHeight="1" x14ac:dyDescent="0.25">
      <c r="C996" s="11"/>
    </row>
    <row r="997" spans="3:3" ht="15.75" customHeight="1" x14ac:dyDescent="0.25">
      <c r="C997" s="11"/>
    </row>
    <row r="998" spans="3:3" ht="15.75" customHeight="1" x14ac:dyDescent="0.25">
      <c r="C998" s="11"/>
    </row>
    <row r="999" spans="3:3" ht="15.75" customHeight="1" x14ac:dyDescent="0.25">
      <c r="C999" s="11"/>
    </row>
    <row r="1000" spans="3:3" ht="15.75" customHeight="1" x14ac:dyDescent="0.25">
      <c r="C1000" s="11"/>
    </row>
  </sheetData>
  <mergeCells count="8">
    <mergeCell ref="B22:B26"/>
    <mergeCell ref="B28:B32"/>
    <mergeCell ref="B47:G53"/>
    <mergeCell ref="E3:G3"/>
    <mergeCell ref="H3:J3"/>
    <mergeCell ref="B4:B8"/>
    <mergeCell ref="B10:B14"/>
    <mergeCell ref="B16:B20"/>
  </mergeCells>
  <conditionalFormatting sqref="J32">
    <cfRule type="expression" dxfId="2" priority="1">
      <formula>$J32&gt;$K32</formula>
    </cfRule>
  </conditionalFormatting>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66"/>
  </sheetPr>
  <dimension ref="A1:W1000"/>
  <sheetViews>
    <sheetView workbookViewId="0">
      <pane ySplit="1" topLeftCell="A2" activePane="bottomLeft" state="frozen"/>
      <selection pane="bottomLeft" activeCell="B3" sqref="B3"/>
    </sheetView>
  </sheetViews>
  <sheetFormatPr defaultColWidth="14.42578125" defaultRowHeight="15" customHeight="1" x14ac:dyDescent="0.25"/>
  <cols>
    <col min="1" max="1" width="48.5703125" customWidth="1"/>
    <col min="2" max="2" width="8.7109375" customWidth="1"/>
    <col min="3" max="4" width="9.28515625" customWidth="1"/>
    <col min="5" max="5" width="10.5703125" customWidth="1"/>
    <col min="6" max="7" width="9.28515625" customWidth="1"/>
    <col min="8" max="10" width="10.5703125" customWidth="1"/>
    <col min="11" max="16" width="9.28515625" customWidth="1"/>
    <col min="17" max="17" width="10.5703125" customWidth="1"/>
    <col min="18" max="19" width="9.28515625" customWidth="1"/>
    <col min="20" max="20" width="9" customWidth="1"/>
    <col min="21" max="22" width="10.5703125" customWidth="1"/>
    <col min="23" max="26" width="8.7109375" customWidth="1"/>
  </cols>
  <sheetData>
    <row r="1" spans="1:23" x14ac:dyDescent="0.25">
      <c r="A1" s="1"/>
      <c r="B1" s="1"/>
      <c r="C1" s="45" t="s">
        <v>78</v>
      </c>
      <c r="D1" s="45" t="s">
        <v>79</v>
      </c>
      <c r="E1" s="45" t="s">
        <v>80</v>
      </c>
      <c r="F1" s="45" t="s">
        <v>81</v>
      </c>
      <c r="G1" s="1" t="s">
        <v>82</v>
      </c>
      <c r="H1" s="1" t="s">
        <v>83</v>
      </c>
      <c r="I1" s="1" t="s">
        <v>84</v>
      </c>
      <c r="J1" s="1" t="s">
        <v>85</v>
      </c>
      <c r="K1" s="45" t="s">
        <v>86</v>
      </c>
      <c r="L1" s="45" t="s">
        <v>87</v>
      </c>
      <c r="M1" s="45" t="s">
        <v>88</v>
      </c>
      <c r="N1" s="45" t="s">
        <v>89</v>
      </c>
      <c r="O1" s="1" t="s">
        <v>90</v>
      </c>
      <c r="P1" s="1" t="s">
        <v>91</v>
      </c>
      <c r="Q1" s="1" t="s">
        <v>92</v>
      </c>
      <c r="R1" s="1" t="s">
        <v>93</v>
      </c>
      <c r="S1" s="45" t="s">
        <v>94</v>
      </c>
      <c r="T1" s="45" t="s">
        <v>95</v>
      </c>
      <c r="U1" s="45" t="s">
        <v>96</v>
      </c>
      <c r="V1" s="45" t="s">
        <v>97</v>
      </c>
      <c r="W1" s="1"/>
    </row>
    <row r="2" spans="1:23" x14ac:dyDescent="0.25">
      <c r="A2" s="1" t="s">
        <v>98</v>
      </c>
      <c r="B2" s="3">
        <v>179.21588</v>
      </c>
      <c r="C2" s="1"/>
      <c r="D2" s="1"/>
      <c r="E2" s="1"/>
      <c r="F2" s="1"/>
      <c r="G2" s="1"/>
      <c r="H2" s="1"/>
      <c r="I2" s="1"/>
      <c r="J2" s="1"/>
      <c r="K2" s="1"/>
      <c r="L2" s="1"/>
      <c r="M2" s="1"/>
      <c r="N2" s="1"/>
      <c r="O2" s="1"/>
      <c r="P2" s="1"/>
      <c r="Q2" s="1" t="s">
        <v>99</v>
      </c>
      <c r="R2" s="1" t="s">
        <v>99</v>
      </c>
      <c r="S2" s="1"/>
      <c r="T2" s="1"/>
      <c r="U2" s="1"/>
      <c r="V2" s="1"/>
      <c r="W2" s="1">
        <f t="shared" ref="W2:W41" si="0">COUNTIF(C2:V2,"x")</f>
        <v>2</v>
      </c>
    </row>
    <row r="3" spans="1:23" x14ac:dyDescent="0.25">
      <c r="A3" s="1" t="s">
        <v>100</v>
      </c>
      <c r="B3" s="3">
        <v>142.23269999999999</v>
      </c>
      <c r="C3" s="1"/>
      <c r="D3" s="1"/>
      <c r="E3" s="1"/>
      <c r="F3" s="1" t="s">
        <v>99</v>
      </c>
      <c r="G3" s="1"/>
      <c r="H3" s="1"/>
      <c r="I3" s="1"/>
      <c r="J3" s="1"/>
      <c r="K3" s="1"/>
      <c r="L3" s="1"/>
      <c r="M3" s="1"/>
      <c r="N3" s="1" t="s">
        <v>99</v>
      </c>
      <c r="O3" s="1"/>
      <c r="P3" s="1"/>
      <c r="Q3" s="1"/>
      <c r="R3" s="1"/>
      <c r="S3" s="1"/>
      <c r="T3" s="1"/>
      <c r="U3" s="1"/>
      <c r="V3" s="1" t="s">
        <v>99</v>
      </c>
      <c r="W3" s="1">
        <f t="shared" si="0"/>
        <v>3</v>
      </c>
    </row>
    <row r="4" spans="1:23" x14ac:dyDescent="0.25">
      <c r="A4" s="1" t="s">
        <v>101</v>
      </c>
      <c r="B4" s="3">
        <v>118.49119999999999</v>
      </c>
      <c r="C4" s="1"/>
      <c r="D4" s="1"/>
      <c r="E4" s="1" t="s">
        <v>99</v>
      </c>
      <c r="F4" s="1"/>
      <c r="G4" s="1"/>
      <c r="H4" s="1"/>
      <c r="I4" s="1"/>
      <c r="J4" s="1"/>
      <c r="K4" s="1"/>
      <c r="L4" s="1"/>
      <c r="M4" s="1" t="s">
        <v>99</v>
      </c>
      <c r="N4" s="1"/>
      <c r="O4" s="1"/>
      <c r="P4" s="1"/>
      <c r="Q4" s="1"/>
      <c r="R4" s="1"/>
      <c r="S4" s="1"/>
      <c r="T4" s="1"/>
      <c r="U4" s="1" t="s">
        <v>99</v>
      </c>
      <c r="V4" s="1"/>
      <c r="W4" s="1">
        <f t="shared" si="0"/>
        <v>3</v>
      </c>
    </row>
    <row r="5" spans="1:23" x14ac:dyDescent="0.25">
      <c r="A5" s="1" t="s">
        <v>102</v>
      </c>
      <c r="B5" s="3">
        <v>98.791419999999988</v>
      </c>
      <c r="C5" s="1"/>
      <c r="D5" s="1" t="s">
        <v>99</v>
      </c>
      <c r="E5" s="1"/>
      <c r="F5" s="1"/>
      <c r="G5" s="1"/>
      <c r="H5" s="1"/>
      <c r="I5" s="1"/>
      <c r="J5" s="1"/>
      <c r="K5" s="1"/>
      <c r="L5" s="1" t="s">
        <v>99</v>
      </c>
      <c r="M5" s="1"/>
      <c r="N5" s="1"/>
      <c r="O5" s="1"/>
      <c r="P5" s="1"/>
      <c r="Q5" s="1"/>
      <c r="R5" s="1"/>
      <c r="S5" s="1"/>
      <c r="T5" s="1" t="s">
        <v>99</v>
      </c>
      <c r="U5" s="1"/>
      <c r="V5" s="1"/>
      <c r="W5" s="1">
        <f t="shared" si="0"/>
        <v>3</v>
      </c>
    </row>
    <row r="6" spans="1:23" x14ac:dyDescent="0.25">
      <c r="A6" s="1" t="s">
        <v>103</v>
      </c>
      <c r="B6" s="3">
        <v>76.547539999999998</v>
      </c>
      <c r="C6" s="1" t="s">
        <v>99</v>
      </c>
      <c r="D6" s="1"/>
      <c r="E6" s="1"/>
      <c r="F6" s="1"/>
      <c r="G6" s="1"/>
      <c r="H6" s="1"/>
      <c r="I6" s="1"/>
      <c r="J6" s="1"/>
      <c r="K6" s="1"/>
      <c r="L6" s="1"/>
      <c r="M6" s="1"/>
      <c r="N6" s="1"/>
      <c r="O6" s="1"/>
      <c r="P6" s="1"/>
      <c r="Q6" s="1"/>
      <c r="R6" s="1"/>
      <c r="S6" s="1"/>
      <c r="T6" s="1"/>
      <c r="U6" s="1"/>
      <c r="V6" s="1"/>
      <c r="W6" s="1">
        <f t="shared" si="0"/>
        <v>1</v>
      </c>
    </row>
    <row r="7" spans="1:23" x14ac:dyDescent="0.25">
      <c r="A7" s="1" t="s">
        <v>104</v>
      </c>
      <c r="B7" s="3">
        <v>123.48464</v>
      </c>
      <c r="C7" s="1"/>
      <c r="D7" s="1"/>
      <c r="E7" s="1"/>
      <c r="F7" s="1" t="s">
        <v>99</v>
      </c>
      <c r="G7" s="1"/>
      <c r="H7" s="1"/>
      <c r="I7" s="1"/>
      <c r="J7" s="1"/>
      <c r="K7" s="1"/>
      <c r="L7" s="1"/>
      <c r="M7" s="1"/>
      <c r="N7" s="1" t="s">
        <v>99</v>
      </c>
      <c r="O7" s="1"/>
      <c r="P7" s="1"/>
      <c r="Q7" s="1"/>
      <c r="R7" s="1"/>
      <c r="S7" s="1"/>
      <c r="T7" s="1"/>
      <c r="U7" s="1"/>
      <c r="V7" s="1" t="s">
        <v>99</v>
      </c>
      <c r="W7" s="1">
        <f t="shared" si="0"/>
        <v>3</v>
      </c>
    </row>
    <row r="8" spans="1:23" x14ac:dyDescent="0.25">
      <c r="A8" s="1" t="s">
        <v>105</v>
      </c>
      <c r="B8" s="3">
        <v>103.92288000000001</v>
      </c>
      <c r="C8" s="1"/>
      <c r="D8" s="1"/>
      <c r="E8" s="1" t="s">
        <v>99</v>
      </c>
      <c r="F8" s="1"/>
      <c r="G8" s="1"/>
      <c r="H8" s="1"/>
      <c r="I8" s="1"/>
      <c r="J8" s="1"/>
      <c r="K8" s="1"/>
      <c r="L8" s="1"/>
      <c r="M8" s="1" t="s">
        <v>99</v>
      </c>
      <c r="N8" s="1"/>
      <c r="O8" s="1"/>
      <c r="P8" s="1"/>
      <c r="Q8" s="1"/>
      <c r="R8" s="1"/>
      <c r="S8" s="1"/>
      <c r="T8" s="1"/>
      <c r="U8" s="1" t="s">
        <v>99</v>
      </c>
      <c r="V8" s="1"/>
      <c r="W8" s="1">
        <f t="shared" si="0"/>
        <v>3</v>
      </c>
    </row>
    <row r="9" spans="1:23" x14ac:dyDescent="0.25">
      <c r="A9" s="1" t="s">
        <v>106</v>
      </c>
      <c r="B9" s="3">
        <v>82.181640000000002</v>
      </c>
      <c r="C9" s="1"/>
      <c r="D9" s="1" t="s">
        <v>99</v>
      </c>
      <c r="E9" s="1"/>
      <c r="F9" s="1"/>
      <c r="G9" s="1"/>
      <c r="H9" s="1"/>
      <c r="I9" s="1"/>
      <c r="J9" s="1"/>
      <c r="K9" s="1"/>
      <c r="L9" s="1" t="s">
        <v>99</v>
      </c>
      <c r="M9" s="1"/>
      <c r="N9" s="1"/>
      <c r="O9" s="1"/>
      <c r="P9" s="1"/>
      <c r="Q9" s="1"/>
      <c r="R9" s="1"/>
      <c r="S9" s="1"/>
      <c r="T9" s="1" t="s">
        <v>99</v>
      </c>
      <c r="U9" s="1"/>
      <c r="V9" s="1"/>
      <c r="W9" s="1">
        <f t="shared" si="0"/>
        <v>3</v>
      </c>
    </row>
    <row r="10" spans="1:23" x14ac:dyDescent="0.25">
      <c r="A10" s="1" t="s">
        <v>107</v>
      </c>
      <c r="B10" s="3">
        <v>69.510580000000004</v>
      </c>
      <c r="C10" s="1" t="s">
        <v>99</v>
      </c>
      <c r="D10" s="1"/>
      <c r="E10" s="1"/>
      <c r="F10" s="1"/>
      <c r="G10" s="1"/>
      <c r="H10" s="1"/>
      <c r="I10" s="1"/>
      <c r="J10" s="1"/>
      <c r="K10" s="1" t="s">
        <v>99</v>
      </c>
      <c r="L10" s="1"/>
      <c r="M10" s="1"/>
      <c r="N10" s="1"/>
      <c r="O10" s="1"/>
      <c r="P10" s="1"/>
      <c r="Q10" s="1"/>
      <c r="R10" s="1"/>
      <c r="S10" s="1" t="s">
        <v>99</v>
      </c>
      <c r="T10" s="1"/>
      <c r="U10" s="1"/>
      <c r="V10" s="1"/>
      <c r="W10" s="1">
        <f t="shared" si="0"/>
        <v>3</v>
      </c>
    </row>
    <row r="11" spans="1:23" x14ac:dyDescent="0.25">
      <c r="A11" s="1" t="s">
        <v>108</v>
      </c>
      <c r="B11" s="3">
        <v>52.754539999999999</v>
      </c>
      <c r="C11" s="1" t="s">
        <v>99</v>
      </c>
      <c r="D11" s="1"/>
      <c r="E11" s="1"/>
      <c r="F11" s="1"/>
      <c r="G11" s="1"/>
      <c r="H11" s="1"/>
      <c r="I11" s="1"/>
      <c r="J11" s="1"/>
      <c r="K11" s="1" t="s">
        <v>99</v>
      </c>
      <c r="L11" s="1"/>
      <c r="M11" s="1"/>
      <c r="N11" s="1"/>
      <c r="O11" s="1"/>
      <c r="P11" s="1"/>
      <c r="Q11" s="1"/>
      <c r="R11" s="1"/>
      <c r="S11" s="1" t="s">
        <v>99</v>
      </c>
      <c r="T11" s="1"/>
      <c r="U11" s="1"/>
      <c r="V11" s="1"/>
      <c r="W11" s="1">
        <f t="shared" si="0"/>
        <v>3</v>
      </c>
    </row>
    <row r="12" spans="1:23" x14ac:dyDescent="0.25">
      <c r="A12" s="1" t="s">
        <v>109</v>
      </c>
      <c r="B12" s="3">
        <v>194.63497999999998</v>
      </c>
      <c r="C12" s="1"/>
      <c r="D12" s="1"/>
      <c r="E12" s="1"/>
      <c r="F12" s="1"/>
      <c r="G12" s="1"/>
      <c r="H12" s="1"/>
      <c r="I12" s="1"/>
      <c r="J12" s="1" t="s">
        <v>99</v>
      </c>
      <c r="K12" s="1"/>
      <c r="L12" s="1"/>
      <c r="M12" s="1"/>
      <c r="N12" s="1"/>
      <c r="O12" s="1"/>
      <c r="P12" s="1"/>
      <c r="Q12" s="1"/>
      <c r="R12" s="1"/>
      <c r="S12" s="1"/>
      <c r="T12" s="1"/>
      <c r="U12" s="1"/>
      <c r="V12" s="1"/>
      <c r="W12" s="1">
        <f t="shared" si="0"/>
        <v>1</v>
      </c>
    </row>
    <row r="13" spans="1:23" x14ac:dyDescent="0.25">
      <c r="A13" s="1" t="s">
        <v>110</v>
      </c>
      <c r="B13" s="3">
        <v>155.95435999999998</v>
      </c>
      <c r="C13" s="1"/>
      <c r="D13" s="1"/>
      <c r="E13" s="1"/>
      <c r="F13" s="1"/>
      <c r="G13" s="1"/>
      <c r="H13" s="1"/>
      <c r="I13" s="1" t="s">
        <v>99</v>
      </c>
      <c r="J13" s="1" t="s">
        <v>99</v>
      </c>
      <c r="K13" s="1"/>
      <c r="L13" s="1"/>
      <c r="M13" s="1"/>
      <c r="N13" s="1"/>
      <c r="O13" s="1"/>
      <c r="P13" s="1"/>
      <c r="Q13" s="1"/>
      <c r="R13" s="1"/>
      <c r="S13" s="1"/>
      <c r="T13" s="1"/>
      <c r="U13" s="1"/>
      <c r="V13" s="1"/>
      <c r="W13" s="1">
        <f t="shared" si="0"/>
        <v>2</v>
      </c>
    </row>
    <row r="14" spans="1:23" x14ac:dyDescent="0.25">
      <c r="A14" s="1" t="s">
        <v>111</v>
      </c>
      <c r="B14" s="3">
        <v>126.56022</v>
      </c>
      <c r="C14" s="1"/>
      <c r="D14" s="1"/>
      <c r="E14" s="1"/>
      <c r="F14" s="1"/>
      <c r="G14" s="1"/>
      <c r="H14" s="1" t="s">
        <v>99</v>
      </c>
      <c r="I14" s="1" t="s">
        <v>99</v>
      </c>
      <c r="J14" s="1"/>
      <c r="K14" s="1"/>
      <c r="L14" s="1"/>
      <c r="M14" s="1"/>
      <c r="N14" s="1"/>
      <c r="O14" s="1"/>
      <c r="P14" s="1"/>
      <c r="Q14" s="1"/>
      <c r="R14" s="1"/>
      <c r="S14" s="1"/>
      <c r="T14" s="1"/>
      <c r="U14" s="1"/>
      <c r="V14" s="1"/>
      <c r="W14" s="1">
        <f t="shared" si="0"/>
        <v>2</v>
      </c>
    </row>
    <row r="15" spans="1:23" x14ac:dyDescent="0.25">
      <c r="A15" s="1" t="s">
        <v>112</v>
      </c>
      <c r="B15" s="3">
        <v>94.098739999999992</v>
      </c>
      <c r="C15" s="1"/>
      <c r="D15" s="1"/>
      <c r="E15" s="1"/>
      <c r="F15" s="1"/>
      <c r="G15" s="1" t="s">
        <v>99</v>
      </c>
      <c r="H15" s="1" t="s">
        <v>99</v>
      </c>
      <c r="I15" s="1"/>
      <c r="J15" s="1"/>
      <c r="K15" s="1"/>
      <c r="L15" s="1"/>
      <c r="M15" s="1"/>
      <c r="N15" s="1"/>
      <c r="O15" s="1"/>
      <c r="P15" s="1"/>
      <c r="Q15" s="1"/>
      <c r="R15" s="1"/>
      <c r="S15" s="1"/>
      <c r="T15" s="1"/>
      <c r="U15" s="1"/>
      <c r="V15" s="1"/>
      <c r="W15" s="1">
        <f t="shared" si="0"/>
        <v>2</v>
      </c>
    </row>
    <row r="16" spans="1:23" x14ac:dyDescent="0.25">
      <c r="A16" s="1" t="s">
        <v>113</v>
      </c>
      <c r="B16" s="3">
        <v>70.853699999999989</v>
      </c>
      <c r="C16" s="1"/>
      <c r="D16" s="1"/>
      <c r="E16" s="1"/>
      <c r="F16" s="1"/>
      <c r="G16" s="1" t="s">
        <v>99</v>
      </c>
      <c r="H16" s="1"/>
      <c r="I16" s="1"/>
      <c r="J16" s="1"/>
      <c r="K16" s="1"/>
      <c r="L16" s="1"/>
      <c r="M16" s="1"/>
      <c r="N16" s="1"/>
      <c r="O16" s="1"/>
      <c r="P16" s="1"/>
      <c r="Q16" s="1"/>
      <c r="R16" s="1"/>
      <c r="S16" s="1"/>
      <c r="T16" s="1"/>
      <c r="U16" s="1"/>
      <c r="V16" s="1"/>
      <c r="W16" s="1">
        <f t="shared" si="0"/>
        <v>1</v>
      </c>
    </row>
    <row r="17" spans="1:23" x14ac:dyDescent="0.25">
      <c r="A17" s="1" t="s">
        <v>114</v>
      </c>
      <c r="B17" s="3">
        <v>188.51060000000001</v>
      </c>
      <c r="C17" s="1"/>
      <c r="D17" s="1"/>
      <c r="E17" s="1"/>
      <c r="F17" s="1"/>
      <c r="G17" s="1"/>
      <c r="H17" s="1"/>
      <c r="I17" s="1" t="s">
        <v>99</v>
      </c>
      <c r="J17" s="1" t="s">
        <v>99</v>
      </c>
      <c r="K17" s="1"/>
      <c r="L17" s="1"/>
      <c r="M17" s="1"/>
      <c r="N17" s="1"/>
      <c r="O17" s="1"/>
      <c r="P17" s="1"/>
      <c r="Q17" s="1"/>
      <c r="R17" s="1"/>
      <c r="S17" s="1"/>
      <c r="T17" s="1"/>
      <c r="U17" s="1"/>
      <c r="V17" s="1"/>
      <c r="W17" s="1">
        <f t="shared" si="0"/>
        <v>2</v>
      </c>
    </row>
    <row r="18" spans="1:23" x14ac:dyDescent="0.25">
      <c r="A18" s="1" t="s">
        <v>115</v>
      </c>
      <c r="B18" s="3">
        <v>179.31682000000001</v>
      </c>
      <c r="C18" s="1"/>
      <c r="D18" s="1"/>
      <c r="E18" s="1"/>
      <c r="F18" s="1"/>
      <c r="G18" s="1"/>
      <c r="H18" s="1"/>
      <c r="I18" s="1" t="s">
        <v>99</v>
      </c>
      <c r="J18" s="1" t="s">
        <v>99</v>
      </c>
      <c r="K18" s="1"/>
      <c r="L18" s="1"/>
      <c r="M18" s="1"/>
      <c r="N18" s="1"/>
      <c r="O18" s="1"/>
      <c r="P18" s="1"/>
      <c r="Q18" s="1" t="s">
        <v>99</v>
      </c>
      <c r="R18" s="1" t="s">
        <v>99</v>
      </c>
      <c r="S18" s="1"/>
      <c r="T18" s="1"/>
      <c r="U18" s="1" t="s">
        <v>99</v>
      </c>
      <c r="V18" s="1" t="s">
        <v>99</v>
      </c>
      <c r="W18" s="1">
        <f t="shared" si="0"/>
        <v>6</v>
      </c>
    </row>
    <row r="19" spans="1:23" x14ac:dyDescent="0.25">
      <c r="A19" s="1" t="s">
        <v>116</v>
      </c>
      <c r="B19" s="3">
        <v>175.84777999999997</v>
      </c>
      <c r="C19" s="1"/>
      <c r="D19" s="1"/>
      <c r="E19" s="1"/>
      <c r="F19" s="1"/>
      <c r="G19" s="1"/>
      <c r="H19" s="1" t="s">
        <v>99</v>
      </c>
      <c r="I19" s="1" t="s">
        <v>99</v>
      </c>
      <c r="J19" s="1" t="s">
        <v>99</v>
      </c>
      <c r="K19" s="1"/>
      <c r="L19" s="1"/>
      <c r="M19" s="1"/>
      <c r="N19" s="1"/>
      <c r="O19" s="1"/>
      <c r="P19" s="1"/>
      <c r="Q19" s="1"/>
      <c r="R19" s="1"/>
      <c r="S19" s="1"/>
      <c r="T19" s="1"/>
      <c r="U19" s="1" t="s">
        <v>99</v>
      </c>
      <c r="V19" s="1" t="s">
        <v>99</v>
      </c>
      <c r="W19" s="1">
        <f t="shared" si="0"/>
        <v>5</v>
      </c>
    </row>
    <row r="20" spans="1:23" x14ac:dyDescent="0.25">
      <c r="A20" s="1" t="s">
        <v>117</v>
      </c>
      <c r="B20" s="3">
        <v>135.07625999999999</v>
      </c>
      <c r="C20" s="1"/>
      <c r="D20" s="1"/>
      <c r="E20" s="1"/>
      <c r="F20" s="1"/>
      <c r="G20" s="1"/>
      <c r="H20" s="1"/>
      <c r="I20" s="1" t="s">
        <v>99</v>
      </c>
      <c r="J20" s="1" t="s">
        <v>99</v>
      </c>
      <c r="K20" s="1"/>
      <c r="L20" s="1"/>
      <c r="M20" s="1"/>
      <c r="N20" s="1"/>
      <c r="O20" s="1"/>
      <c r="P20" s="1"/>
      <c r="Q20" s="1"/>
      <c r="R20" s="1"/>
      <c r="S20" s="1"/>
      <c r="T20" s="1"/>
      <c r="U20" s="1" t="s">
        <v>99</v>
      </c>
      <c r="V20" s="1" t="s">
        <v>99</v>
      </c>
      <c r="W20" s="1">
        <f t="shared" si="0"/>
        <v>4</v>
      </c>
    </row>
    <row r="21" spans="1:23" ht="15.75" customHeight="1" x14ac:dyDescent="0.25">
      <c r="A21" s="1" t="s">
        <v>118</v>
      </c>
      <c r="B21" s="3">
        <v>140.78040000000001</v>
      </c>
      <c r="C21" s="1"/>
      <c r="D21" s="1"/>
      <c r="E21" s="1"/>
      <c r="F21" s="1"/>
      <c r="G21" s="1"/>
      <c r="H21" s="1" t="s">
        <v>99</v>
      </c>
      <c r="I21" s="1" t="s">
        <v>99</v>
      </c>
      <c r="J21" s="1" t="s">
        <v>99</v>
      </c>
      <c r="K21" s="1"/>
      <c r="L21" s="1"/>
      <c r="M21" s="1"/>
      <c r="N21" s="1"/>
      <c r="O21" s="1"/>
      <c r="P21" s="1" t="s">
        <v>99</v>
      </c>
      <c r="Q21" s="1" t="s">
        <v>99</v>
      </c>
      <c r="R21" s="1" t="s">
        <v>99</v>
      </c>
      <c r="S21" s="1"/>
      <c r="T21" s="1"/>
      <c r="U21" s="1"/>
      <c r="V21" s="1"/>
      <c r="W21" s="1">
        <f t="shared" si="0"/>
        <v>6</v>
      </c>
    </row>
    <row r="22" spans="1:23" ht="15.75" customHeight="1" x14ac:dyDescent="0.25">
      <c r="A22" s="1" t="s">
        <v>119</v>
      </c>
      <c r="B22" s="3">
        <v>107.10764000000002</v>
      </c>
      <c r="C22" s="1"/>
      <c r="D22" s="1"/>
      <c r="E22" s="1" t="s">
        <v>99</v>
      </c>
      <c r="F22" s="1" t="s">
        <v>99</v>
      </c>
      <c r="G22" s="1"/>
      <c r="H22" s="1"/>
      <c r="I22" s="1" t="s">
        <v>99</v>
      </c>
      <c r="J22" s="1" t="s">
        <v>99</v>
      </c>
      <c r="K22" s="1"/>
      <c r="L22" s="1"/>
      <c r="M22" s="1"/>
      <c r="N22" s="1"/>
      <c r="O22" s="1"/>
      <c r="P22" s="1"/>
      <c r="Q22" s="1"/>
      <c r="R22" s="1"/>
      <c r="S22" s="1"/>
      <c r="T22" s="1"/>
      <c r="U22" s="1" t="s">
        <v>99</v>
      </c>
      <c r="V22" s="1" t="s">
        <v>99</v>
      </c>
      <c r="W22" s="1">
        <f t="shared" si="0"/>
        <v>6</v>
      </c>
    </row>
    <row r="23" spans="1:23" ht="15.75" customHeight="1" x14ac:dyDescent="0.25">
      <c r="A23" s="1" t="s">
        <v>120</v>
      </c>
      <c r="B23" s="3">
        <v>98.018920000000008</v>
      </c>
      <c r="C23" s="1"/>
      <c r="D23" s="1"/>
      <c r="E23" s="1" t="s">
        <v>99</v>
      </c>
      <c r="F23" s="1" t="s">
        <v>99</v>
      </c>
      <c r="G23" s="1"/>
      <c r="H23" s="1"/>
      <c r="I23" s="1" t="s">
        <v>99</v>
      </c>
      <c r="J23" s="1" t="s">
        <v>99</v>
      </c>
      <c r="K23" s="1"/>
      <c r="L23" s="1"/>
      <c r="M23" s="1"/>
      <c r="N23" s="1"/>
      <c r="O23" s="1"/>
      <c r="P23" s="1"/>
      <c r="Q23" s="1"/>
      <c r="R23" s="1"/>
      <c r="S23" s="1"/>
      <c r="T23" s="1"/>
      <c r="U23" s="1" t="s">
        <v>99</v>
      </c>
      <c r="V23" s="1" t="s">
        <v>99</v>
      </c>
      <c r="W23" s="1">
        <f t="shared" si="0"/>
        <v>6</v>
      </c>
    </row>
    <row r="24" spans="1:23" ht="15.75" customHeight="1" x14ac:dyDescent="0.25">
      <c r="A24" s="1" t="s">
        <v>121</v>
      </c>
      <c r="B24" s="3">
        <v>56.878660000000004</v>
      </c>
      <c r="C24" s="1"/>
      <c r="D24" s="1" t="s">
        <v>99</v>
      </c>
      <c r="E24" s="1"/>
      <c r="F24" s="1"/>
      <c r="G24" s="1" t="s">
        <v>99</v>
      </c>
      <c r="H24" s="1" t="s">
        <v>99</v>
      </c>
      <c r="I24" s="1"/>
      <c r="J24" s="1"/>
      <c r="K24" s="1"/>
      <c r="L24" s="1"/>
      <c r="M24" s="1"/>
      <c r="N24" s="1"/>
      <c r="O24" s="1"/>
      <c r="P24" s="1"/>
      <c r="Q24" s="1"/>
      <c r="R24" s="1"/>
      <c r="S24" s="1" t="s">
        <v>99</v>
      </c>
      <c r="T24" s="1" t="s">
        <v>99</v>
      </c>
      <c r="U24" s="1"/>
      <c r="V24" s="1"/>
      <c r="W24" s="1">
        <f t="shared" si="0"/>
        <v>5</v>
      </c>
    </row>
    <row r="25" spans="1:23" ht="15.75" customHeight="1" x14ac:dyDescent="0.25">
      <c r="A25" s="1" t="s">
        <v>122</v>
      </c>
      <c r="B25" s="3">
        <v>47.868220000000008</v>
      </c>
      <c r="C25" s="1" t="s">
        <v>99</v>
      </c>
      <c r="D25" s="1"/>
      <c r="E25" s="1"/>
      <c r="F25" s="1"/>
      <c r="G25" s="1" t="s">
        <v>99</v>
      </c>
      <c r="H25" s="1"/>
      <c r="I25" s="1"/>
      <c r="J25" s="1"/>
      <c r="K25" s="1" t="s">
        <v>99</v>
      </c>
      <c r="L25" s="1"/>
      <c r="M25" s="1"/>
      <c r="N25" s="1"/>
      <c r="O25" s="1"/>
      <c r="P25" s="1"/>
      <c r="Q25" s="1"/>
      <c r="R25" s="1"/>
      <c r="S25" s="1" t="s">
        <v>99</v>
      </c>
      <c r="T25" s="1"/>
      <c r="U25" s="1"/>
      <c r="V25" s="1"/>
      <c r="W25" s="1">
        <f t="shared" si="0"/>
        <v>4</v>
      </c>
    </row>
    <row r="26" spans="1:23" ht="15.75" customHeight="1" x14ac:dyDescent="0.25">
      <c r="A26" s="1" t="s">
        <v>123</v>
      </c>
      <c r="B26" s="3">
        <v>194.88629999999998</v>
      </c>
      <c r="C26" s="1"/>
      <c r="D26" s="1"/>
      <c r="E26" s="1" t="s">
        <v>99</v>
      </c>
      <c r="F26" s="1" t="s">
        <v>99</v>
      </c>
      <c r="G26" s="1"/>
      <c r="H26" s="1"/>
      <c r="I26" s="1" t="s">
        <v>99</v>
      </c>
      <c r="J26" s="1" t="s">
        <v>99</v>
      </c>
      <c r="K26" s="1"/>
      <c r="L26" s="1"/>
      <c r="M26" s="1"/>
      <c r="N26" s="1"/>
      <c r="O26" s="1"/>
      <c r="P26" s="1"/>
      <c r="Q26" s="1" t="s">
        <v>99</v>
      </c>
      <c r="R26" s="1" t="s">
        <v>99</v>
      </c>
      <c r="S26" s="1"/>
      <c r="T26" s="1"/>
      <c r="U26" s="1"/>
      <c r="V26" s="1"/>
      <c r="W26" s="1">
        <f t="shared" si="0"/>
        <v>6</v>
      </c>
    </row>
    <row r="27" spans="1:23" ht="15.75" customHeight="1" x14ac:dyDescent="0.25">
      <c r="A27" s="1" t="s">
        <v>124</v>
      </c>
      <c r="B27" s="3">
        <v>182.61694</v>
      </c>
      <c r="C27" s="1"/>
      <c r="D27" s="1"/>
      <c r="E27" s="1" t="s">
        <v>99</v>
      </c>
      <c r="F27" s="1" t="s">
        <v>99</v>
      </c>
      <c r="G27" s="1"/>
      <c r="H27" s="1"/>
      <c r="I27" s="1" t="s">
        <v>99</v>
      </c>
      <c r="J27" s="1" t="s">
        <v>99</v>
      </c>
      <c r="K27" s="1"/>
      <c r="L27" s="1"/>
      <c r="M27" s="1" t="s">
        <v>99</v>
      </c>
      <c r="N27" s="1" t="s">
        <v>99</v>
      </c>
      <c r="O27" s="1"/>
      <c r="P27" s="1"/>
      <c r="Q27" s="1" t="s">
        <v>99</v>
      </c>
      <c r="R27" s="1" t="s">
        <v>99</v>
      </c>
      <c r="S27" s="1"/>
      <c r="T27" s="1"/>
      <c r="U27" s="1"/>
      <c r="V27" s="1"/>
      <c r="W27" s="1">
        <f t="shared" si="0"/>
        <v>8</v>
      </c>
    </row>
    <row r="28" spans="1:23" ht="15.75" customHeight="1" x14ac:dyDescent="0.25">
      <c r="A28" s="1" t="s">
        <v>125</v>
      </c>
      <c r="B28" s="3">
        <v>154.28987999999998</v>
      </c>
      <c r="C28" s="1"/>
      <c r="D28" s="1" t="s">
        <v>99</v>
      </c>
      <c r="E28" s="1" t="s">
        <v>99</v>
      </c>
      <c r="F28" s="1"/>
      <c r="G28" s="1"/>
      <c r="H28" s="1" t="s">
        <v>99</v>
      </c>
      <c r="I28" s="1" t="s">
        <v>99</v>
      </c>
      <c r="J28" s="1"/>
      <c r="K28" s="1"/>
      <c r="L28" s="1" t="s">
        <v>99</v>
      </c>
      <c r="M28" s="1" t="s">
        <v>99</v>
      </c>
      <c r="N28" s="1"/>
      <c r="O28" s="1"/>
      <c r="P28" s="1" t="s">
        <v>99</v>
      </c>
      <c r="Q28" s="1" t="s">
        <v>99</v>
      </c>
      <c r="R28" s="1"/>
      <c r="S28" s="1"/>
      <c r="T28" s="1"/>
      <c r="U28" s="1"/>
      <c r="V28" s="1"/>
      <c r="W28" s="1">
        <f t="shared" si="0"/>
        <v>8</v>
      </c>
    </row>
    <row r="29" spans="1:23" ht="15.75" customHeight="1" x14ac:dyDescent="0.25">
      <c r="A29" s="1" t="s">
        <v>126</v>
      </c>
      <c r="B29" s="3">
        <v>132.59189999999998</v>
      </c>
      <c r="C29" s="1" t="s">
        <v>99</v>
      </c>
      <c r="D29" s="1" t="s">
        <v>99</v>
      </c>
      <c r="E29" s="1"/>
      <c r="F29" s="1"/>
      <c r="G29" s="1" t="s">
        <v>99</v>
      </c>
      <c r="H29" s="1" t="s">
        <v>99</v>
      </c>
      <c r="I29" s="1"/>
      <c r="J29" s="1"/>
      <c r="K29" s="1" t="s">
        <v>99</v>
      </c>
      <c r="L29" s="1" t="s">
        <v>99</v>
      </c>
      <c r="M29" s="1"/>
      <c r="N29" s="1"/>
      <c r="O29" s="1"/>
      <c r="P29" s="1"/>
      <c r="Q29" s="1"/>
      <c r="R29" s="1"/>
      <c r="S29" s="1"/>
      <c r="T29" s="1"/>
      <c r="U29" s="1"/>
      <c r="V29" s="1"/>
      <c r="W29" s="1">
        <f t="shared" si="0"/>
        <v>6</v>
      </c>
    </row>
    <row r="30" spans="1:23" ht="15.75" customHeight="1" x14ac:dyDescent="0.25">
      <c r="A30" s="1" t="s">
        <v>127</v>
      </c>
      <c r="B30" s="3">
        <v>120.86020000000001</v>
      </c>
      <c r="C30" s="1"/>
      <c r="D30" s="1" t="s">
        <v>99</v>
      </c>
      <c r="E30" s="1" t="s">
        <v>99</v>
      </c>
      <c r="F30" s="1"/>
      <c r="G30" s="1"/>
      <c r="H30" s="1" t="s">
        <v>99</v>
      </c>
      <c r="I30" s="1" t="s">
        <v>99</v>
      </c>
      <c r="J30" s="1"/>
      <c r="K30" s="1"/>
      <c r="L30" s="1"/>
      <c r="M30" s="1"/>
      <c r="N30" s="1"/>
      <c r="O30" s="1"/>
      <c r="P30" s="1"/>
      <c r="Q30" s="1"/>
      <c r="R30" s="1"/>
      <c r="S30" s="1"/>
      <c r="T30" s="1"/>
      <c r="U30" s="1"/>
      <c r="V30" s="1"/>
      <c r="W30" s="1">
        <f t="shared" si="0"/>
        <v>4</v>
      </c>
    </row>
    <row r="31" spans="1:23" ht="15.75" customHeight="1" x14ac:dyDescent="0.25">
      <c r="A31" s="1" t="s">
        <v>128</v>
      </c>
      <c r="B31" s="3">
        <v>107.16326000000001</v>
      </c>
      <c r="C31" s="1"/>
      <c r="D31" s="1" t="s">
        <v>99</v>
      </c>
      <c r="E31" s="1"/>
      <c r="F31" s="1"/>
      <c r="G31" s="1"/>
      <c r="H31" s="1" t="s">
        <v>99</v>
      </c>
      <c r="I31" s="1"/>
      <c r="J31" s="1"/>
      <c r="K31" s="1"/>
      <c r="L31" s="1"/>
      <c r="M31" s="1"/>
      <c r="N31" s="1"/>
      <c r="O31" s="1"/>
      <c r="P31" s="1"/>
      <c r="Q31" s="1"/>
      <c r="R31" s="1"/>
      <c r="S31" s="1"/>
      <c r="T31" s="1"/>
      <c r="U31" s="1"/>
      <c r="V31" s="1"/>
      <c r="W31" s="1">
        <f t="shared" si="0"/>
        <v>2</v>
      </c>
    </row>
    <row r="32" spans="1:23" ht="15.75" customHeight="1" x14ac:dyDescent="0.25">
      <c r="A32" s="1" t="s">
        <v>129</v>
      </c>
      <c r="B32" s="3">
        <v>93.497219999999999</v>
      </c>
      <c r="C32" s="1" t="s">
        <v>99</v>
      </c>
      <c r="D32" s="1"/>
      <c r="E32" s="1"/>
      <c r="F32" s="1"/>
      <c r="G32" s="1" t="s">
        <v>99</v>
      </c>
      <c r="H32" s="1"/>
      <c r="I32" s="1"/>
      <c r="J32" s="1"/>
      <c r="K32" s="1"/>
      <c r="L32" s="1"/>
      <c r="M32" s="1"/>
      <c r="N32" s="1"/>
      <c r="O32" s="1"/>
      <c r="P32" s="1"/>
      <c r="Q32" s="1"/>
      <c r="R32" s="1"/>
      <c r="S32" s="1"/>
      <c r="T32" s="1"/>
      <c r="U32" s="1"/>
      <c r="V32" s="1"/>
      <c r="W32" s="1">
        <f t="shared" si="0"/>
        <v>2</v>
      </c>
    </row>
    <row r="33" spans="1:23" ht="15.75" customHeight="1" x14ac:dyDescent="0.25">
      <c r="A33" s="1" t="s">
        <v>130</v>
      </c>
      <c r="B33" s="3">
        <v>91.597899999999996</v>
      </c>
      <c r="C33" s="1"/>
      <c r="D33" s="1"/>
      <c r="E33" s="1" t="s">
        <v>99</v>
      </c>
      <c r="F33" s="1" t="s">
        <v>99</v>
      </c>
      <c r="G33" s="1"/>
      <c r="H33" s="1"/>
      <c r="I33" s="1" t="s">
        <v>99</v>
      </c>
      <c r="J33" s="1" t="s">
        <v>99</v>
      </c>
      <c r="K33" s="1"/>
      <c r="L33" s="1"/>
      <c r="M33" s="1" t="s">
        <v>99</v>
      </c>
      <c r="N33" s="1" t="s">
        <v>99</v>
      </c>
      <c r="O33" s="1"/>
      <c r="P33" s="1"/>
      <c r="Q33" s="1"/>
      <c r="R33" s="1"/>
      <c r="S33" s="1"/>
      <c r="T33" s="1"/>
      <c r="U33" s="1" t="s">
        <v>99</v>
      </c>
      <c r="V33" s="1" t="s">
        <v>99</v>
      </c>
      <c r="W33" s="1">
        <f t="shared" si="0"/>
        <v>8</v>
      </c>
    </row>
    <row r="34" spans="1:23" ht="15.75" customHeight="1" x14ac:dyDescent="0.25">
      <c r="A34" s="1" t="s">
        <v>131</v>
      </c>
      <c r="B34" s="3">
        <v>77.093439999999987</v>
      </c>
      <c r="C34" s="1"/>
      <c r="D34" s="1" t="s">
        <v>99</v>
      </c>
      <c r="E34" s="1" t="s">
        <v>99</v>
      </c>
      <c r="F34" s="1"/>
      <c r="G34" s="1"/>
      <c r="H34" s="1" t="s">
        <v>99</v>
      </c>
      <c r="I34" s="1" t="s">
        <v>99</v>
      </c>
      <c r="J34" s="1"/>
      <c r="K34" s="1"/>
      <c r="L34" s="1" t="s">
        <v>99</v>
      </c>
      <c r="M34" s="1" t="s">
        <v>99</v>
      </c>
      <c r="N34" s="1"/>
      <c r="O34" s="1"/>
      <c r="P34" s="1"/>
      <c r="Q34" s="1"/>
      <c r="R34" s="1"/>
      <c r="S34" s="1"/>
      <c r="T34" s="1" t="s">
        <v>99</v>
      </c>
      <c r="U34" s="1" t="s">
        <v>99</v>
      </c>
      <c r="V34" s="1"/>
      <c r="W34" s="1">
        <f t="shared" si="0"/>
        <v>8</v>
      </c>
    </row>
    <row r="35" spans="1:23" ht="15.75" customHeight="1" x14ac:dyDescent="0.25">
      <c r="A35" s="1" t="s">
        <v>132</v>
      </c>
      <c r="B35" s="3">
        <v>63.600439999999992</v>
      </c>
      <c r="C35" s="1" t="s">
        <v>99</v>
      </c>
      <c r="D35" s="1" t="s">
        <v>99</v>
      </c>
      <c r="E35" s="1"/>
      <c r="F35" s="1"/>
      <c r="G35" s="1" t="s">
        <v>99</v>
      </c>
      <c r="H35" s="1" t="s">
        <v>99</v>
      </c>
      <c r="I35" s="1"/>
      <c r="J35" s="1"/>
      <c r="K35" s="1" t="s">
        <v>99</v>
      </c>
      <c r="L35" s="1" t="s">
        <v>99</v>
      </c>
      <c r="M35" s="1"/>
      <c r="N35" s="1"/>
      <c r="O35" s="1"/>
      <c r="P35" s="1"/>
      <c r="Q35" s="1"/>
      <c r="R35" s="1"/>
      <c r="S35" s="1" t="s">
        <v>99</v>
      </c>
      <c r="T35" s="1" t="s">
        <v>99</v>
      </c>
      <c r="U35" s="1"/>
      <c r="V35" s="1"/>
      <c r="W35" s="1">
        <f t="shared" si="0"/>
        <v>8</v>
      </c>
    </row>
    <row r="36" spans="1:23" ht="15.75" customHeight="1" x14ac:dyDescent="0.25">
      <c r="A36" s="1" t="s">
        <v>133</v>
      </c>
      <c r="B36" s="3">
        <v>63.639579999999988</v>
      </c>
      <c r="C36" s="1"/>
      <c r="D36" s="1"/>
      <c r="E36" s="1"/>
      <c r="F36" s="1"/>
      <c r="G36" s="1"/>
      <c r="H36" s="1"/>
      <c r="I36" s="1"/>
      <c r="J36" s="1"/>
      <c r="K36" s="1"/>
      <c r="L36" s="1"/>
      <c r="M36" s="1"/>
      <c r="N36" s="1"/>
      <c r="O36" s="1"/>
      <c r="P36" s="1"/>
      <c r="Q36" s="1" t="s">
        <v>99</v>
      </c>
      <c r="R36" s="1" t="s">
        <v>99</v>
      </c>
      <c r="S36" s="1"/>
      <c r="T36" s="1"/>
      <c r="U36" s="1"/>
      <c r="V36" s="1"/>
      <c r="W36" s="1">
        <f t="shared" si="0"/>
        <v>2</v>
      </c>
    </row>
    <row r="37" spans="1:23" ht="15.75" customHeight="1" x14ac:dyDescent="0.25">
      <c r="A37" s="1" t="s">
        <v>134</v>
      </c>
      <c r="B37" s="3">
        <v>52.954360000000001</v>
      </c>
      <c r="C37" s="1"/>
      <c r="D37" s="1"/>
      <c r="E37" s="1"/>
      <c r="F37" s="1"/>
      <c r="G37" s="1"/>
      <c r="H37" s="1"/>
      <c r="I37" s="1"/>
      <c r="J37" s="1"/>
      <c r="K37" s="1"/>
      <c r="L37" s="1"/>
      <c r="M37" s="1"/>
      <c r="N37" s="1"/>
      <c r="O37" s="1"/>
      <c r="P37" s="1" t="s">
        <v>99</v>
      </c>
      <c r="Q37" s="1" t="s">
        <v>99</v>
      </c>
      <c r="R37" s="1"/>
      <c r="S37" s="1"/>
      <c r="T37" s="1"/>
      <c r="U37" s="1"/>
      <c r="V37" s="1"/>
      <c r="W37" s="1">
        <f t="shared" si="0"/>
        <v>2</v>
      </c>
    </row>
    <row r="38" spans="1:23" ht="15.75" customHeight="1" x14ac:dyDescent="0.25">
      <c r="A38" s="1" t="s">
        <v>135</v>
      </c>
      <c r="B38" s="3">
        <v>44.032499999999999</v>
      </c>
      <c r="C38" s="1"/>
      <c r="D38" s="1"/>
      <c r="E38" s="1"/>
      <c r="F38" s="1"/>
      <c r="G38" s="1"/>
      <c r="H38" s="1"/>
      <c r="I38" s="1"/>
      <c r="J38" s="1"/>
      <c r="K38" s="1"/>
      <c r="L38" s="1"/>
      <c r="M38" s="1"/>
      <c r="N38" s="1"/>
      <c r="O38" s="1" t="s">
        <v>99</v>
      </c>
      <c r="P38" s="1" t="s">
        <v>99</v>
      </c>
      <c r="Q38" s="1"/>
      <c r="R38" s="1"/>
      <c r="S38" s="1"/>
      <c r="T38" s="1"/>
      <c r="U38" s="1"/>
      <c r="V38" s="1"/>
      <c r="W38" s="1">
        <f t="shared" si="0"/>
        <v>2</v>
      </c>
    </row>
    <row r="39" spans="1:23" ht="15.75" customHeight="1" x14ac:dyDescent="0.25">
      <c r="A39" s="1" t="s">
        <v>136</v>
      </c>
      <c r="B39" s="3">
        <v>66.426759999999987</v>
      </c>
      <c r="C39" s="1"/>
      <c r="D39" s="1"/>
      <c r="E39" s="1"/>
      <c r="F39" s="1"/>
      <c r="G39" s="1"/>
      <c r="H39" s="1"/>
      <c r="I39" s="1"/>
      <c r="J39" s="1"/>
      <c r="K39" s="1"/>
      <c r="L39" s="1"/>
      <c r="M39" s="1"/>
      <c r="N39" s="1"/>
      <c r="O39" s="1"/>
      <c r="P39" s="1"/>
      <c r="Q39" s="1"/>
      <c r="R39" s="1"/>
      <c r="S39" s="1"/>
      <c r="T39" s="1"/>
      <c r="U39" s="1" t="s">
        <v>99</v>
      </c>
      <c r="V39" s="1" t="s">
        <v>99</v>
      </c>
      <c r="W39" s="1">
        <f t="shared" si="0"/>
        <v>2</v>
      </c>
    </row>
    <row r="40" spans="1:23" ht="15.75" customHeight="1" x14ac:dyDescent="0.25">
      <c r="A40" s="1" t="s">
        <v>137</v>
      </c>
      <c r="B40" s="3">
        <v>56.851880000000008</v>
      </c>
      <c r="C40" s="1"/>
      <c r="D40" s="1"/>
      <c r="E40" s="1"/>
      <c r="F40" s="1"/>
      <c r="G40" s="1"/>
      <c r="H40" s="1"/>
      <c r="I40" s="1"/>
      <c r="J40" s="1"/>
      <c r="K40" s="1"/>
      <c r="L40" s="1"/>
      <c r="M40" s="1"/>
      <c r="N40" s="1"/>
      <c r="O40" s="1"/>
      <c r="P40" s="1"/>
      <c r="Q40" s="1"/>
      <c r="R40" s="1"/>
      <c r="S40" s="1"/>
      <c r="T40" s="1" t="s">
        <v>99</v>
      </c>
      <c r="U40" s="1" t="s">
        <v>99</v>
      </c>
      <c r="V40" s="1"/>
      <c r="W40" s="1">
        <f t="shared" si="0"/>
        <v>2</v>
      </c>
    </row>
    <row r="41" spans="1:23" ht="15.75" customHeight="1" x14ac:dyDescent="0.25">
      <c r="A41" s="1" t="s">
        <v>138</v>
      </c>
      <c r="B41" s="3">
        <v>50.088899999999995</v>
      </c>
      <c r="C41" s="1"/>
      <c r="D41" s="1"/>
      <c r="E41" s="1"/>
      <c r="F41" s="1"/>
      <c r="G41" s="1"/>
      <c r="H41" s="1"/>
      <c r="I41" s="1"/>
      <c r="J41" s="1"/>
      <c r="K41" s="1"/>
      <c r="L41" s="1"/>
      <c r="M41" s="1"/>
      <c r="N41" s="1"/>
      <c r="O41" s="1"/>
      <c r="P41" s="1"/>
      <c r="Q41" s="1"/>
      <c r="R41" s="1"/>
      <c r="S41" s="1" t="s">
        <v>99</v>
      </c>
      <c r="T41" s="1" t="s">
        <v>99</v>
      </c>
      <c r="U41" s="1"/>
      <c r="V41" s="1"/>
      <c r="W41" s="1">
        <f t="shared" si="0"/>
        <v>2</v>
      </c>
    </row>
    <row r="42" spans="1:23" ht="15.75" customHeight="1" x14ac:dyDescent="0.25">
      <c r="A42" s="1"/>
      <c r="B42" s="1"/>
      <c r="C42" s="1">
        <f t="shared" ref="C42:V42" si="1">COUNTIF(C2:C41,"x")</f>
        <v>7</v>
      </c>
      <c r="D42" s="1">
        <f t="shared" si="1"/>
        <v>9</v>
      </c>
      <c r="E42" s="1">
        <f t="shared" si="1"/>
        <v>10</v>
      </c>
      <c r="F42" s="1">
        <f t="shared" si="1"/>
        <v>7</v>
      </c>
      <c r="G42" s="1">
        <f t="shared" si="1"/>
        <v>7</v>
      </c>
      <c r="H42" s="1">
        <f t="shared" si="1"/>
        <v>11</v>
      </c>
      <c r="I42" s="1">
        <f t="shared" si="1"/>
        <v>15</v>
      </c>
      <c r="J42" s="1">
        <f t="shared" si="1"/>
        <v>12</v>
      </c>
      <c r="K42" s="1">
        <f t="shared" si="1"/>
        <v>5</v>
      </c>
      <c r="L42" s="1">
        <f t="shared" si="1"/>
        <v>6</v>
      </c>
      <c r="M42" s="1">
        <f t="shared" si="1"/>
        <v>6</v>
      </c>
      <c r="N42" s="1">
        <f t="shared" si="1"/>
        <v>4</v>
      </c>
      <c r="O42" s="1">
        <f t="shared" si="1"/>
        <v>1</v>
      </c>
      <c r="P42" s="1">
        <f t="shared" si="1"/>
        <v>4</v>
      </c>
      <c r="Q42" s="1">
        <f t="shared" si="1"/>
        <v>8</v>
      </c>
      <c r="R42" s="1">
        <f t="shared" si="1"/>
        <v>6</v>
      </c>
      <c r="S42" s="1">
        <f t="shared" si="1"/>
        <v>6</v>
      </c>
      <c r="T42" s="1">
        <f t="shared" si="1"/>
        <v>7</v>
      </c>
      <c r="U42" s="1">
        <f t="shared" si="1"/>
        <v>11</v>
      </c>
      <c r="V42" s="1">
        <f t="shared" si="1"/>
        <v>9</v>
      </c>
      <c r="W42" s="1"/>
    </row>
    <row r="43" spans="1:23" ht="15.75" customHeight="1" x14ac:dyDescent="0.25">
      <c r="A43" s="1"/>
      <c r="B43" s="1"/>
      <c r="C43" s="3">
        <f t="shared" ref="C43:V43" ca="1" si="2">SUMIF(C2:C42,"x",$B$2:$B$41)</f>
        <v>536.37043999999992</v>
      </c>
      <c r="D43" s="3">
        <f t="shared" ca="1" si="2"/>
        <v>893.45083999999997</v>
      </c>
      <c r="E43" s="3">
        <f t="shared" ca="1" si="2"/>
        <v>1248.8852999999999</v>
      </c>
      <c r="F43" s="3">
        <f t="shared" ca="1" si="2"/>
        <v>939.94503999999995</v>
      </c>
      <c r="G43" s="3">
        <f t="shared" ca="1" si="2"/>
        <v>559.38887999999997</v>
      </c>
      <c r="H43" s="3">
        <f t="shared" ca="1" si="2"/>
        <v>1249.7649199999998</v>
      </c>
      <c r="I43" s="3">
        <f t="shared" ca="1" si="2"/>
        <v>2128.51766</v>
      </c>
      <c r="J43" s="3">
        <f t="shared" ca="1" si="2"/>
        <v>1844.3488999999997</v>
      </c>
      <c r="K43" s="3">
        <f t="shared" ca="1" si="2"/>
        <v>366.32567999999998</v>
      </c>
      <c r="L43" s="3">
        <f t="shared" ca="1" si="2"/>
        <v>608.54872</v>
      </c>
      <c r="M43" s="3">
        <f t="shared" ca="1" si="2"/>
        <v>728.01223999999991</v>
      </c>
      <c r="N43" s="3">
        <f t="shared" ca="1" si="2"/>
        <v>539.93218000000002</v>
      </c>
      <c r="O43" s="3">
        <f t="shared" ca="1" si="2"/>
        <v>44.032499999999999</v>
      </c>
      <c r="P43" s="3">
        <f t="shared" ca="1" si="2"/>
        <v>392.05714</v>
      </c>
      <c r="Q43" s="3">
        <f t="shared" ca="1" si="2"/>
        <v>1147.7001599999999</v>
      </c>
      <c r="R43" s="3">
        <f t="shared" ca="1" si="2"/>
        <v>940.45591999999999</v>
      </c>
      <c r="S43" s="3">
        <f t="shared" ca="1" si="2"/>
        <v>340.70133999999996</v>
      </c>
      <c r="T43" s="3">
        <f t="shared" ca="1" si="2"/>
        <v>485.48637999999994</v>
      </c>
      <c r="U43" s="3">
        <f t="shared" ca="1" si="2"/>
        <v>1209.7514799999999</v>
      </c>
      <c r="V43" s="3">
        <f t="shared" ca="1" si="2"/>
        <v>1119.1094200000002</v>
      </c>
      <c r="W43" s="1"/>
    </row>
    <row r="44" spans="1:23" ht="15.75" customHeight="1" x14ac:dyDescent="0.25">
      <c r="A44" s="1"/>
      <c r="B44" s="1"/>
      <c r="C44" s="44">
        <f t="shared" ref="C44:V44" ca="1" si="3">C43/C42</f>
        <v>76.624348571428555</v>
      </c>
      <c r="D44" s="44">
        <f t="shared" ca="1" si="3"/>
        <v>99.272315555555551</v>
      </c>
      <c r="E44" s="44">
        <f t="shared" ca="1" si="3"/>
        <v>124.88852999999999</v>
      </c>
      <c r="F44" s="44">
        <f t="shared" ca="1" si="3"/>
        <v>134.27786285714285</v>
      </c>
      <c r="G44" s="44">
        <f t="shared" ca="1" si="3"/>
        <v>79.912697142857141</v>
      </c>
      <c r="H44" s="44">
        <f t="shared" ca="1" si="3"/>
        <v>113.61499272727271</v>
      </c>
      <c r="I44" s="44">
        <f t="shared" ca="1" si="3"/>
        <v>141.90117733333332</v>
      </c>
      <c r="J44" s="44">
        <f t="shared" ca="1" si="3"/>
        <v>153.69574166666663</v>
      </c>
      <c r="K44" s="44">
        <f t="shared" ca="1" si="3"/>
        <v>73.265135999999998</v>
      </c>
      <c r="L44" s="44">
        <f t="shared" ca="1" si="3"/>
        <v>101.42478666666666</v>
      </c>
      <c r="M44" s="44">
        <f t="shared" ca="1" si="3"/>
        <v>121.33537333333332</v>
      </c>
      <c r="N44" s="44">
        <f t="shared" ca="1" si="3"/>
        <v>134.983045</v>
      </c>
      <c r="O44" s="44">
        <f t="shared" ca="1" si="3"/>
        <v>44.032499999999999</v>
      </c>
      <c r="P44" s="44">
        <f t="shared" ca="1" si="3"/>
        <v>98.014285000000001</v>
      </c>
      <c r="Q44" s="44">
        <f t="shared" ca="1" si="3"/>
        <v>143.46251999999998</v>
      </c>
      <c r="R44" s="44">
        <f t="shared" ca="1" si="3"/>
        <v>156.74265333333332</v>
      </c>
      <c r="S44" s="44">
        <f t="shared" ca="1" si="3"/>
        <v>56.783556666666662</v>
      </c>
      <c r="T44" s="44">
        <f t="shared" ca="1" si="3"/>
        <v>69.355197142857136</v>
      </c>
      <c r="U44" s="44">
        <f t="shared" ca="1" si="3"/>
        <v>109.97740727272726</v>
      </c>
      <c r="V44" s="44">
        <f t="shared" ca="1" si="3"/>
        <v>124.34549111111113</v>
      </c>
      <c r="W44" s="1"/>
    </row>
    <row r="45" spans="1:23" ht="15.75" customHeight="1" x14ac:dyDescent="0.25">
      <c r="A45" s="1"/>
      <c r="B45" s="10"/>
      <c r="C45" s="46">
        <v>74.1561375</v>
      </c>
      <c r="D45" s="47">
        <v>103.73129999999999</v>
      </c>
      <c r="E45" s="47">
        <v>130.19909555555557</v>
      </c>
      <c r="F45" s="48">
        <v>141.39118999999999</v>
      </c>
      <c r="G45" s="49">
        <v>79.912697142857141</v>
      </c>
      <c r="H45" s="50">
        <v>118.61644799999999</v>
      </c>
      <c r="I45" s="50">
        <v>146.53030142857142</v>
      </c>
      <c r="J45" s="51">
        <v>159.34099999999998</v>
      </c>
      <c r="K45" s="46">
        <v>73.265135999999998</v>
      </c>
      <c r="L45" s="47">
        <v>108.989656</v>
      </c>
      <c r="M45" s="47">
        <v>130.18375999999998</v>
      </c>
      <c r="N45" s="48">
        <v>149.44476</v>
      </c>
      <c r="O45" s="49">
        <v>44.032499999999999</v>
      </c>
      <c r="P45" s="50">
        <v>98.014285000000001</v>
      </c>
      <c r="Q45" s="50">
        <v>143.46251999999998</v>
      </c>
      <c r="R45" s="51">
        <v>156.74265333333332</v>
      </c>
      <c r="S45" s="46">
        <v>55.420180000000002</v>
      </c>
      <c r="T45" s="47">
        <v>68.958500000000001</v>
      </c>
      <c r="U45" s="47">
        <v>115.67334888888887</v>
      </c>
      <c r="V45" s="48">
        <v>128.43894</v>
      </c>
      <c r="W45" s="12"/>
    </row>
    <row r="46" spans="1:23" ht="15.75" customHeight="1" x14ac:dyDescent="0.25">
      <c r="A46" s="1"/>
      <c r="B46" s="10"/>
      <c r="C46" s="52" t="s">
        <v>78</v>
      </c>
      <c r="D46" s="53" t="s">
        <v>79</v>
      </c>
      <c r="E46" s="53" t="s">
        <v>80</v>
      </c>
      <c r="F46" s="54" t="s">
        <v>81</v>
      </c>
      <c r="G46" s="55" t="s">
        <v>82</v>
      </c>
      <c r="H46" s="56" t="s">
        <v>83</v>
      </c>
      <c r="I46" s="56" t="s">
        <v>84</v>
      </c>
      <c r="J46" s="57" t="s">
        <v>85</v>
      </c>
      <c r="K46" s="58" t="s">
        <v>86</v>
      </c>
      <c r="L46" s="53" t="s">
        <v>87</v>
      </c>
      <c r="M46" s="53" t="s">
        <v>88</v>
      </c>
      <c r="N46" s="54" t="s">
        <v>89</v>
      </c>
      <c r="O46" s="55" t="s">
        <v>90</v>
      </c>
      <c r="P46" s="56" t="s">
        <v>91</v>
      </c>
      <c r="Q46" s="56" t="s">
        <v>92</v>
      </c>
      <c r="R46" s="57" t="s">
        <v>93</v>
      </c>
      <c r="S46" s="58" t="s">
        <v>94</v>
      </c>
      <c r="T46" s="53" t="s">
        <v>95</v>
      </c>
      <c r="U46" s="53" t="s">
        <v>96</v>
      </c>
      <c r="V46" s="59" t="s">
        <v>97</v>
      </c>
      <c r="W46" s="12"/>
    </row>
    <row r="47" spans="1:23" ht="15.75" customHeight="1" x14ac:dyDescent="0.25"/>
    <row r="48" spans="1:2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W2:W41">
    <cfRule type="cellIs" dxfId="1" priority="1" operator="lessThan">
      <formula>1</formula>
    </cfRule>
  </conditionalFormatting>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66"/>
  </sheetPr>
  <dimension ref="A1:K1000"/>
  <sheetViews>
    <sheetView workbookViewId="0"/>
  </sheetViews>
  <sheetFormatPr defaultColWidth="14.42578125" defaultRowHeight="15" customHeight="1" x14ac:dyDescent="0.25"/>
  <cols>
    <col min="1" max="1" width="51.140625" customWidth="1"/>
    <col min="2" max="2" width="9.140625" customWidth="1"/>
    <col min="3" max="3" width="16.7109375" customWidth="1"/>
    <col min="4" max="6" width="15.7109375" customWidth="1"/>
    <col min="7" max="9" width="16.7109375" customWidth="1"/>
    <col min="10" max="10" width="15.7109375" customWidth="1"/>
    <col min="11" max="26" width="8.7109375" customWidth="1"/>
  </cols>
  <sheetData>
    <row r="1" spans="1:11" ht="18.75" x14ac:dyDescent="0.3">
      <c r="A1" s="60" t="s">
        <v>18</v>
      </c>
      <c r="B1" s="61"/>
      <c r="C1" s="1"/>
      <c r="D1" s="1"/>
      <c r="E1" s="1"/>
      <c r="F1" s="1"/>
      <c r="G1" s="212"/>
      <c r="H1" s="213"/>
      <c r="I1" s="214"/>
      <c r="J1" s="1"/>
    </row>
    <row r="2" spans="1:11" x14ac:dyDescent="0.25">
      <c r="A2" s="224" t="s">
        <v>21</v>
      </c>
      <c r="B2" s="62">
        <v>1</v>
      </c>
      <c r="C2" s="63" t="s">
        <v>139</v>
      </c>
      <c r="D2" s="22">
        <v>109</v>
      </c>
      <c r="E2" s="22"/>
      <c r="F2" s="22"/>
      <c r="G2" s="22"/>
      <c r="H2" s="22"/>
      <c r="I2" s="22"/>
      <c r="J2" s="22"/>
    </row>
    <row r="3" spans="1:11" x14ac:dyDescent="0.25">
      <c r="A3" s="217"/>
      <c r="B3" s="61">
        <v>2</v>
      </c>
      <c r="C3" s="64" t="s">
        <v>140</v>
      </c>
      <c r="D3" s="3">
        <v>146</v>
      </c>
      <c r="E3" s="3"/>
      <c r="F3" s="3"/>
      <c r="G3" s="3"/>
      <c r="H3" s="3"/>
      <c r="I3" s="3"/>
      <c r="J3" s="3"/>
    </row>
    <row r="4" spans="1:11" x14ac:dyDescent="0.25">
      <c r="A4" s="217"/>
      <c r="B4" s="62">
        <v>3</v>
      </c>
      <c r="C4" s="63" t="s">
        <v>141</v>
      </c>
      <c r="D4" s="22">
        <v>188</v>
      </c>
      <c r="E4" s="22"/>
      <c r="F4" s="22"/>
      <c r="G4" s="22"/>
      <c r="H4" s="22"/>
      <c r="I4" s="22"/>
      <c r="J4" s="22"/>
    </row>
    <row r="5" spans="1:11" x14ac:dyDescent="0.25">
      <c r="A5" s="217"/>
      <c r="B5" s="61">
        <v>4</v>
      </c>
      <c r="C5" s="61" t="s">
        <v>142</v>
      </c>
      <c r="D5" s="3">
        <v>257</v>
      </c>
      <c r="E5" s="3"/>
      <c r="F5" s="3"/>
      <c r="G5" s="3"/>
      <c r="H5" s="3"/>
      <c r="I5" s="3"/>
      <c r="J5" s="3"/>
    </row>
    <row r="6" spans="1:11" x14ac:dyDescent="0.25">
      <c r="A6" s="218"/>
      <c r="B6" s="61"/>
      <c r="C6" s="61"/>
      <c r="D6" s="1"/>
      <c r="E6" s="1"/>
      <c r="F6" s="1"/>
      <c r="G6" s="1"/>
      <c r="H6" s="1"/>
      <c r="I6" s="1"/>
      <c r="J6" s="1"/>
    </row>
    <row r="7" spans="1:11" ht="18.75" x14ac:dyDescent="0.3">
      <c r="A7" s="60" t="s">
        <v>32</v>
      </c>
      <c r="B7" s="61"/>
      <c r="C7" s="1"/>
      <c r="D7" s="1"/>
      <c r="E7" s="1"/>
      <c r="F7" s="1"/>
      <c r="G7" s="1"/>
      <c r="H7" s="1"/>
      <c r="I7" s="1"/>
      <c r="J7" s="1"/>
    </row>
    <row r="8" spans="1:11" x14ac:dyDescent="0.25">
      <c r="A8" s="216" t="s">
        <v>143</v>
      </c>
      <c r="B8" s="62">
        <v>1</v>
      </c>
      <c r="C8" s="62" t="s">
        <v>139</v>
      </c>
      <c r="D8" s="22">
        <v>111</v>
      </c>
      <c r="E8" s="45"/>
      <c r="F8" s="45"/>
      <c r="G8" s="45"/>
      <c r="H8" s="45"/>
      <c r="I8" s="45"/>
      <c r="J8" s="45"/>
    </row>
    <row r="9" spans="1:11" x14ac:dyDescent="0.25">
      <c r="A9" s="217"/>
      <c r="B9" s="61">
        <v>2</v>
      </c>
      <c r="C9" s="61" t="s">
        <v>140</v>
      </c>
      <c r="D9" s="3">
        <v>138</v>
      </c>
      <c r="E9" s="1"/>
      <c r="F9" s="1"/>
      <c r="G9" s="1"/>
      <c r="H9" s="1"/>
      <c r="I9" s="1"/>
      <c r="J9" s="1"/>
    </row>
    <row r="10" spans="1:11" x14ac:dyDescent="0.25">
      <c r="A10" s="217"/>
      <c r="B10" s="62">
        <v>3</v>
      </c>
      <c r="C10" s="62" t="s">
        <v>141</v>
      </c>
      <c r="D10" s="22">
        <v>177</v>
      </c>
      <c r="E10" s="45"/>
      <c r="F10" s="45"/>
      <c r="G10" s="45"/>
      <c r="H10" s="45"/>
      <c r="I10" s="45"/>
      <c r="J10" s="45"/>
    </row>
    <row r="11" spans="1:11" x14ac:dyDescent="0.25">
      <c r="A11" s="217"/>
      <c r="B11" s="61">
        <v>4</v>
      </c>
      <c r="C11" s="61" t="s">
        <v>142</v>
      </c>
      <c r="D11" s="3">
        <v>189</v>
      </c>
      <c r="E11" s="1"/>
      <c r="F11" s="1"/>
      <c r="G11" s="1"/>
      <c r="H11" s="1"/>
      <c r="I11" s="1"/>
      <c r="J11" s="1"/>
    </row>
    <row r="12" spans="1:11" x14ac:dyDescent="0.25">
      <c r="A12" s="218"/>
      <c r="B12" s="61"/>
      <c r="C12" s="1"/>
      <c r="D12" s="1"/>
      <c r="E12" s="1"/>
      <c r="F12" s="1"/>
      <c r="G12" s="1"/>
      <c r="H12" s="1"/>
      <c r="I12" s="1"/>
      <c r="J12" s="1"/>
    </row>
    <row r="13" spans="1:11" ht="18.75" x14ac:dyDescent="0.3">
      <c r="A13" s="60" t="s">
        <v>36</v>
      </c>
      <c r="B13" s="61"/>
      <c r="C13" s="1"/>
      <c r="D13" s="1" t="s">
        <v>144</v>
      </c>
      <c r="E13" s="1" t="s">
        <v>145</v>
      </c>
      <c r="F13" s="1" t="s">
        <v>146</v>
      </c>
      <c r="G13" s="65" t="s">
        <v>14</v>
      </c>
      <c r="H13" s="1"/>
      <c r="I13" s="1"/>
      <c r="J13" s="1"/>
    </row>
    <row r="14" spans="1:11" x14ac:dyDescent="0.25">
      <c r="A14" s="216" t="s">
        <v>37</v>
      </c>
      <c r="B14" s="62">
        <v>1</v>
      </c>
      <c r="C14" s="62" t="s">
        <v>139</v>
      </c>
      <c r="D14" s="22">
        <v>108</v>
      </c>
      <c r="E14" s="22">
        <v>111</v>
      </c>
      <c r="F14" s="22">
        <v>117</v>
      </c>
      <c r="G14" s="22">
        <f t="shared" ref="G14:G17" si="0">AVERAGE(D14:F14)</f>
        <v>112</v>
      </c>
      <c r="H14" s="45"/>
      <c r="I14" s="45"/>
      <c r="J14" s="45"/>
      <c r="K14" s="66"/>
    </row>
    <row r="15" spans="1:11" x14ac:dyDescent="0.25">
      <c r="A15" s="217"/>
      <c r="B15" s="61">
        <v>2</v>
      </c>
      <c r="C15" s="61" t="s">
        <v>140</v>
      </c>
      <c r="D15" s="3">
        <v>129</v>
      </c>
      <c r="E15" s="3">
        <v>117</v>
      </c>
      <c r="F15" s="3">
        <v>152</v>
      </c>
      <c r="G15" s="3">
        <f t="shared" si="0"/>
        <v>132.66666666666666</v>
      </c>
      <c r="H15" s="1"/>
      <c r="I15" s="1"/>
      <c r="J15" s="1"/>
      <c r="K15" s="66"/>
    </row>
    <row r="16" spans="1:11" x14ac:dyDescent="0.25">
      <c r="A16" s="217"/>
      <c r="B16" s="62">
        <v>3</v>
      </c>
      <c r="C16" s="62" t="s">
        <v>141</v>
      </c>
      <c r="D16" s="22">
        <v>108</v>
      </c>
      <c r="E16" s="22">
        <v>192</v>
      </c>
      <c r="F16" s="22">
        <v>132</v>
      </c>
      <c r="G16" s="3">
        <f t="shared" si="0"/>
        <v>144</v>
      </c>
      <c r="H16" s="45"/>
      <c r="I16" s="45"/>
      <c r="J16" s="45"/>
      <c r="K16" s="66"/>
    </row>
    <row r="17" spans="1:11" x14ac:dyDescent="0.25">
      <c r="A17" s="217"/>
      <c r="B17" s="61">
        <v>4</v>
      </c>
      <c r="C17" s="61" t="s">
        <v>142</v>
      </c>
      <c r="D17" s="3">
        <v>145</v>
      </c>
      <c r="E17" s="3">
        <v>217</v>
      </c>
      <c r="F17" s="3"/>
      <c r="G17" s="22">
        <f t="shared" si="0"/>
        <v>181</v>
      </c>
      <c r="H17" s="1"/>
      <c r="I17" s="1"/>
      <c r="J17" s="1"/>
      <c r="K17" s="66"/>
    </row>
    <row r="18" spans="1:11" x14ac:dyDescent="0.25">
      <c r="A18" s="218"/>
      <c r="B18" s="61"/>
      <c r="C18" s="1"/>
      <c r="D18" s="1"/>
      <c r="E18" s="1"/>
      <c r="F18" s="1"/>
      <c r="G18" s="1"/>
      <c r="H18" s="1"/>
      <c r="I18" s="1"/>
      <c r="J18" s="1"/>
    </row>
    <row r="19" spans="1:11" ht="18.75" x14ac:dyDescent="0.3">
      <c r="A19" s="60" t="s">
        <v>43</v>
      </c>
      <c r="B19" s="61"/>
      <c r="C19" s="1"/>
      <c r="D19" s="1" t="s">
        <v>147</v>
      </c>
      <c r="E19" s="1" t="s">
        <v>148</v>
      </c>
      <c r="F19" s="1" t="s">
        <v>149</v>
      </c>
      <c r="G19" s="1" t="s">
        <v>150</v>
      </c>
      <c r="H19" s="1" t="s">
        <v>151</v>
      </c>
      <c r="I19" s="1" t="s">
        <v>152</v>
      </c>
      <c r="J19" s="65" t="s">
        <v>14</v>
      </c>
    </row>
    <row r="20" spans="1:11" x14ac:dyDescent="0.25">
      <c r="A20" s="216" t="s">
        <v>44</v>
      </c>
      <c r="B20" s="62">
        <v>1</v>
      </c>
      <c r="C20" s="63" t="s">
        <v>139</v>
      </c>
      <c r="D20" s="22">
        <v>92</v>
      </c>
      <c r="E20" s="22">
        <v>89</v>
      </c>
      <c r="F20" s="22">
        <v>119</v>
      </c>
      <c r="G20" s="22">
        <v>85</v>
      </c>
      <c r="H20" s="22">
        <v>129</v>
      </c>
      <c r="I20" s="22">
        <v>75</v>
      </c>
      <c r="J20" s="22">
        <f t="shared" ref="J20:J23" si="1">AVERAGE(D20:I20)</f>
        <v>98.166666666666671</v>
      </c>
    </row>
    <row r="21" spans="1:11" ht="15.75" customHeight="1" x14ac:dyDescent="0.25">
      <c r="A21" s="217"/>
      <c r="B21" s="61">
        <v>2</v>
      </c>
      <c r="C21" s="64" t="s">
        <v>140</v>
      </c>
      <c r="D21" s="3">
        <v>97</v>
      </c>
      <c r="E21" s="3">
        <v>112</v>
      </c>
      <c r="F21" s="3">
        <v>171</v>
      </c>
      <c r="G21" s="3">
        <v>118</v>
      </c>
      <c r="H21" s="3">
        <v>164</v>
      </c>
      <c r="I21" s="3">
        <v>97</v>
      </c>
      <c r="J21" s="3">
        <f t="shared" si="1"/>
        <v>126.5</v>
      </c>
    </row>
    <row r="22" spans="1:11" ht="15.75" customHeight="1" x14ac:dyDescent="0.25">
      <c r="A22" s="217"/>
      <c r="B22" s="62">
        <v>3</v>
      </c>
      <c r="C22" s="63" t="s">
        <v>141</v>
      </c>
      <c r="D22" s="22">
        <v>137</v>
      </c>
      <c r="E22" s="22">
        <v>112</v>
      </c>
      <c r="F22" s="22">
        <v>193</v>
      </c>
      <c r="G22" s="22">
        <v>152</v>
      </c>
      <c r="H22" s="22">
        <v>201</v>
      </c>
      <c r="I22" s="22">
        <v>113</v>
      </c>
      <c r="J22" s="22">
        <f t="shared" si="1"/>
        <v>151.33333333333334</v>
      </c>
    </row>
    <row r="23" spans="1:11" ht="15.75" customHeight="1" x14ac:dyDescent="0.25">
      <c r="A23" s="217"/>
      <c r="B23" s="61">
        <v>4</v>
      </c>
      <c r="C23" s="61" t="s">
        <v>142</v>
      </c>
      <c r="D23" s="3"/>
      <c r="E23" s="3"/>
      <c r="F23" s="3"/>
      <c r="G23" s="3">
        <v>152</v>
      </c>
      <c r="H23" s="3">
        <v>216</v>
      </c>
      <c r="I23" s="3">
        <v>156</v>
      </c>
      <c r="J23" s="3">
        <f t="shared" si="1"/>
        <v>174.66666666666666</v>
      </c>
    </row>
    <row r="24" spans="1:11" ht="15.75" customHeight="1" x14ac:dyDescent="0.25">
      <c r="A24" s="218"/>
      <c r="B24" s="61"/>
      <c r="C24" s="1"/>
      <c r="D24" s="1"/>
      <c r="E24" s="1"/>
      <c r="F24" s="1"/>
      <c r="G24" s="1"/>
      <c r="H24" s="1"/>
      <c r="I24" s="1"/>
      <c r="J24" s="1"/>
    </row>
    <row r="25" spans="1:11" ht="15.75" customHeight="1" x14ac:dyDescent="0.3">
      <c r="A25" s="60" t="s">
        <v>47</v>
      </c>
      <c r="B25" s="61"/>
      <c r="C25" s="1"/>
      <c r="D25" s="1" t="s">
        <v>153</v>
      </c>
      <c r="E25" s="1" t="s">
        <v>154</v>
      </c>
      <c r="F25" s="1" t="s">
        <v>155</v>
      </c>
      <c r="G25" s="1" t="s">
        <v>156</v>
      </c>
      <c r="H25" s="1" t="s">
        <v>157</v>
      </c>
      <c r="I25" s="1" t="s">
        <v>158</v>
      </c>
      <c r="J25" s="1" t="s">
        <v>14</v>
      </c>
    </row>
    <row r="26" spans="1:11" ht="15.75" customHeight="1" x14ac:dyDescent="0.25">
      <c r="A26" s="216" t="s">
        <v>48</v>
      </c>
      <c r="B26" s="62">
        <v>1</v>
      </c>
      <c r="C26" s="63" t="s">
        <v>139</v>
      </c>
      <c r="D26" s="22">
        <v>90</v>
      </c>
      <c r="E26" s="22">
        <v>101</v>
      </c>
      <c r="F26" s="22">
        <v>84</v>
      </c>
      <c r="G26" s="22">
        <v>109</v>
      </c>
      <c r="H26" s="22"/>
      <c r="I26" s="22">
        <v>93</v>
      </c>
      <c r="J26" s="22">
        <f t="shared" ref="J26:J28" si="2">AVERAGE(D26:I26)</f>
        <v>95.4</v>
      </c>
    </row>
    <row r="27" spans="1:11" ht="15.75" customHeight="1" x14ac:dyDescent="0.25">
      <c r="A27" s="217"/>
      <c r="B27" s="61">
        <v>2</v>
      </c>
      <c r="C27" s="64" t="s">
        <v>140</v>
      </c>
      <c r="D27" s="3"/>
      <c r="E27" s="3"/>
      <c r="F27" s="3">
        <v>103</v>
      </c>
      <c r="G27" s="3">
        <v>126</v>
      </c>
      <c r="H27" s="3"/>
      <c r="I27" s="3">
        <v>104</v>
      </c>
      <c r="J27" s="3">
        <f t="shared" si="2"/>
        <v>111</v>
      </c>
    </row>
    <row r="28" spans="1:11" ht="15.75" customHeight="1" x14ac:dyDescent="0.25">
      <c r="A28" s="217"/>
      <c r="B28" s="62">
        <v>3</v>
      </c>
      <c r="C28" s="63" t="s">
        <v>141</v>
      </c>
      <c r="D28" s="22"/>
      <c r="E28" s="22"/>
      <c r="F28" s="22">
        <v>117</v>
      </c>
      <c r="G28" s="22">
        <v>146</v>
      </c>
      <c r="H28" s="22"/>
      <c r="I28" s="22"/>
      <c r="J28" s="22">
        <f t="shared" si="2"/>
        <v>131.5</v>
      </c>
    </row>
    <row r="29" spans="1:11" ht="15.75" customHeight="1" x14ac:dyDescent="0.25">
      <c r="A29" s="217"/>
      <c r="B29" s="61">
        <v>4</v>
      </c>
      <c r="C29" s="61" t="s">
        <v>142</v>
      </c>
      <c r="D29" s="3"/>
      <c r="E29" s="3"/>
      <c r="F29" s="3"/>
      <c r="G29" s="3"/>
      <c r="H29" s="3"/>
      <c r="I29" s="3"/>
      <c r="J29" s="3"/>
    </row>
    <row r="30" spans="1:11" ht="15.75" customHeight="1" x14ac:dyDescent="0.25">
      <c r="A30" s="218"/>
      <c r="B30" s="61"/>
      <c r="C30" s="1"/>
      <c r="D30" s="1"/>
      <c r="E30" s="1"/>
      <c r="F30" s="1"/>
      <c r="G30" s="1"/>
      <c r="H30" s="1"/>
      <c r="I30" s="1"/>
      <c r="J30" s="1"/>
    </row>
    <row r="31" spans="1:11" ht="15.75" customHeight="1" x14ac:dyDescent="0.25">
      <c r="A31" s="219" t="s">
        <v>75</v>
      </c>
      <c r="B31" s="220"/>
      <c r="C31" s="220"/>
      <c r="D31" s="220"/>
      <c r="E31" s="220"/>
      <c r="F31" s="220"/>
      <c r="G31" s="220"/>
      <c r="H31" s="220"/>
      <c r="I31" s="220"/>
      <c r="J31" s="221"/>
    </row>
    <row r="32" spans="1:11" ht="15.75" customHeight="1" x14ac:dyDescent="0.25">
      <c r="A32" s="222"/>
      <c r="B32" s="209"/>
      <c r="C32" s="209"/>
      <c r="D32" s="209"/>
      <c r="E32" s="209"/>
      <c r="F32" s="209"/>
      <c r="G32" s="209"/>
      <c r="H32" s="209"/>
      <c r="I32" s="209"/>
      <c r="J32" s="206"/>
    </row>
    <row r="33" spans="1:10" ht="15.75" customHeight="1" x14ac:dyDescent="0.25">
      <c r="A33" s="223"/>
      <c r="B33" s="211"/>
      <c r="C33" s="211"/>
      <c r="D33" s="211"/>
      <c r="E33" s="211"/>
      <c r="F33" s="211"/>
      <c r="G33" s="211"/>
      <c r="H33" s="211"/>
      <c r="I33" s="211"/>
      <c r="J33" s="207"/>
    </row>
    <row r="34" spans="1:10" ht="15.75" customHeight="1" x14ac:dyDescent="0.25">
      <c r="B34" s="11"/>
    </row>
    <row r="35" spans="1:10" ht="15.75" customHeight="1" x14ac:dyDescent="0.25">
      <c r="B35" s="11"/>
    </row>
    <row r="36" spans="1:10" ht="15.75" customHeight="1" x14ac:dyDescent="0.25">
      <c r="B36" s="11"/>
    </row>
    <row r="37" spans="1:10" ht="15.75" customHeight="1" x14ac:dyDescent="0.25">
      <c r="B37" s="11"/>
    </row>
    <row r="38" spans="1:10" ht="15.75" customHeight="1" x14ac:dyDescent="0.25">
      <c r="B38" s="11"/>
    </row>
    <row r="39" spans="1:10" ht="15.75" customHeight="1" x14ac:dyDescent="0.25">
      <c r="B39" s="11"/>
    </row>
    <row r="40" spans="1:10" ht="15.75" customHeight="1" x14ac:dyDescent="0.25">
      <c r="B40" s="11"/>
    </row>
    <row r="41" spans="1:10" ht="15.75" customHeight="1" x14ac:dyDescent="0.25">
      <c r="B41" s="11"/>
    </row>
    <row r="42" spans="1:10" ht="15.75" customHeight="1" x14ac:dyDescent="0.25">
      <c r="B42" s="11"/>
    </row>
    <row r="43" spans="1:10" ht="15.75" customHeight="1" x14ac:dyDescent="0.25">
      <c r="B43" s="11"/>
    </row>
    <row r="44" spans="1:10" ht="15.75" customHeight="1" x14ac:dyDescent="0.25">
      <c r="B44" s="11"/>
    </row>
    <row r="45" spans="1:10" ht="15.75" customHeight="1" x14ac:dyDescent="0.25">
      <c r="B45" s="11"/>
    </row>
    <row r="46" spans="1:10" ht="15.75" customHeight="1" x14ac:dyDescent="0.25">
      <c r="B46" s="11"/>
    </row>
    <row r="47" spans="1:10" ht="15.75" customHeight="1" x14ac:dyDescent="0.25">
      <c r="B47" s="11"/>
    </row>
    <row r="48" spans="1:10"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mergeCells count="7">
    <mergeCell ref="A26:A30"/>
    <mergeCell ref="A31:J33"/>
    <mergeCell ref="G1:I1"/>
    <mergeCell ref="A2:A6"/>
    <mergeCell ref="A8:A12"/>
    <mergeCell ref="A14:A18"/>
    <mergeCell ref="A20:A24"/>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66"/>
  </sheetPr>
  <dimension ref="A1:M1000"/>
  <sheetViews>
    <sheetView workbookViewId="0"/>
  </sheetViews>
  <sheetFormatPr defaultColWidth="14.42578125" defaultRowHeight="15" customHeight="1" x14ac:dyDescent="0.25"/>
  <cols>
    <col min="1" max="1" width="51.140625" customWidth="1"/>
    <col min="2" max="2" width="9.140625" customWidth="1"/>
    <col min="3" max="3" width="16.7109375" customWidth="1"/>
    <col min="4" max="6" width="15.7109375" customWidth="1"/>
    <col min="7" max="9" width="16.7109375" customWidth="1"/>
    <col min="10" max="10" width="15.7109375" customWidth="1"/>
    <col min="11" max="12" width="9.140625" customWidth="1"/>
    <col min="13" max="26" width="8.7109375" customWidth="1"/>
  </cols>
  <sheetData>
    <row r="1" spans="1:12" ht="18.75" x14ac:dyDescent="0.3">
      <c r="A1" s="60" t="s">
        <v>18</v>
      </c>
      <c r="B1" s="61"/>
      <c r="C1" s="1"/>
      <c r="D1" s="1" t="s">
        <v>159</v>
      </c>
      <c r="E1" s="1" t="s">
        <v>160</v>
      </c>
      <c r="F1" s="1" t="s">
        <v>161</v>
      </c>
      <c r="G1" s="212" t="s">
        <v>162</v>
      </c>
      <c r="H1" s="213"/>
      <c r="I1" s="214"/>
      <c r="J1" s="10" t="s">
        <v>14</v>
      </c>
      <c r="K1" s="3" t="s">
        <v>163</v>
      </c>
      <c r="L1" s="67" t="s">
        <v>164</v>
      </c>
    </row>
    <row r="2" spans="1:12" x14ac:dyDescent="0.25">
      <c r="A2" s="224" t="s">
        <v>21</v>
      </c>
      <c r="B2" s="62">
        <v>1</v>
      </c>
      <c r="C2" s="63" t="s">
        <v>139</v>
      </c>
      <c r="D2" s="22">
        <v>148.34</v>
      </c>
      <c r="E2" s="22">
        <v>174.99</v>
      </c>
      <c r="F2" s="22">
        <v>155.76</v>
      </c>
      <c r="G2" s="22">
        <v>151.54</v>
      </c>
      <c r="H2" s="22">
        <v>147.62</v>
      </c>
      <c r="I2" s="22"/>
      <c r="J2" s="68">
        <f t="shared" ref="J2:J5" si="0">AVERAGE(D2:H2)</f>
        <v>155.65</v>
      </c>
      <c r="K2" s="22">
        <f t="shared" ref="K2:K5" si="1">_xlfn.STDEV.S(D2:H2)</f>
        <v>11.27892725395461</v>
      </c>
      <c r="L2" s="69">
        <f t="shared" ref="L2:L5" si="2">K2/J2</f>
        <v>7.2463393857723157E-2</v>
      </c>
    </row>
    <row r="3" spans="1:12" x14ac:dyDescent="0.25">
      <c r="A3" s="217"/>
      <c r="B3" s="61">
        <v>2</v>
      </c>
      <c r="C3" s="64" t="s">
        <v>140</v>
      </c>
      <c r="D3" s="3">
        <v>210.63</v>
      </c>
      <c r="E3" s="3">
        <v>213.93</v>
      </c>
      <c r="F3" s="3">
        <v>188.06</v>
      </c>
      <c r="G3" s="3">
        <v>215.56</v>
      </c>
      <c r="H3" s="3">
        <v>195.73</v>
      </c>
      <c r="I3" s="3"/>
      <c r="J3" s="7">
        <f t="shared" si="0"/>
        <v>204.78200000000001</v>
      </c>
      <c r="K3" s="3">
        <f t="shared" si="1"/>
        <v>12.202605049742456</v>
      </c>
      <c r="L3" s="70">
        <f t="shared" si="2"/>
        <v>5.9588269719713913E-2</v>
      </c>
    </row>
    <row r="4" spans="1:12" x14ac:dyDescent="0.25">
      <c r="A4" s="217"/>
      <c r="B4" s="62">
        <v>3</v>
      </c>
      <c r="C4" s="63" t="s">
        <v>141</v>
      </c>
      <c r="D4" s="22">
        <v>220.54</v>
      </c>
      <c r="E4" s="22">
        <v>225</v>
      </c>
      <c r="F4" s="22">
        <v>220.51</v>
      </c>
      <c r="G4" s="22">
        <v>232.55</v>
      </c>
      <c r="H4" s="22">
        <v>212.81</v>
      </c>
      <c r="I4" s="22"/>
      <c r="J4" s="68">
        <f t="shared" si="0"/>
        <v>222.28199999999998</v>
      </c>
      <c r="K4" s="22">
        <f t="shared" si="1"/>
        <v>7.2234458536075472</v>
      </c>
      <c r="L4" s="69">
        <f t="shared" si="2"/>
        <v>3.2496764711526564E-2</v>
      </c>
    </row>
    <row r="5" spans="1:12" x14ac:dyDescent="0.25">
      <c r="A5" s="217"/>
      <c r="B5" s="61">
        <v>4</v>
      </c>
      <c r="C5" s="61" t="s">
        <v>142</v>
      </c>
      <c r="D5" s="3">
        <v>279.60000000000002</v>
      </c>
      <c r="E5" s="3">
        <v>284.97000000000003</v>
      </c>
      <c r="F5" s="3">
        <v>272.61</v>
      </c>
      <c r="G5" s="3">
        <v>294.68</v>
      </c>
      <c r="H5" s="3">
        <v>261.10000000000002</v>
      </c>
      <c r="I5" s="3"/>
      <c r="J5" s="7">
        <f t="shared" si="0"/>
        <v>278.59199999999998</v>
      </c>
      <c r="K5" s="3">
        <f t="shared" si="1"/>
        <v>12.671553574838404</v>
      </c>
      <c r="L5" s="70">
        <f t="shared" si="2"/>
        <v>4.5484269379014487E-2</v>
      </c>
    </row>
    <row r="6" spans="1:12" x14ac:dyDescent="0.25">
      <c r="A6" s="218"/>
      <c r="B6" s="61"/>
      <c r="C6" s="61"/>
      <c r="D6" s="1"/>
      <c r="E6" s="1"/>
      <c r="F6" s="1"/>
      <c r="G6" s="1"/>
      <c r="H6" s="1"/>
      <c r="I6" s="1"/>
      <c r="J6" s="10"/>
      <c r="K6" s="3"/>
      <c r="L6" s="70"/>
    </row>
    <row r="7" spans="1:12" ht="18.75" x14ac:dyDescent="0.3">
      <c r="A7" s="60" t="s">
        <v>32</v>
      </c>
      <c r="B7" s="61"/>
      <c r="C7" s="1"/>
      <c r="D7" s="1" t="s">
        <v>165</v>
      </c>
      <c r="E7" s="1" t="s">
        <v>166</v>
      </c>
      <c r="F7" s="1" t="s">
        <v>167</v>
      </c>
      <c r="G7" s="1" t="s">
        <v>168</v>
      </c>
      <c r="H7" s="1" t="s">
        <v>169</v>
      </c>
      <c r="I7" s="1"/>
      <c r="J7" s="10"/>
      <c r="K7" s="3"/>
      <c r="L7" s="70"/>
    </row>
    <row r="8" spans="1:12" x14ac:dyDescent="0.25">
      <c r="A8" s="216" t="s">
        <v>143</v>
      </c>
      <c r="B8" s="62">
        <v>1</v>
      </c>
      <c r="C8" s="62" t="s">
        <v>139</v>
      </c>
      <c r="D8" s="22">
        <v>140.86000000000001</v>
      </c>
      <c r="E8" s="22">
        <v>146.91</v>
      </c>
      <c r="F8" s="22">
        <v>188.98</v>
      </c>
      <c r="G8" s="22">
        <v>133.22</v>
      </c>
      <c r="H8" s="22">
        <v>144.9</v>
      </c>
      <c r="I8" s="22"/>
      <c r="J8" s="68">
        <f t="shared" ref="J8:J11" si="3">AVERAGE(D8:H8)</f>
        <v>150.97399999999999</v>
      </c>
      <c r="K8" s="22">
        <f t="shared" ref="K8:K11" si="4">_xlfn.STDEV.S(D8:H8)</f>
        <v>21.882430852169936</v>
      </c>
      <c r="L8" s="69">
        <f t="shared" ref="L8:L11" si="5">K8/J8</f>
        <v>0.14494171746241033</v>
      </c>
    </row>
    <row r="9" spans="1:12" x14ac:dyDescent="0.25">
      <c r="A9" s="217"/>
      <c r="B9" s="61">
        <v>2</v>
      </c>
      <c r="C9" s="61" t="s">
        <v>140</v>
      </c>
      <c r="D9" s="3">
        <v>186.85</v>
      </c>
      <c r="E9" s="3">
        <v>169.24</v>
      </c>
      <c r="F9" s="3">
        <v>218.24</v>
      </c>
      <c r="G9" s="3">
        <v>167.21</v>
      </c>
      <c r="H9" s="3">
        <v>195.73</v>
      </c>
      <c r="I9" s="3"/>
      <c r="J9" s="7">
        <f t="shared" si="3"/>
        <v>187.45400000000001</v>
      </c>
      <c r="K9" s="3">
        <f t="shared" si="4"/>
        <v>20.965472329523127</v>
      </c>
      <c r="L9" s="70">
        <f t="shared" si="5"/>
        <v>0.11184329131159178</v>
      </c>
    </row>
    <row r="10" spans="1:12" x14ac:dyDescent="0.25">
      <c r="A10" s="217"/>
      <c r="B10" s="62">
        <v>3</v>
      </c>
      <c r="C10" s="62" t="s">
        <v>141</v>
      </c>
      <c r="D10" s="22">
        <v>225.14</v>
      </c>
      <c r="E10" s="22">
        <v>196.85</v>
      </c>
      <c r="F10" s="22">
        <v>250.1</v>
      </c>
      <c r="G10" s="22">
        <v>227.15</v>
      </c>
      <c r="H10" s="22">
        <v>223.96</v>
      </c>
      <c r="I10" s="22"/>
      <c r="J10" s="68">
        <f t="shared" si="3"/>
        <v>224.64000000000001</v>
      </c>
      <c r="K10" s="22">
        <f t="shared" si="4"/>
        <v>18.891189745487182</v>
      </c>
      <c r="L10" s="69">
        <f t="shared" si="5"/>
        <v>8.4095395946791218E-2</v>
      </c>
    </row>
    <row r="11" spans="1:12" x14ac:dyDescent="0.25">
      <c r="A11" s="217"/>
      <c r="B11" s="61">
        <v>4</v>
      </c>
      <c r="C11" s="61" t="s">
        <v>142</v>
      </c>
      <c r="D11" s="3">
        <v>280.43</v>
      </c>
      <c r="E11" s="3">
        <v>237.74</v>
      </c>
      <c r="F11" s="3">
        <v>305.74</v>
      </c>
      <c r="G11" s="3">
        <v>283.08</v>
      </c>
      <c r="H11" s="3">
        <v>287.54000000000002</v>
      </c>
      <c r="I11" s="3"/>
      <c r="J11" s="7">
        <f t="shared" si="3"/>
        <v>278.90600000000001</v>
      </c>
      <c r="K11" s="3">
        <f t="shared" si="4"/>
        <v>25.044929227290702</v>
      </c>
      <c r="L11" s="70">
        <f t="shared" si="5"/>
        <v>8.9797025618992429E-2</v>
      </c>
    </row>
    <row r="12" spans="1:12" x14ac:dyDescent="0.25">
      <c r="A12" s="218"/>
      <c r="B12" s="61"/>
      <c r="C12" s="1"/>
      <c r="D12" s="1"/>
      <c r="E12" s="1"/>
      <c r="F12" s="1"/>
      <c r="G12" s="1"/>
      <c r="H12" s="1"/>
      <c r="I12" s="1"/>
      <c r="J12" s="10"/>
      <c r="K12" s="3"/>
      <c r="L12" s="70"/>
    </row>
    <row r="13" spans="1:12" ht="18.75" x14ac:dyDescent="0.3">
      <c r="A13" s="60" t="s">
        <v>36</v>
      </c>
      <c r="B13" s="61"/>
      <c r="C13" s="1"/>
      <c r="D13" s="1" t="s">
        <v>144</v>
      </c>
      <c r="E13" s="1" t="s">
        <v>145</v>
      </c>
      <c r="F13" s="1" t="s">
        <v>146</v>
      </c>
      <c r="G13" s="65"/>
      <c r="H13" s="1"/>
      <c r="I13" s="1"/>
      <c r="J13" s="10"/>
      <c r="K13" s="3"/>
      <c r="L13" s="70"/>
    </row>
    <row r="14" spans="1:12" x14ac:dyDescent="0.25">
      <c r="A14" s="216" t="s">
        <v>37</v>
      </c>
      <c r="B14" s="62">
        <v>1</v>
      </c>
      <c r="C14" s="62" t="s">
        <v>139</v>
      </c>
      <c r="D14" s="22">
        <v>138.56</v>
      </c>
      <c r="E14" s="22">
        <v>137.65</v>
      </c>
      <c r="F14" s="22">
        <v>134.66999999999999</v>
      </c>
      <c r="G14" s="22"/>
      <c r="H14" s="22"/>
      <c r="I14" s="22"/>
      <c r="J14" s="68">
        <f t="shared" ref="J14:J17" si="6">AVERAGE(D14:H14)</f>
        <v>136.96</v>
      </c>
      <c r="K14" s="22">
        <f t="shared" ref="K14:K17" si="7">_xlfn.STDEV.S(D14:H14)</f>
        <v>2.0347235684485585</v>
      </c>
      <c r="L14" s="69">
        <f t="shared" ref="L14:L17" si="8">K14/J14</f>
        <v>1.4856334465891928E-2</v>
      </c>
    </row>
    <row r="15" spans="1:12" x14ac:dyDescent="0.25">
      <c r="A15" s="217"/>
      <c r="B15" s="61">
        <v>2</v>
      </c>
      <c r="C15" s="61" t="s">
        <v>140</v>
      </c>
      <c r="D15" s="3">
        <v>167.35</v>
      </c>
      <c r="E15" s="3">
        <v>180.95</v>
      </c>
      <c r="F15" s="3">
        <v>156.08000000000001</v>
      </c>
      <c r="G15" s="3"/>
      <c r="H15" s="3"/>
      <c r="I15" s="3"/>
      <c r="J15" s="7">
        <f t="shared" si="6"/>
        <v>168.12666666666667</v>
      </c>
      <c r="K15" s="3">
        <f t="shared" si="7"/>
        <v>12.453177639997474</v>
      </c>
      <c r="L15" s="70">
        <f t="shared" si="8"/>
        <v>7.4070210793434357E-2</v>
      </c>
    </row>
    <row r="16" spans="1:12" x14ac:dyDescent="0.25">
      <c r="A16" s="217"/>
      <c r="B16" s="62">
        <v>3</v>
      </c>
      <c r="C16" s="62" t="s">
        <v>141</v>
      </c>
      <c r="D16" s="22">
        <v>211.69</v>
      </c>
      <c r="E16" s="22">
        <v>220.51</v>
      </c>
      <c r="F16" s="22">
        <v>179.04</v>
      </c>
      <c r="G16" s="3"/>
      <c r="H16" s="22"/>
      <c r="I16" s="22"/>
      <c r="J16" s="68">
        <f t="shared" si="6"/>
        <v>203.74666666666667</v>
      </c>
      <c r="K16" s="22">
        <f t="shared" si="7"/>
        <v>21.846341417576841</v>
      </c>
      <c r="L16" s="69">
        <f t="shared" si="8"/>
        <v>0.10722306173144841</v>
      </c>
    </row>
    <row r="17" spans="1:13" x14ac:dyDescent="0.25">
      <c r="A17" s="217"/>
      <c r="B17" s="61">
        <v>4</v>
      </c>
      <c r="C17" s="61" t="s">
        <v>142</v>
      </c>
      <c r="D17" s="3">
        <v>242.84</v>
      </c>
      <c r="E17" s="3">
        <v>280.22000000000003</v>
      </c>
      <c r="F17" s="3">
        <v>214.97</v>
      </c>
      <c r="G17" s="22"/>
      <c r="H17" s="3"/>
      <c r="I17" s="3"/>
      <c r="J17" s="7">
        <f t="shared" si="6"/>
        <v>246.01000000000002</v>
      </c>
      <c r="K17" s="3">
        <f t="shared" si="7"/>
        <v>32.740300853840381</v>
      </c>
      <c r="L17" s="70">
        <f t="shared" si="8"/>
        <v>0.13308524390813536</v>
      </c>
    </row>
    <row r="18" spans="1:13" x14ac:dyDescent="0.25">
      <c r="A18" s="218"/>
      <c r="B18" s="61"/>
      <c r="C18" s="1"/>
      <c r="D18" s="1"/>
      <c r="E18" s="1"/>
      <c r="F18" s="1"/>
      <c r="G18" s="1"/>
      <c r="H18" s="1"/>
      <c r="I18" s="1"/>
      <c r="J18" s="10"/>
      <c r="K18" s="3"/>
      <c r="L18" s="70"/>
    </row>
    <row r="19" spans="1:13" ht="18.75" x14ac:dyDescent="0.3">
      <c r="A19" s="60" t="s">
        <v>43</v>
      </c>
      <c r="B19" s="61"/>
      <c r="C19" s="1"/>
      <c r="D19" s="1" t="s">
        <v>147</v>
      </c>
      <c r="E19" s="1" t="s">
        <v>148</v>
      </c>
      <c r="F19" s="1" t="s">
        <v>170</v>
      </c>
      <c r="G19" s="1" t="s">
        <v>171</v>
      </c>
      <c r="H19" s="1" t="s">
        <v>151</v>
      </c>
      <c r="I19" s="1" t="s">
        <v>152</v>
      </c>
      <c r="K19" s="3"/>
      <c r="L19" s="70"/>
    </row>
    <row r="20" spans="1:13" x14ac:dyDescent="0.25">
      <c r="A20" s="216" t="s">
        <v>44</v>
      </c>
      <c r="B20" s="62">
        <v>1</v>
      </c>
      <c r="C20" s="63" t="s">
        <v>139</v>
      </c>
      <c r="D20" s="22">
        <v>126.26</v>
      </c>
      <c r="E20" s="22">
        <v>40.83</v>
      </c>
      <c r="F20" s="22">
        <v>187.24</v>
      </c>
      <c r="G20" s="22">
        <v>130.51</v>
      </c>
      <c r="H20" s="22">
        <v>179.04</v>
      </c>
      <c r="I20" s="22">
        <v>77.319999999999993</v>
      </c>
      <c r="J20" s="68">
        <f t="shared" ref="J20:J23" si="9">AVERAGE(D20:I20)</f>
        <v>123.53333333333335</v>
      </c>
      <c r="K20" s="22">
        <f t="shared" ref="K20:K23" si="10">_xlfn.STDEV.S(D20:I20)</f>
        <v>56.870293710043953</v>
      </c>
      <c r="L20" s="69">
        <f t="shared" ref="L20:L23" si="11">K20/J20</f>
        <v>0.46036395340024783</v>
      </c>
    </row>
    <row r="21" spans="1:13" ht="15.75" customHeight="1" x14ac:dyDescent="0.25">
      <c r="A21" s="217"/>
      <c r="B21" s="61">
        <v>2</v>
      </c>
      <c r="C21" s="64" t="s">
        <v>140</v>
      </c>
      <c r="D21" s="3">
        <v>146.32</v>
      </c>
      <c r="E21" s="3">
        <v>62.69</v>
      </c>
      <c r="F21" s="3">
        <v>220.54</v>
      </c>
      <c r="G21" s="3">
        <v>162.31</v>
      </c>
      <c r="H21" s="3">
        <v>204.76</v>
      </c>
      <c r="I21" s="3">
        <v>104.55</v>
      </c>
      <c r="J21" s="7">
        <f t="shared" si="9"/>
        <v>150.19499999999996</v>
      </c>
      <c r="K21" s="3">
        <f t="shared" si="10"/>
        <v>59.712876584535842</v>
      </c>
      <c r="L21" s="70">
        <f t="shared" si="11"/>
        <v>0.3975690041914568</v>
      </c>
    </row>
    <row r="22" spans="1:13" ht="15.75" customHeight="1" x14ac:dyDescent="0.25">
      <c r="A22" s="217"/>
      <c r="B22" s="62">
        <v>3</v>
      </c>
      <c r="C22" s="63" t="s">
        <v>141</v>
      </c>
      <c r="D22" s="22">
        <v>164.17</v>
      </c>
      <c r="E22" s="22">
        <v>95.31</v>
      </c>
      <c r="F22" s="22">
        <v>281.37</v>
      </c>
      <c r="G22" s="22">
        <v>206.77</v>
      </c>
      <c r="H22" s="22">
        <v>220.54</v>
      </c>
      <c r="I22" s="22">
        <v>131.78</v>
      </c>
      <c r="J22" s="68">
        <f t="shared" si="9"/>
        <v>183.32333333333335</v>
      </c>
      <c r="K22" s="22">
        <f t="shared" si="10"/>
        <v>66.810010527365321</v>
      </c>
      <c r="L22" s="69">
        <f t="shared" si="11"/>
        <v>0.36443811768295714</v>
      </c>
      <c r="M22" s="8"/>
    </row>
    <row r="23" spans="1:13" ht="15.75" customHeight="1" x14ac:dyDescent="0.25">
      <c r="A23" s="217"/>
      <c r="B23" s="61">
        <v>4</v>
      </c>
      <c r="C23" s="61" t="s">
        <v>142</v>
      </c>
      <c r="D23" s="3">
        <v>197.89</v>
      </c>
      <c r="E23" s="3">
        <v>132.01</v>
      </c>
      <c r="F23" s="3">
        <v>344.88</v>
      </c>
      <c r="G23" s="3">
        <v>258.20999999999998</v>
      </c>
      <c r="H23" s="3">
        <v>257.51</v>
      </c>
      <c r="I23" s="3">
        <v>159.54</v>
      </c>
      <c r="J23" s="7">
        <f t="shared" si="9"/>
        <v>225.00666666666666</v>
      </c>
      <c r="K23" s="3">
        <f t="shared" si="10"/>
        <v>77.715020598766301</v>
      </c>
      <c r="L23" s="70">
        <f t="shared" si="11"/>
        <v>0.34538985777650871</v>
      </c>
    </row>
    <row r="24" spans="1:13" ht="15.75" customHeight="1" x14ac:dyDescent="0.25">
      <c r="A24" s="218"/>
      <c r="B24" s="61"/>
      <c r="C24" s="1"/>
      <c r="D24" s="1"/>
      <c r="E24" s="1"/>
      <c r="F24" s="1"/>
      <c r="G24" s="1"/>
      <c r="H24" s="1"/>
      <c r="I24" s="1"/>
      <c r="J24" s="10"/>
      <c r="K24" s="3"/>
      <c r="L24" s="70"/>
    </row>
    <row r="25" spans="1:13" ht="15.75" customHeight="1" x14ac:dyDescent="0.3">
      <c r="A25" s="60" t="s">
        <v>47</v>
      </c>
      <c r="B25" s="61"/>
      <c r="C25" s="1"/>
      <c r="D25" s="1" t="s">
        <v>172</v>
      </c>
      <c r="E25" s="1" t="s">
        <v>173</v>
      </c>
      <c r="F25" s="1" t="s">
        <v>174</v>
      </c>
      <c r="G25" s="1" t="s">
        <v>175</v>
      </c>
      <c r="H25" s="1" t="s">
        <v>157</v>
      </c>
      <c r="I25" s="1" t="s">
        <v>158</v>
      </c>
      <c r="J25" s="10"/>
      <c r="K25" s="3"/>
      <c r="L25" s="70"/>
    </row>
    <row r="26" spans="1:13" ht="15.75" customHeight="1" x14ac:dyDescent="0.25">
      <c r="A26" s="216" t="s">
        <v>48</v>
      </c>
      <c r="B26" s="62">
        <v>1</v>
      </c>
      <c r="C26" s="63" t="s">
        <v>139</v>
      </c>
      <c r="D26" s="22">
        <v>52.42</v>
      </c>
      <c r="E26" s="22">
        <v>109.74</v>
      </c>
      <c r="F26" s="22">
        <v>32.950000000000003</v>
      </c>
      <c r="G26" s="22">
        <v>116.29</v>
      </c>
      <c r="H26" s="22"/>
      <c r="I26" s="22">
        <v>85.17</v>
      </c>
      <c r="J26" s="68">
        <f t="shared" ref="J26:J29" si="12">AVERAGE(D26:I26)</f>
        <v>79.314000000000007</v>
      </c>
      <c r="K26" s="22">
        <f t="shared" ref="K26:K29" si="13">_xlfn.STDEV.S(D26:I26)</f>
        <v>36.056090054247392</v>
      </c>
      <c r="L26" s="69">
        <f t="shared" ref="L26:L29" si="14">K26/J26</f>
        <v>0.45459931480252402</v>
      </c>
    </row>
    <row r="27" spans="1:13" ht="15.75" customHeight="1" x14ac:dyDescent="0.25">
      <c r="A27" s="217"/>
      <c r="B27" s="61">
        <v>2</v>
      </c>
      <c r="C27" s="64" t="s">
        <v>140</v>
      </c>
      <c r="D27" s="3">
        <v>66.08</v>
      </c>
      <c r="E27" s="3">
        <v>138.88999999999999</v>
      </c>
      <c r="F27" s="3">
        <v>48.62</v>
      </c>
      <c r="G27" s="3">
        <v>150.80000000000001</v>
      </c>
      <c r="H27" s="3"/>
      <c r="I27" s="3">
        <v>110.51</v>
      </c>
      <c r="J27" s="7">
        <f t="shared" si="12"/>
        <v>102.97999999999999</v>
      </c>
      <c r="K27" s="3">
        <f t="shared" si="13"/>
        <v>44.580267495832757</v>
      </c>
      <c r="L27" s="70">
        <f t="shared" si="14"/>
        <v>0.43290218970511518</v>
      </c>
    </row>
    <row r="28" spans="1:13" ht="15.75" customHeight="1" x14ac:dyDescent="0.25">
      <c r="A28" s="217"/>
      <c r="B28" s="62">
        <v>3</v>
      </c>
      <c r="C28" s="63" t="s">
        <v>141</v>
      </c>
      <c r="D28" s="22">
        <v>81.77</v>
      </c>
      <c r="E28" s="22">
        <v>174.34</v>
      </c>
      <c r="F28" s="22">
        <v>72.599999999999994</v>
      </c>
      <c r="G28" s="22">
        <v>185.47</v>
      </c>
      <c r="H28" s="22"/>
      <c r="I28" s="22">
        <v>138.47</v>
      </c>
      <c r="J28" s="68">
        <f t="shared" si="12"/>
        <v>130.53000000000003</v>
      </c>
      <c r="K28" s="22">
        <f t="shared" si="13"/>
        <v>51.802957927129903</v>
      </c>
      <c r="L28" s="69">
        <f t="shared" si="14"/>
        <v>0.39686629837684739</v>
      </c>
    </row>
    <row r="29" spans="1:13" ht="15.75" customHeight="1" x14ac:dyDescent="0.25">
      <c r="A29" s="217"/>
      <c r="B29" s="61">
        <v>4</v>
      </c>
      <c r="C29" s="61" t="s">
        <v>142</v>
      </c>
      <c r="D29" s="3">
        <v>98.29</v>
      </c>
      <c r="E29" s="3">
        <v>215.38</v>
      </c>
      <c r="F29" s="3">
        <v>101.45</v>
      </c>
      <c r="G29" s="3">
        <v>210.28</v>
      </c>
      <c r="H29" s="3"/>
      <c r="I29" s="3">
        <v>165.38</v>
      </c>
      <c r="J29" s="7">
        <f t="shared" si="12"/>
        <v>158.15600000000001</v>
      </c>
      <c r="K29" s="3">
        <f t="shared" si="13"/>
        <v>56.66390411893623</v>
      </c>
      <c r="L29" s="70">
        <f t="shared" si="14"/>
        <v>0.35827856116072881</v>
      </c>
    </row>
    <row r="30" spans="1:13" ht="15.75" customHeight="1" x14ac:dyDescent="0.25">
      <c r="A30" s="218"/>
      <c r="B30" s="61"/>
      <c r="C30" s="1"/>
      <c r="D30" s="1"/>
      <c r="E30" s="1"/>
      <c r="F30" s="1"/>
      <c r="G30" s="1"/>
      <c r="H30" s="1"/>
      <c r="I30" s="1"/>
      <c r="J30" s="10"/>
      <c r="K30" s="3"/>
      <c r="L30" s="70"/>
    </row>
    <row r="31" spans="1:13" ht="15.75" customHeight="1" x14ac:dyDescent="0.25">
      <c r="B31" s="11"/>
      <c r="K31" s="9"/>
      <c r="L31" s="71"/>
    </row>
    <row r="32" spans="1:13" ht="15.75" customHeight="1" x14ac:dyDescent="0.25">
      <c r="B32" s="11"/>
      <c r="K32" s="9"/>
      <c r="L32" s="71"/>
    </row>
    <row r="33" spans="2:12" ht="15.75" customHeight="1" x14ac:dyDescent="0.25">
      <c r="B33" s="11"/>
      <c r="K33" s="9"/>
      <c r="L33" s="71"/>
    </row>
    <row r="34" spans="2:12" ht="15.75" customHeight="1" x14ac:dyDescent="0.25">
      <c r="B34" s="11"/>
      <c r="K34" s="9"/>
      <c r="L34" s="71"/>
    </row>
    <row r="35" spans="2:12" ht="15.75" customHeight="1" x14ac:dyDescent="0.25">
      <c r="B35" s="11"/>
      <c r="K35" s="9"/>
      <c r="L35" s="71"/>
    </row>
    <row r="36" spans="2:12" ht="15.75" customHeight="1" x14ac:dyDescent="0.25">
      <c r="B36" s="11"/>
      <c r="K36" s="9"/>
      <c r="L36" s="71"/>
    </row>
    <row r="37" spans="2:12" ht="15.75" customHeight="1" x14ac:dyDescent="0.25">
      <c r="B37" s="11"/>
      <c r="K37" s="9"/>
      <c r="L37" s="71"/>
    </row>
    <row r="38" spans="2:12" ht="15.75" customHeight="1" x14ac:dyDescent="0.25">
      <c r="B38" s="11"/>
      <c r="K38" s="9"/>
      <c r="L38" s="71"/>
    </row>
    <row r="39" spans="2:12" ht="15.75" customHeight="1" x14ac:dyDescent="0.25">
      <c r="B39" s="11"/>
      <c r="K39" s="9"/>
      <c r="L39" s="71"/>
    </row>
    <row r="40" spans="2:12" ht="15.75" customHeight="1" x14ac:dyDescent="0.25">
      <c r="B40" s="11"/>
      <c r="K40" s="9"/>
      <c r="L40" s="71"/>
    </row>
    <row r="41" spans="2:12" ht="15.75" customHeight="1" x14ac:dyDescent="0.25">
      <c r="B41" s="11"/>
      <c r="K41" s="9"/>
      <c r="L41" s="71"/>
    </row>
    <row r="42" spans="2:12" ht="15.75" customHeight="1" x14ac:dyDescent="0.25">
      <c r="B42" s="11"/>
      <c r="K42" s="9"/>
      <c r="L42" s="71"/>
    </row>
    <row r="43" spans="2:12" ht="15.75" customHeight="1" x14ac:dyDescent="0.25">
      <c r="B43" s="11"/>
      <c r="K43" s="9"/>
      <c r="L43" s="71"/>
    </row>
    <row r="44" spans="2:12" ht="15.75" customHeight="1" x14ac:dyDescent="0.25">
      <c r="B44" s="11"/>
      <c r="K44" s="9"/>
      <c r="L44" s="71"/>
    </row>
    <row r="45" spans="2:12" ht="15.75" customHeight="1" x14ac:dyDescent="0.25">
      <c r="B45" s="11"/>
      <c r="K45" s="9"/>
      <c r="L45" s="71"/>
    </row>
    <row r="46" spans="2:12" ht="15.75" customHeight="1" x14ac:dyDescent="0.25">
      <c r="B46" s="11"/>
      <c r="K46" s="9"/>
      <c r="L46" s="71"/>
    </row>
    <row r="47" spans="2:12" ht="15.75" customHeight="1" x14ac:dyDescent="0.25">
      <c r="B47" s="11"/>
      <c r="K47" s="9"/>
      <c r="L47" s="71"/>
    </row>
    <row r="48" spans="2:12" ht="15.75" customHeight="1" x14ac:dyDescent="0.25">
      <c r="B48" s="11"/>
      <c r="K48" s="9"/>
      <c r="L48" s="71"/>
    </row>
    <row r="49" spans="2:12" ht="15.75" customHeight="1" x14ac:dyDescent="0.25">
      <c r="B49" s="11"/>
      <c r="K49" s="9"/>
      <c r="L49" s="71"/>
    </row>
    <row r="50" spans="2:12" ht="15.75" customHeight="1" x14ac:dyDescent="0.25">
      <c r="B50" s="11"/>
      <c r="K50" s="9"/>
      <c r="L50" s="71"/>
    </row>
    <row r="51" spans="2:12" ht="15.75" customHeight="1" x14ac:dyDescent="0.25">
      <c r="B51" s="11"/>
      <c r="K51" s="9"/>
      <c r="L51" s="71"/>
    </row>
    <row r="52" spans="2:12" ht="15.75" customHeight="1" x14ac:dyDescent="0.25">
      <c r="B52" s="11"/>
      <c r="K52" s="9"/>
      <c r="L52" s="71"/>
    </row>
    <row r="53" spans="2:12" ht="15.75" customHeight="1" x14ac:dyDescent="0.25">
      <c r="B53" s="11"/>
      <c r="K53" s="9"/>
      <c r="L53" s="71"/>
    </row>
    <row r="54" spans="2:12" ht="15.75" customHeight="1" x14ac:dyDescent="0.25">
      <c r="B54" s="11"/>
      <c r="K54" s="9"/>
      <c r="L54" s="71"/>
    </row>
    <row r="55" spans="2:12" ht="15.75" customHeight="1" x14ac:dyDescent="0.25">
      <c r="B55" s="11"/>
      <c r="K55" s="9"/>
      <c r="L55" s="71"/>
    </row>
    <row r="56" spans="2:12" ht="15.75" customHeight="1" x14ac:dyDescent="0.25">
      <c r="B56" s="11"/>
      <c r="K56" s="9"/>
      <c r="L56" s="71"/>
    </row>
    <row r="57" spans="2:12" ht="15.75" customHeight="1" x14ac:dyDescent="0.25">
      <c r="B57" s="11"/>
      <c r="K57" s="9"/>
      <c r="L57" s="71"/>
    </row>
    <row r="58" spans="2:12" ht="15.75" customHeight="1" x14ac:dyDescent="0.25">
      <c r="B58" s="11"/>
      <c r="K58" s="9"/>
      <c r="L58" s="71"/>
    </row>
    <row r="59" spans="2:12" ht="15.75" customHeight="1" x14ac:dyDescent="0.25">
      <c r="B59" s="11"/>
      <c r="K59" s="9"/>
      <c r="L59" s="71"/>
    </row>
    <row r="60" spans="2:12" ht="15.75" customHeight="1" x14ac:dyDescent="0.25">
      <c r="B60" s="11"/>
      <c r="K60" s="9"/>
      <c r="L60" s="71"/>
    </row>
    <row r="61" spans="2:12" ht="15.75" customHeight="1" x14ac:dyDescent="0.25">
      <c r="B61" s="11"/>
      <c r="K61" s="9"/>
      <c r="L61" s="71"/>
    </row>
    <row r="62" spans="2:12" ht="15.75" customHeight="1" x14ac:dyDescent="0.25">
      <c r="B62" s="11"/>
      <c r="K62" s="9"/>
      <c r="L62" s="71"/>
    </row>
    <row r="63" spans="2:12" ht="15.75" customHeight="1" x14ac:dyDescent="0.25">
      <c r="B63" s="11"/>
      <c r="K63" s="9"/>
      <c r="L63" s="71"/>
    </row>
    <row r="64" spans="2:12" ht="15.75" customHeight="1" x14ac:dyDescent="0.25">
      <c r="B64" s="11"/>
      <c r="K64" s="9"/>
      <c r="L64" s="71"/>
    </row>
    <row r="65" spans="2:12" ht="15.75" customHeight="1" x14ac:dyDescent="0.25">
      <c r="B65" s="11"/>
      <c r="K65" s="9"/>
      <c r="L65" s="71"/>
    </row>
    <row r="66" spans="2:12" ht="15.75" customHeight="1" x14ac:dyDescent="0.25">
      <c r="B66" s="11"/>
      <c r="K66" s="9"/>
      <c r="L66" s="71"/>
    </row>
    <row r="67" spans="2:12" ht="15.75" customHeight="1" x14ac:dyDescent="0.25">
      <c r="B67" s="11"/>
      <c r="K67" s="9"/>
      <c r="L67" s="71"/>
    </row>
    <row r="68" spans="2:12" ht="15.75" customHeight="1" x14ac:dyDescent="0.25">
      <c r="B68" s="11"/>
      <c r="K68" s="9"/>
      <c r="L68" s="71"/>
    </row>
    <row r="69" spans="2:12" ht="15.75" customHeight="1" x14ac:dyDescent="0.25">
      <c r="B69" s="11"/>
      <c r="K69" s="9"/>
      <c r="L69" s="71"/>
    </row>
    <row r="70" spans="2:12" ht="15.75" customHeight="1" x14ac:dyDescent="0.25">
      <c r="B70" s="11"/>
      <c r="K70" s="9"/>
      <c r="L70" s="71"/>
    </row>
    <row r="71" spans="2:12" ht="15.75" customHeight="1" x14ac:dyDescent="0.25">
      <c r="B71" s="11"/>
      <c r="K71" s="9"/>
      <c r="L71" s="71"/>
    </row>
    <row r="72" spans="2:12" ht="15.75" customHeight="1" x14ac:dyDescent="0.25">
      <c r="B72" s="11"/>
      <c r="K72" s="9"/>
      <c r="L72" s="71"/>
    </row>
    <row r="73" spans="2:12" ht="15.75" customHeight="1" x14ac:dyDescent="0.25">
      <c r="B73" s="11"/>
      <c r="K73" s="9"/>
      <c r="L73" s="71"/>
    </row>
    <row r="74" spans="2:12" ht="15.75" customHeight="1" x14ac:dyDescent="0.25">
      <c r="B74" s="11"/>
      <c r="K74" s="9"/>
      <c r="L74" s="71"/>
    </row>
    <row r="75" spans="2:12" ht="15.75" customHeight="1" x14ac:dyDescent="0.25">
      <c r="B75" s="11"/>
      <c r="K75" s="9"/>
      <c r="L75" s="71"/>
    </row>
    <row r="76" spans="2:12" ht="15.75" customHeight="1" x14ac:dyDescent="0.25">
      <c r="B76" s="11"/>
      <c r="K76" s="9"/>
      <c r="L76" s="71"/>
    </row>
    <row r="77" spans="2:12" ht="15.75" customHeight="1" x14ac:dyDescent="0.25">
      <c r="B77" s="11"/>
      <c r="K77" s="9"/>
      <c r="L77" s="71"/>
    </row>
    <row r="78" spans="2:12" ht="15.75" customHeight="1" x14ac:dyDescent="0.25">
      <c r="B78" s="11"/>
      <c r="K78" s="9"/>
      <c r="L78" s="71"/>
    </row>
    <row r="79" spans="2:12" ht="15.75" customHeight="1" x14ac:dyDescent="0.25">
      <c r="B79" s="11"/>
      <c r="K79" s="9"/>
      <c r="L79" s="71"/>
    </row>
    <row r="80" spans="2:12" ht="15.75" customHeight="1" x14ac:dyDescent="0.25">
      <c r="B80" s="11"/>
      <c r="K80" s="9"/>
      <c r="L80" s="71"/>
    </row>
    <row r="81" spans="2:12" ht="15.75" customHeight="1" x14ac:dyDescent="0.25">
      <c r="B81" s="11"/>
      <c r="K81" s="9"/>
      <c r="L81" s="71"/>
    </row>
    <row r="82" spans="2:12" ht="15.75" customHeight="1" x14ac:dyDescent="0.25">
      <c r="B82" s="11"/>
      <c r="K82" s="9"/>
      <c r="L82" s="71"/>
    </row>
    <row r="83" spans="2:12" ht="15.75" customHeight="1" x14ac:dyDescent="0.25">
      <c r="B83" s="11"/>
      <c r="K83" s="9"/>
      <c r="L83" s="71"/>
    </row>
    <row r="84" spans="2:12" ht="15.75" customHeight="1" x14ac:dyDescent="0.25">
      <c r="B84" s="11"/>
      <c r="K84" s="9"/>
      <c r="L84" s="71"/>
    </row>
    <row r="85" spans="2:12" ht="15.75" customHeight="1" x14ac:dyDescent="0.25">
      <c r="B85" s="11"/>
      <c r="K85" s="9"/>
      <c r="L85" s="71"/>
    </row>
    <row r="86" spans="2:12" ht="15.75" customHeight="1" x14ac:dyDescent="0.25">
      <c r="B86" s="11"/>
      <c r="K86" s="9"/>
      <c r="L86" s="71"/>
    </row>
    <row r="87" spans="2:12" ht="15.75" customHeight="1" x14ac:dyDescent="0.25">
      <c r="B87" s="11"/>
      <c r="K87" s="9"/>
      <c r="L87" s="71"/>
    </row>
    <row r="88" spans="2:12" ht="15.75" customHeight="1" x14ac:dyDescent="0.25">
      <c r="B88" s="11"/>
      <c r="K88" s="9"/>
      <c r="L88" s="71"/>
    </row>
    <row r="89" spans="2:12" ht="15.75" customHeight="1" x14ac:dyDescent="0.25">
      <c r="B89" s="11"/>
      <c r="K89" s="9"/>
      <c r="L89" s="71"/>
    </row>
    <row r="90" spans="2:12" ht="15.75" customHeight="1" x14ac:dyDescent="0.25">
      <c r="B90" s="11"/>
      <c r="K90" s="9"/>
      <c r="L90" s="71"/>
    </row>
    <row r="91" spans="2:12" ht="15.75" customHeight="1" x14ac:dyDescent="0.25">
      <c r="B91" s="11"/>
      <c r="K91" s="9"/>
      <c r="L91" s="71"/>
    </row>
    <row r="92" spans="2:12" ht="15.75" customHeight="1" x14ac:dyDescent="0.25">
      <c r="B92" s="11"/>
      <c r="K92" s="9"/>
      <c r="L92" s="71"/>
    </row>
    <row r="93" spans="2:12" ht="15.75" customHeight="1" x14ac:dyDescent="0.25">
      <c r="B93" s="11"/>
      <c r="K93" s="9"/>
      <c r="L93" s="71"/>
    </row>
    <row r="94" spans="2:12" ht="15.75" customHeight="1" x14ac:dyDescent="0.25">
      <c r="B94" s="11"/>
      <c r="K94" s="9"/>
      <c r="L94" s="71"/>
    </row>
    <row r="95" spans="2:12" ht="15.75" customHeight="1" x14ac:dyDescent="0.25">
      <c r="B95" s="11"/>
      <c r="K95" s="9"/>
      <c r="L95" s="71"/>
    </row>
    <row r="96" spans="2:12" ht="15.75" customHeight="1" x14ac:dyDescent="0.25">
      <c r="B96" s="11"/>
      <c r="K96" s="9"/>
      <c r="L96" s="71"/>
    </row>
    <row r="97" spans="2:12" ht="15.75" customHeight="1" x14ac:dyDescent="0.25">
      <c r="B97" s="11"/>
      <c r="K97" s="9"/>
      <c r="L97" s="71"/>
    </row>
    <row r="98" spans="2:12" ht="15.75" customHeight="1" x14ac:dyDescent="0.25">
      <c r="B98" s="11"/>
      <c r="K98" s="9"/>
      <c r="L98" s="71"/>
    </row>
    <row r="99" spans="2:12" ht="15.75" customHeight="1" x14ac:dyDescent="0.25">
      <c r="B99" s="11"/>
      <c r="K99" s="9"/>
      <c r="L99" s="71"/>
    </row>
    <row r="100" spans="2:12" ht="15.75" customHeight="1" x14ac:dyDescent="0.25">
      <c r="B100" s="11"/>
      <c r="K100" s="9"/>
      <c r="L100" s="71"/>
    </row>
    <row r="101" spans="2:12" ht="15.75" customHeight="1" x14ac:dyDescent="0.25">
      <c r="B101" s="11"/>
      <c r="K101" s="9"/>
      <c r="L101" s="71"/>
    </row>
    <row r="102" spans="2:12" ht="15.75" customHeight="1" x14ac:dyDescent="0.25">
      <c r="B102" s="11"/>
      <c r="K102" s="9"/>
      <c r="L102" s="71"/>
    </row>
    <row r="103" spans="2:12" ht="15.75" customHeight="1" x14ac:dyDescent="0.25">
      <c r="B103" s="11"/>
      <c r="K103" s="9"/>
      <c r="L103" s="71"/>
    </row>
    <row r="104" spans="2:12" ht="15.75" customHeight="1" x14ac:dyDescent="0.25">
      <c r="B104" s="11"/>
      <c r="K104" s="9"/>
      <c r="L104" s="71"/>
    </row>
    <row r="105" spans="2:12" ht="15.75" customHeight="1" x14ac:dyDescent="0.25">
      <c r="B105" s="11"/>
      <c r="K105" s="9"/>
      <c r="L105" s="71"/>
    </row>
    <row r="106" spans="2:12" ht="15.75" customHeight="1" x14ac:dyDescent="0.25">
      <c r="B106" s="11"/>
      <c r="K106" s="9"/>
      <c r="L106" s="71"/>
    </row>
    <row r="107" spans="2:12" ht="15.75" customHeight="1" x14ac:dyDescent="0.25">
      <c r="B107" s="11"/>
      <c r="K107" s="9"/>
      <c r="L107" s="71"/>
    </row>
    <row r="108" spans="2:12" ht="15.75" customHeight="1" x14ac:dyDescent="0.25">
      <c r="B108" s="11"/>
      <c r="K108" s="9"/>
      <c r="L108" s="71"/>
    </row>
    <row r="109" spans="2:12" ht="15.75" customHeight="1" x14ac:dyDescent="0.25">
      <c r="B109" s="11"/>
      <c r="K109" s="9"/>
      <c r="L109" s="71"/>
    </row>
    <row r="110" spans="2:12" ht="15.75" customHeight="1" x14ac:dyDescent="0.25">
      <c r="B110" s="11"/>
      <c r="K110" s="9"/>
      <c r="L110" s="71"/>
    </row>
    <row r="111" spans="2:12" ht="15.75" customHeight="1" x14ac:dyDescent="0.25">
      <c r="B111" s="11"/>
      <c r="K111" s="9"/>
      <c r="L111" s="71"/>
    </row>
    <row r="112" spans="2:12" ht="15.75" customHeight="1" x14ac:dyDescent="0.25">
      <c r="B112" s="11"/>
      <c r="K112" s="9"/>
      <c r="L112" s="71"/>
    </row>
    <row r="113" spans="2:12" ht="15.75" customHeight="1" x14ac:dyDescent="0.25">
      <c r="B113" s="11"/>
      <c r="K113" s="9"/>
      <c r="L113" s="71"/>
    </row>
    <row r="114" spans="2:12" ht="15.75" customHeight="1" x14ac:dyDescent="0.25">
      <c r="B114" s="11"/>
      <c r="K114" s="9"/>
      <c r="L114" s="71"/>
    </row>
    <row r="115" spans="2:12" ht="15.75" customHeight="1" x14ac:dyDescent="0.25">
      <c r="B115" s="11"/>
      <c r="K115" s="9"/>
      <c r="L115" s="71"/>
    </row>
    <row r="116" spans="2:12" ht="15.75" customHeight="1" x14ac:dyDescent="0.25">
      <c r="B116" s="11"/>
      <c r="K116" s="9"/>
      <c r="L116" s="71"/>
    </row>
    <row r="117" spans="2:12" ht="15.75" customHeight="1" x14ac:dyDescent="0.25">
      <c r="B117" s="11"/>
      <c r="K117" s="9"/>
      <c r="L117" s="71"/>
    </row>
    <row r="118" spans="2:12" ht="15.75" customHeight="1" x14ac:dyDescent="0.25">
      <c r="B118" s="11"/>
      <c r="K118" s="9"/>
      <c r="L118" s="71"/>
    </row>
    <row r="119" spans="2:12" ht="15.75" customHeight="1" x14ac:dyDescent="0.25">
      <c r="B119" s="11"/>
      <c r="K119" s="9"/>
      <c r="L119" s="71"/>
    </row>
    <row r="120" spans="2:12" ht="15.75" customHeight="1" x14ac:dyDescent="0.25">
      <c r="B120" s="11"/>
      <c r="K120" s="9"/>
      <c r="L120" s="71"/>
    </row>
    <row r="121" spans="2:12" ht="15.75" customHeight="1" x14ac:dyDescent="0.25">
      <c r="B121" s="11"/>
      <c r="K121" s="9"/>
      <c r="L121" s="71"/>
    </row>
    <row r="122" spans="2:12" ht="15.75" customHeight="1" x14ac:dyDescent="0.25">
      <c r="B122" s="11"/>
      <c r="K122" s="9"/>
      <c r="L122" s="71"/>
    </row>
    <row r="123" spans="2:12" ht="15.75" customHeight="1" x14ac:dyDescent="0.25">
      <c r="B123" s="11"/>
      <c r="K123" s="9"/>
      <c r="L123" s="71"/>
    </row>
    <row r="124" spans="2:12" ht="15.75" customHeight="1" x14ac:dyDescent="0.25">
      <c r="B124" s="11"/>
      <c r="K124" s="9"/>
      <c r="L124" s="71"/>
    </row>
    <row r="125" spans="2:12" ht="15.75" customHeight="1" x14ac:dyDescent="0.25">
      <c r="B125" s="11"/>
      <c r="K125" s="9"/>
      <c r="L125" s="71"/>
    </row>
    <row r="126" spans="2:12" ht="15.75" customHeight="1" x14ac:dyDescent="0.25">
      <c r="B126" s="11"/>
      <c r="K126" s="9"/>
      <c r="L126" s="71"/>
    </row>
    <row r="127" spans="2:12" ht="15.75" customHeight="1" x14ac:dyDescent="0.25">
      <c r="B127" s="11"/>
      <c r="K127" s="9"/>
      <c r="L127" s="71"/>
    </row>
    <row r="128" spans="2:12" ht="15.75" customHeight="1" x14ac:dyDescent="0.25">
      <c r="B128" s="11"/>
      <c r="K128" s="9"/>
      <c r="L128" s="71"/>
    </row>
    <row r="129" spans="2:12" ht="15.75" customHeight="1" x14ac:dyDescent="0.25">
      <c r="B129" s="11"/>
      <c r="K129" s="9"/>
      <c r="L129" s="71"/>
    </row>
    <row r="130" spans="2:12" ht="15.75" customHeight="1" x14ac:dyDescent="0.25">
      <c r="B130" s="11"/>
      <c r="K130" s="9"/>
      <c r="L130" s="71"/>
    </row>
    <row r="131" spans="2:12" ht="15.75" customHeight="1" x14ac:dyDescent="0.25">
      <c r="B131" s="11"/>
      <c r="K131" s="9"/>
      <c r="L131" s="71"/>
    </row>
    <row r="132" spans="2:12" ht="15.75" customHeight="1" x14ac:dyDescent="0.25">
      <c r="B132" s="11"/>
      <c r="K132" s="9"/>
      <c r="L132" s="71"/>
    </row>
    <row r="133" spans="2:12" ht="15.75" customHeight="1" x14ac:dyDescent="0.25">
      <c r="B133" s="11"/>
      <c r="K133" s="9"/>
      <c r="L133" s="71"/>
    </row>
    <row r="134" spans="2:12" ht="15.75" customHeight="1" x14ac:dyDescent="0.25">
      <c r="B134" s="11"/>
      <c r="K134" s="9"/>
      <c r="L134" s="71"/>
    </row>
    <row r="135" spans="2:12" ht="15.75" customHeight="1" x14ac:dyDescent="0.25">
      <c r="B135" s="11"/>
      <c r="K135" s="9"/>
      <c r="L135" s="71"/>
    </row>
    <row r="136" spans="2:12" ht="15.75" customHeight="1" x14ac:dyDescent="0.25">
      <c r="B136" s="11"/>
      <c r="K136" s="9"/>
      <c r="L136" s="71"/>
    </row>
    <row r="137" spans="2:12" ht="15.75" customHeight="1" x14ac:dyDescent="0.25">
      <c r="B137" s="11"/>
      <c r="K137" s="9"/>
      <c r="L137" s="71"/>
    </row>
    <row r="138" spans="2:12" ht="15.75" customHeight="1" x14ac:dyDescent="0.25">
      <c r="B138" s="11"/>
      <c r="K138" s="9"/>
      <c r="L138" s="71"/>
    </row>
    <row r="139" spans="2:12" ht="15.75" customHeight="1" x14ac:dyDescent="0.25">
      <c r="B139" s="11"/>
      <c r="K139" s="9"/>
      <c r="L139" s="71"/>
    </row>
    <row r="140" spans="2:12" ht="15.75" customHeight="1" x14ac:dyDescent="0.25">
      <c r="B140" s="11"/>
      <c r="K140" s="9"/>
      <c r="L140" s="71"/>
    </row>
    <row r="141" spans="2:12" ht="15.75" customHeight="1" x14ac:dyDescent="0.25">
      <c r="B141" s="11"/>
      <c r="K141" s="9"/>
      <c r="L141" s="71"/>
    </row>
    <row r="142" spans="2:12" ht="15.75" customHeight="1" x14ac:dyDescent="0.25">
      <c r="B142" s="11"/>
      <c r="K142" s="9"/>
      <c r="L142" s="71"/>
    </row>
    <row r="143" spans="2:12" ht="15.75" customHeight="1" x14ac:dyDescent="0.25">
      <c r="B143" s="11"/>
      <c r="K143" s="9"/>
      <c r="L143" s="71"/>
    </row>
    <row r="144" spans="2:12" ht="15.75" customHeight="1" x14ac:dyDescent="0.25">
      <c r="B144" s="11"/>
      <c r="K144" s="9"/>
      <c r="L144" s="71"/>
    </row>
    <row r="145" spans="2:12" ht="15.75" customHeight="1" x14ac:dyDescent="0.25">
      <c r="B145" s="11"/>
      <c r="K145" s="9"/>
      <c r="L145" s="71"/>
    </row>
    <row r="146" spans="2:12" ht="15.75" customHeight="1" x14ac:dyDescent="0.25">
      <c r="B146" s="11"/>
      <c r="K146" s="9"/>
      <c r="L146" s="71"/>
    </row>
    <row r="147" spans="2:12" ht="15.75" customHeight="1" x14ac:dyDescent="0.25">
      <c r="B147" s="11"/>
      <c r="K147" s="9"/>
      <c r="L147" s="71"/>
    </row>
    <row r="148" spans="2:12" ht="15.75" customHeight="1" x14ac:dyDescent="0.25">
      <c r="B148" s="11"/>
      <c r="K148" s="9"/>
      <c r="L148" s="71"/>
    </row>
    <row r="149" spans="2:12" ht="15.75" customHeight="1" x14ac:dyDescent="0.25">
      <c r="B149" s="11"/>
      <c r="K149" s="9"/>
      <c r="L149" s="71"/>
    </row>
    <row r="150" spans="2:12" ht="15.75" customHeight="1" x14ac:dyDescent="0.25">
      <c r="B150" s="11"/>
      <c r="K150" s="9"/>
      <c r="L150" s="71"/>
    </row>
    <row r="151" spans="2:12" ht="15.75" customHeight="1" x14ac:dyDescent="0.25">
      <c r="B151" s="11"/>
      <c r="K151" s="9"/>
      <c r="L151" s="71"/>
    </row>
    <row r="152" spans="2:12" ht="15.75" customHeight="1" x14ac:dyDescent="0.25">
      <c r="B152" s="11"/>
      <c r="K152" s="9"/>
      <c r="L152" s="71"/>
    </row>
    <row r="153" spans="2:12" ht="15.75" customHeight="1" x14ac:dyDescent="0.25">
      <c r="B153" s="11"/>
      <c r="K153" s="9"/>
      <c r="L153" s="71"/>
    </row>
    <row r="154" spans="2:12" ht="15.75" customHeight="1" x14ac:dyDescent="0.25">
      <c r="B154" s="11"/>
      <c r="K154" s="9"/>
      <c r="L154" s="71"/>
    </row>
    <row r="155" spans="2:12" ht="15.75" customHeight="1" x14ac:dyDescent="0.25">
      <c r="B155" s="11"/>
      <c r="K155" s="9"/>
      <c r="L155" s="71"/>
    </row>
    <row r="156" spans="2:12" ht="15.75" customHeight="1" x14ac:dyDescent="0.25">
      <c r="B156" s="11"/>
      <c r="K156" s="9"/>
      <c r="L156" s="71"/>
    </row>
    <row r="157" spans="2:12" ht="15.75" customHeight="1" x14ac:dyDescent="0.25">
      <c r="B157" s="11"/>
      <c r="K157" s="9"/>
      <c r="L157" s="71"/>
    </row>
    <row r="158" spans="2:12" ht="15.75" customHeight="1" x14ac:dyDescent="0.25">
      <c r="B158" s="11"/>
      <c r="K158" s="9"/>
      <c r="L158" s="71"/>
    </row>
    <row r="159" spans="2:12" ht="15.75" customHeight="1" x14ac:dyDescent="0.25">
      <c r="B159" s="11"/>
      <c r="K159" s="9"/>
      <c r="L159" s="71"/>
    </row>
    <row r="160" spans="2:12" ht="15.75" customHeight="1" x14ac:dyDescent="0.25">
      <c r="B160" s="11"/>
      <c r="K160" s="9"/>
      <c r="L160" s="71"/>
    </row>
    <row r="161" spans="2:12" ht="15.75" customHeight="1" x14ac:dyDescent="0.25">
      <c r="B161" s="11"/>
      <c r="K161" s="9"/>
      <c r="L161" s="71"/>
    </row>
    <row r="162" spans="2:12" ht="15.75" customHeight="1" x14ac:dyDescent="0.25">
      <c r="B162" s="11"/>
      <c r="K162" s="9"/>
      <c r="L162" s="71"/>
    </row>
    <row r="163" spans="2:12" ht="15.75" customHeight="1" x14ac:dyDescent="0.25">
      <c r="B163" s="11"/>
      <c r="K163" s="9"/>
      <c r="L163" s="71"/>
    </row>
    <row r="164" spans="2:12" ht="15.75" customHeight="1" x14ac:dyDescent="0.25">
      <c r="B164" s="11"/>
      <c r="K164" s="9"/>
      <c r="L164" s="71"/>
    </row>
    <row r="165" spans="2:12" ht="15.75" customHeight="1" x14ac:dyDescent="0.25">
      <c r="B165" s="11"/>
      <c r="K165" s="9"/>
      <c r="L165" s="71"/>
    </row>
    <row r="166" spans="2:12" ht="15.75" customHeight="1" x14ac:dyDescent="0.25">
      <c r="B166" s="11"/>
      <c r="K166" s="9"/>
      <c r="L166" s="71"/>
    </row>
    <row r="167" spans="2:12" ht="15.75" customHeight="1" x14ac:dyDescent="0.25">
      <c r="B167" s="11"/>
      <c r="K167" s="9"/>
      <c r="L167" s="71"/>
    </row>
    <row r="168" spans="2:12" ht="15.75" customHeight="1" x14ac:dyDescent="0.25">
      <c r="B168" s="11"/>
      <c r="K168" s="9"/>
      <c r="L168" s="71"/>
    </row>
    <row r="169" spans="2:12" ht="15.75" customHeight="1" x14ac:dyDescent="0.25">
      <c r="B169" s="11"/>
      <c r="K169" s="9"/>
      <c r="L169" s="71"/>
    </row>
    <row r="170" spans="2:12" ht="15.75" customHeight="1" x14ac:dyDescent="0.25">
      <c r="B170" s="11"/>
      <c r="K170" s="9"/>
      <c r="L170" s="71"/>
    </row>
    <row r="171" spans="2:12" ht="15.75" customHeight="1" x14ac:dyDescent="0.25">
      <c r="B171" s="11"/>
      <c r="K171" s="9"/>
      <c r="L171" s="71"/>
    </row>
    <row r="172" spans="2:12" ht="15.75" customHeight="1" x14ac:dyDescent="0.25">
      <c r="B172" s="11"/>
      <c r="K172" s="9"/>
      <c r="L172" s="71"/>
    </row>
    <row r="173" spans="2:12" ht="15.75" customHeight="1" x14ac:dyDescent="0.25">
      <c r="B173" s="11"/>
      <c r="K173" s="9"/>
      <c r="L173" s="71"/>
    </row>
    <row r="174" spans="2:12" ht="15.75" customHeight="1" x14ac:dyDescent="0.25">
      <c r="B174" s="11"/>
      <c r="K174" s="9"/>
      <c r="L174" s="71"/>
    </row>
    <row r="175" spans="2:12" ht="15.75" customHeight="1" x14ac:dyDescent="0.25">
      <c r="B175" s="11"/>
      <c r="K175" s="9"/>
      <c r="L175" s="71"/>
    </row>
    <row r="176" spans="2:12" ht="15.75" customHeight="1" x14ac:dyDescent="0.25">
      <c r="B176" s="11"/>
      <c r="K176" s="9"/>
      <c r="L176" s="71"/>
    </row>
    <row r="177" spans="2:12" ht="15.75" customHeight="1" x14ac:dyDescent="0.25">
      <c r="B177" s="11"/>
      <c r="K177" s="9"/>
      <c r="L177" s="71"/>
    </row>
    <row r="178" spans="2:12" ht="15.75" customHeight="1" x14ac:dyDescent="0.25">
      <c r="B178" s="11"/>
      <c r="K178" s="9"/>
      <c r="L178" s="71"/>
    </row>
    <row r="179" spans="2:12" ht="15.75" customHeight="1" x14ac:dyDescent="0.25">
      <c r="B179" s="11"/>
      <c r="K179" s="9"/>
      <c r="L179" s="71"/>
    </row>
    <row r="180" spans="2:12" ht="15.75" customHeight="1" x14ac:dyDescent="0.25">
      <c r="B180" s="11"/>
      <c r="K180" s="9"/>
      <c r="L180" s="71"/>
    </row>
    <row r="181" spans="2:12" ht="15.75" customHeight="1" x14ac:dyDescent="0.25">
      <c r="B181" s="11"/>
      <c r="K181" s="9"/>
      <c r="L181" s="71"/>
    </row>
    <row r="182" spans="2:12" ht="15.75" customHeight="1" x14ac:dyDescent="0.25">
      <c r="B182" s="11"/>
      <c r="K182" s="9"/>
      <c r="L182" s="71"/>
    </row>
    <row r="183" spans="2:12" ht="15.75" customHeight="1" x14ac:dyDescent="0.25">
      <c r="B183" s="11"/>
      <c r="K183" s="9"/>
      <c r="L183" s="71"/>
    </row>
    <row r="184" spans="2:12" ht="15.75" customHeight="1" x14ac:dyDescent="0.25">
      <c r="B184" s="11"/>
      <c r="K184" s="9"/>
      <c r="L184" s="71"/>
    </row>
    <row r="185" spans="2:12" ht="15.75" customHeight="1" x14ac:dyDescent="0.25">
      <c r="B185" s="11"/>
      <c r="K185" s="9"/>
      <c r="L185" s="71"/>
    </row>
    <row r="186" spans="2:12" ht="15.75" customHeight="1" x14ac:dyDescent="0.25">
      <c r="B186" s="11"/>
      <c r="K186" s="9"/>
      <c r="L186" s="71"/>
    </row>
    <row r="187" spans="2:12" ht="15.75" customHeight="1" x14ac:dyDescent="0.25">
      <c r="B187" s="11"/>
      <c r="K187" s="9"/>
      <c r="L187" s="71"/>
    </row>
    <row r="188" spans="2:12" ht="15.75" customHeight="1" x14ac:dyDescent="0.25">
      <c r="B188" s="11"/>
      <c r="K188" s="9"/>
      <c r="L188" s="71"/>
    </row>
    <row r="189" spans="2:12" ht="15.75" customHeight="1" x14ac:dyDescent="0.25">
      <c r="B189" s="11"/>
      <c r="K189" s="9"/>
      <c r="L189" s="71"/>
    </row>
    <row r="190" spans="2:12" ht="15.75" customHeight="1" x14ac:dyDescent="0.25">
      <c r="B190" s="11"/>
      <c r="K190" s="9"/>
      <c r="L190" s="71"/>
    </row>
    <row r="191" spans="2:12" ht="15.75" customHeight="1" x14ac:dyDescent="0.25">
      <c r="B191" s="11"/>
      <c r="K191" s="9"/>
      <c r="L191" s="71"/>
    </row>
    <row r="192" spans="2:12" ht="15.75" customHeight="1" x14ac:dyDescent="0.25">
      <c r="B192" s="11"/>
      <c r="K192" s="9"/>
      <c r="L192" s="71"/>
    </row>
    <row r="193" spans="2:12" ht="15.75" customHeight="1" x14ac:dyDescent="0.25">
      <c r="B193" s="11"/>
      <c r="K193" s="9"/>
      <c r="L193" s="71"/>
    </row>
    <row r="194" spans="2:12" ht="15.75" customHeight="1" x14ac:dyDescent="0.25">
      <c r="B194" s="11"/>
      <c r="K194" s="9"/>
      <c r="L194" s="71"/>
    </row>
    <row r="195" spans="2:12" ht="15.75" customHeight="1" x14ac:dyDescent="0.25">
      <c r="B195" s="11"/>
      <c r="K195" s="9"/>
      <c r="L195" s="71"/>
    </row>
    <row r="196" spans="2:12" ht="15.75" customHeight="1" x14ac:dyDescent="0.25">
      <c r="B196" s="11"/>
      <c r="K196" s="9"/>
      <c r="L196" s="71"/>
    </row>
    <row r="197" spans="2:12" ht="15.75" customHeight="1" x14ac:dyDescent="0.25">
      <c r="B197" s="11"/>
      <c r="K197" s="9"/>
      <c r="L197" s="71"/>
    </row>
    <row r="198" spans="2:12" ht="15.75" customHeight="1" x14ac:dyDescent="0.25">
      <c r="B198" s="11"/>
      <c r="K198" s="9"/>
      <c r="L198" s="71"/>
    </row>
    <row r="199" spans="2:12" ht="15.75" customHeight="1" x14ac:dyDescent="0.25">
      <c r="B199" s="11"/>
      <c r="K199" s="9"/>
      <c r="L199" s="71"/>
    </row>
    <row r="200" spans="2:12" ht="15.75" customHeight="1" x14ac:dyDescent="0.25">
      <c r="B200" s="11"/>
      <c r="K200" s="9"/>
      <c r="L200" s="71"/>
    </row>
    <row r="201" spans="2:12" ht="15.75" customHeight="1" x14ac:dyDescent="0.25">
      <c r="B201" s="11"/>
      <c r="K201" s="9"/>
      <c r="L201" s="71"/>
    </row>
    <row r="202" spans="2:12" ht="15.75" customHeight="1" x14ac:dyDescent="0.25">
      <c r="B202" s="11"/>
      <c r="K202" s="9"/>
      <c r="L202" s="71"/>
    </row>
    <row r="203" spans="2:12" ht="15.75" customHeight="1" x14ac:dyDescent="0.25">
      <c r="B203" s="11"/>
      <c r="K203" s="9"/>
      <c r="L203" s="71"/>
    </row>
    <row r="204" spans="2:12" ht="15.75" customHeight="1" x14ac:dyDescent="0.25">
      <c r="B204" s="11"/>
      <c r="K204" s="9"/>
      <c r="L204" s="71"/>
    </row>
    <row r="205" spans="2:12" ht="15.75" customHeight="1" x14ac:dyDescent="0.25">
      <c r="B205" s="11"/>
      <c r="K205" s="9"/>
      <c r="L205" s="71"/>
    </row>
    <row r="206" spans="2:12" ht="15.75" customHeight="1" x14ac:dyDescent="0.25">
      <c r="B206" s="11"/>
      <c r="K206" s="9"/>
      <c r="L206" s="71"/>
    </row>
    <row r="207" spans="2:12" ht="15.75" customHeight="1" x14ac:dyDescent="0.25">
      <c r="B207" s="11"/>
      <c r="K207" s="9"/>
      <c r="L207" s="71"/>
    </row>
    <row r="208" spans="2:12" ht="15.75" customHeight="1" x14ac:dyDescent="0.25">
      <c r="B208" s="11"/>
      <c r="K208" s="9"/>
      <c r="L208" s="71"/>
    </row>
    <row r="209" spans="2:12" ht="15.75" customHeight="1" x14ac:dyDescent="0.25">
      <c r="B209" s="11"/>
      <c r="K209" s="9"/>
      <c r="L209" s="71"/>
    </row>
    <row r="210" spans="2:12" ht="15.75" customHeight="1" x14ac:dyDescent="0.25">
      <c r="B210" s="11"/>
      <c r="K210" s="9"/>
      <c r="L210" s="71"/>
    </row>
    <row r="211" spans="2:12" ht="15.75" customHeight="1" x14ac:dyDescent="0.25">
      <c r="B211" s="11"/>
      <c r="K211" s="9"/>
      <c r="L211" s="71"/>
    </row>
    <row r="212" spans="2:12" ht="15.75" customHeight="1" x14ac:dyDescent="0.25">
      <c r="B212" s="11"/>
      <c r="K212" s="9"/>
      <c r="L212" s="71"/>
    </row>
    <row r="213" spans="2:12" ht="15.75" customHeight="1" x14ac:dyDescent="0.25">
      <c r="B213" s="11"/>
      <c r="K213" s="9"/>
      <c r="L213" s="71"/>
    </row>
    <row r="214" spans="2:12" ht="15.75" customHeight="1" x14ac:dyDescent="0.25">
      <c r="B214" s="11"/>
      <c r="K214" s="9"/>
      <c r="L214" s="71"/>
    </row>
    <row r="215" spans="2:12" ht="15.75" customHeight="1" x14ac:dyDescent="0.25">
      <c r="B215" s="11"/>
      <c r="K215" s="9"/>
      <c r="L215" s="71"/>
    </row>
    <row r="216" spans="2:12" ht="15.75" customHeight="1" x14ac:dyDescent="0.25">
      <c r="B216" s="11"/>
      <c r="K216" s="9"/>
      <c r="L216" s="71"/>
    </row>
    <row r="217" spans="2:12" ht="15.75" customHeight="1" x14ac:dyDescent="0.25">
      <c r="B217" s="11"/>
      <c r="K217" s="9"/>
      <c r="L217" s="71"/>
    </row>
    <row r="218" spans="2:12" ht="15.75" customHeight="1" x14ac:dyDescent="0.25">
      <c r="B218" s="11"/>
      <c r="K218" s="9"/>
      <c r="L218" s="71"/>
    </row>
    <row r="219" spans="2:12" ht="15.75" customHeight="1" x14ac:dyDescent="0.25">
      <c r="B219" s="11"/>
      <c r="K219" s="9"/>
      <c r="L219" s="71"/>
    </row>
    <row r="220" spans="2:12" ht="15.75" customHeight="1" x14ac:dyDescent="0.25">
      <c r="B220" s="11"/>
      <c r="K220" s="9"/>
      <c r="L220" s="71"/>
    </row>
    <row r="221" spans="2:12" ht="15.75" customHeight="1" x14ac:dyDescent="0.25">
      <c r="B221" s="11"/>
      <c r="K221" s="9"/>
      <c r="L221" s="71"/>
    </row>
    <row r="222" spans="2:12" ht="15.75" customHeight="1" x14ac:dyDescent="0.25">
      <c r="B222" s="11"/>
      <c r="K222" s="9"/>
      <c r="L222" s="71"/>
    </row>
    <row r="223" spans="2:12" ht="15.75" customHeight="1" x14ac:dyDescent="0.25">
      <c r="B223" s="11"/>
      <c r="K223" s="9"/>
      <c r="L223" s="71"/>
    </row>
    <row r="224" spans="2:12" ht="15.75" customHeight="1" x14ac:dyDescent="0.25">
      <c r="B224" s="11"/>
      <c r="K224" s="9"/>
      <c r="L224" s="71"/>
    </row>
    <row r="225" spans="2:12" ht="15.75" customHeight="1" x14ac:dyDescent="0.25">
      <c r="B225" s="11"/>
      <c r="K225" s="9"/>
      <c r="L225" s="71"/>
    </row>
    <row r="226" spans="2:12" ht="15.75" customHeight="1" x14ac:dyDescent="0.25">
      <c r="B226" s="11"/>
      <c r="K226" s="9"/>
      <c r="L226" s="71"/>
    </row>
    <row r="227" spans="2:12" ht="15.75" customHeight="1" x14ac:dyDescent="0.25">
      <c r="B227" s="11"/>
      <c r="K227" s="9"/>
      <c r="L227" s="71"/>
    </row>
    <row r="228" spans="2:12" ht="15.75" customHeight="1" x14ac:dyDescent="0.25">
      <c r="B228" s="11"/>
      <c r="K228" s="9"/>
      <c r="L228" s="71"/>
    </row>
    <row r="229" spans="2:12" ht="15.75" customHeight="1" x14ac:dyDescent="0.25">
      <c r="B229" s="11"/>
      <c r="K229" s="9"/>
      <c r="L229" s="71"/>
    </row>
    <row r="230" spans="2:12" ht="15.75" customHeight="1" x14ac:dyDescent="0.25">
      <c r="B230" s="11"/>
      <c r="K230" s="9"/>
      <c r="L230" s="71"/>
    </row>
    <row r="231" spans="2:12" ht="15.75" customHeight="1" x14ac:dyDescent="0.25">
      <c r="B231" s="11"/>
      <c r="K231" s="9"/>
      <c r="L231" s="71"/>
    </row>
    <row r="232" spans="2:12" ht="15.75" customHeight="1" x14ac:dyDescent="0.25">
      <c r="B232" s="11"/>
      <c r="K232" s="9"/>
      <c r="L232" s="71"/>
    </row>
    <row r="233" spans="2:12" ht="15.75" customHeight="1" x14ac:dyDescent="0.25">
      <c r="B233" s="11"/>
      <c r="K233" s="9"/>
      <c r="L233" s="71"/>
    </row>
    <row r="234" spans="2:12" ht="15.75" customHeight="1" x14ac:dyDescent="0.25">
      <c r="B234" s="11"/>
      <c r="K234" s="9"/>
      <c r="L234" s="71"/>
    </row>
    <row r="235" spans="2:12" ht="15.75" customHeight="1" x14ac:dyDescent="0.25">
      <c r="B235" s="11"/>
      <c r="K235" s="9"/>
      <c r="L235" s="71"/>
    </row>
    <row r="236" spans="2:12" ht="15.75" customHeight="1" x14ac:dyDescent="0.25">
      <c r="B236" s="11"/>
      <c r="K236" s="9"/>
      <c r="L236" s="71"/>
    </row>
    <row r="237" spans="2:12" ht="15.75" customHeight="1" x14ac:dyDescent="0.25">
      <c r="B237" s="11"/>
      <c r="K237" s="9"/>
      <c r="L237" s="71"/>
    </row>
    <row r="238" spans="2:12" ht="15.75" customHeight="1" x14ac:dyDescent="0.25">
      <c r="B238" s="11"/>
      <c r="K238" s="9"/>
      <c r="L238" s="71"/>
    </row>
    <row r="239" spans="2:12" ht="15.75" customHeight="1" x14ac:dyDescent="0.25">
      <c r="B239" s="11"/>
      <c r="K239" s="9"/>
      <c r="L239" s="71"/>
    </row>
    <row r="240" spans="2:12" ht="15.75" customHeight="1" x14ac:dyDescent="0.25">
      <c r="B240" s="11"/>
      <c r="K240" s="9"/>
      <c r="L240" s="71"/>
    </row>
    <row r="241" spans="2:12" ht="15.75" customHeight="1" x14ac:dyDescent="0.25">
      <c r="B241" s="11"/>
      <c r="K241" s="9"/>
      <c r="L241" s="71"/>
    </row>
    <row r="242" spans="2:12" ht="15.75" customHeight="1" x14ac:dyDescent="0.25">
      <c r="B242" s="11"/>
      <c r="K242" s="9"/>
      <c r="L242" s="71"/>
    </row>
    <row r="243" spans="2:12" ht="15.75" customHeight="1" x14ac:dyDescent="0.25">
      <c r="B243" s="11"/>
      <c r="K243" s="9"/>
      <c r="L243" s="71"/>
    </row>
    <row r="244" spans="2:12" ht="15.75" customHeight="1" x14ac:dyDescent="0.25">
      <c r="B244" s="11"/>
      <c r="K244" s="9"/>
      <c r="L244" s="71"/>
    </row>
    <row r="245" spans="2:12" ht="15.75" customHeight="1" x14ac:dyDescent="0.25">
      <c r="B245" s="11"/>
      <c r="K245" s="9"/>
      <c r="L245" s="71"/>
    </row>
    <row r="246" spans="2:12" ht="15.75" customHeight="1" x14ac:dyDescent="0.25">
      <c r="B246" s="11"/>
      <c r="K246" s="9"/>
      <c r="L246" s="71"/>
    </row>
    <row r="247" spans="2:12" ht="15.75" customHeight="1" x14ac:dyDescent="0.25">
      <c r="B247" s="11"/>
      <c r="K247" s="9"/>
      <c r="L247" s="71"/>
    </row>
    <row r="248" spans="2:12" ht="15.75" customHeight="1" x14ac:dyDescent="0.25">
      <c r="B248" s="11"/>
      <c r="K248" s="9"/>
      <c r="L248" s="71"/>
    </row>
    <row r="249" spans="2:12" ht="15.75" customHeight="1" x14ac:dyDescent="0.25">
      <c r="B249" s="11"/>
      <c r="K249" s="9"/>
      <c r="L249" s="71"/>
    </row>
    <row r="250" spans="2:12" ht="15.75" customHeight="1" x14ac:dyDescent="0.25">
      <c r="B250" s="11"/>
      <c r="K250" s="9"/>
      <c r="L250" s="71"/>
    </row>
    <row r="251" spans="2:12" ht="15.75" customHeight="1" x14ac:dyDescent="0.25">
      <c r="B251" s="11"/>
      <c r="K251" s="9"/>
      <c r="L251" s="71"/>
    </row>
    <row r="252" spans="2:12" ht="15.75" customHeight="1" x14ac:dyDescent="0.25">
      <c r="B252" s="11"/>
      <c r="K252" s="9"/>
      <c r="L252" s="71"/>
    </row>
    <row r="253" spans="2:12" ht="15.75" customHeight="1" x14ac:dyDescent="0.25">
      <c r="B253" s="11"/>
      <c r="K253" s="9"/>
      <c r="L253" s="71"/>
    </row>
    <row r="254" spans="2:12" ht="15.75" customHeight="1" x14ac:dyDescent="0.25">
      <c r="B254" s="11"/>
      <c r="K254" s="9"/>
      <c r="L254" s="71"/>
    </row>
    <row r="255" spans="2:12" ht="15.75" customHeight="1" x14ac:dyDescent="0.25">
      <c r="B255" s="11"/>
      <c r="K255" s="9"/>
      <c r="L255" s="71"/>
    </row>
    <row r="256" spans="2:12" ht="15.75" customHeight="1" x14ac:dyDescent="0.25">
      <c r="B256" s="11"/>
      <c r="K256" s="9"/>
      <c r="L256" s="71"/>
    </row>
    <row r="257" spans="2:12" ht="15.75" customHeight="1" x14ac:dyDescent="0.25">
      <c r="B257" s="11"/>
      <c r="K257" s="9"/>
      <c r="L257" s="71"/>
    </row>
    <row r="258" spans="2:12" ht="15.75" customHeight="1" x14ac:dyDescent="0.25">
      <c r="B258" s="11"/>
      <c r="K258" s="9"/>
      <c r="L258" s="71"/>
    </row>
    <row r="259" spans="2:12" ht="15.75" customHeight="1" x14ac:dyDescent="0.25">
      <c r="B259" s="11"/>
      <c r="K259" s="9"/>
      <c r="L259" s="71"/>
    </row>
    <row r="260" spans="2:12" ht="15.75" customHeight="1" x14ac:dyDescent="0.25">
      <c r="B260" s="11"/>
      <c r="K260" s="9"/>
      <c r="L260" s="71"/>
    </row>
    <row r="261" spans="2:12" ht="15.75" customHeight="1" x14ac:dyDescent="0.25">
      <c r="B261" s="11"/>
      <c r="K261" s="9"/>
      <c r="L261" s="71"/>
    </row>
    <row r="262" spans="2:12" ht="15.75" customHeight="1" x14ac:dyDescent="0.25">
      <c r="B262" s="11"/>
      <c r="K262" s="9"/>
      <c r="L262" s="71"/>
    </row>
    <row r="263" spans="2:12" ht="15.75" customHeight="1" x14ac:dyDescent="0.25">
      <c r="B263" s="11"/>
      <c r="K263" s="9"/>
      <c r="L263" s="71"/>
    </row>
    <row r="264" spans="2:12" ht="15.75" customHeight="1" x14ac:dyDescent="0.25">
      <c r="B264" s="11"/>
      <c r="K264" s="9"/>
      <c r="L264" s="71"/>
    </row>
    <row r="265" spans="2:12" ht="15.75" customHeight="1" x14ac:dyDescent="0.25">
      <c r="B265" s="11"/>
      <c r="K265" s="9"/>
      <c r="L265" s="71"/>
    </row>
    <row r="266" spans="2:12" ht="15.75" customHeight="1" x14ac:dyDescent="0.25">
      <c r="B266" s="11"/>
      <c r="K266" s="9"/>
      <c r="L266" s="71"/>
    </row>
    <row r="267" spans="2:12" ht="15.75" customHeight="1" x14ac:dyDescent="0.25">
      <c r="B267" s="11"/>
      <c r="K267" s="9"/>
      <c r="L267" s="71"/>
    </row>
    <row r="268" spans="2:12" ht="15.75" customHeight="1" x14ac:dyDescent="0.25">
      <c r="B268" s="11"/>
      <c r="K268" s="9"/>
      <c r="L268" s="71"/>
    </row>
    <row r="269" spans="2:12" ht="15.75" customHeight="1" x14ac:dyDescent="0.25">
      <c r="B269" s="11"/>
      <c r="K269" s="9"/>
      <c r="L269" s="71"/>
    </row>
    <row r="270" spans="2:12" ht="15.75" customHeight="1" x14ac:dyDescent="0.25">
      <c r="B270" s="11"/>
      <c r="K270" s="9"/>
      <c r="L270" s="71"/>
    </row>
    <row r="271" spans="2:12" ht="15.75" customHeight="1" x14ac:dyDescent="0.25">
      <c r="B271" s="11"/>
      <c r="K271" s="9"/>
      <c r="L271" s="71"/>
    </row>
    <row r="272" spans="2:12" ht="15.75" customHeight="1" x14ac:dyDescent="0.25">
      <c r="B272" s="11"/>
      <c r="K272" s="9"/>
      <c r="L272" s="71"/>
    </row>
    <row r="273" spans="2:12" ht="15.75" customHeight="1" x14ac:dyDescent="0.25">
      <c r="B273" s="11"/>
      <c r="K273" s="9"/>
      <c r="L273" s="71"/>
    </row>
    <row r="274" spans="2:12" ht="15.75" customHeight="1" x14ac:dyDescent="0.25">
      <c r="B274" s="11"/>
      <c r="K274" s="9"/>
      <c r="L274" s="71"/>
    </row>
    <row r="275" spans="2:12" ht="15.75" customHeight="1" x14ac:dyDescent="0.25">
      <c r="B275" s="11"/>
      <c r="K275" s="9"/>
      <c r="L275" s="71"/>
    </row>
    <row r="276" spans="2:12" ht="15.75" customHeight="1" x14ac:dyDescent="0.25">
      <c r="B276" s="11"/>
      <c r="K276" s="9"/>
      <c r="L276" s="71"/>
    </row>
    <row r="277" spans="2:12" ht="15.75" customHeight="1" x14ac:dyDescent="0.25">
      <c r="B277" s="11"/>
      <c r="K277" s="9"/>
      <c r="L277" s="71"/>
    </row>
    <row r="278" spans="2:12" ht="15.75" customHeight="1" x14ac:dyDescent="0.25">
      <c r="B278" s="11"/>
      <c r="K278" s="9"/>
      <c r="L278" s="71"/>
    </row>
    <row r="279" spans="2:12" ht="15.75" customHeight="1" x14ac:dyDescent="0.25">
      <c r="B279" s="11"/>
      <c r="K279" s="9"/>
      <c r="L279" s="71"/>
    </row>
    <row r="280" spans="2:12" ht="15.75" customHeight="1" x14ac:dyDescent="0.25">
      <c r="B280" s="11"/>
      <c r="K280" s="9"/>
      <c r="L280" s="71"/>
    </row>
    <row r="281" spans="2:12" ht="15.75" customHeight="1" x14ac:dyDescent="0.25">
      <c r="B281" s="11"/>
      <c r="K281" s="9"/>
      <c r="L281" s="71"/>
    </row>
    <row r="282" spans="2:12" ht="15.75" customHeight="1" x14ac:dyDescent="0.25">
      <c r="B282" s="11"/>
      <c r="K282" s="9"/>
      <c r="L282" s="71"/>
    </row>
    <row r="283" spans="2:12" ht="15.75" customHeight="1" x14ac:dyDescent="0.25">
      <c r="B283" s="11"/>
      <c r="K283" s="9"/>
      <c r="L283" s="71"/>
    </row>
    <row r="284" spans="2:12" ht="15.75" customHeight="1" x14ac:dyDescent="0.25">
      <c r="B284" s="11"/>
      <c r="K284" s="9"/>
      <c r="L284" s="71"/>
    </row>
    <row r="285" spans="2:12" ht="15.75" customHeight="1" x14ac:dyDescent="0.25">
      <c r="B285" s="11"/>
      <c r="K285" s="9"/>
      <c r="L285" s="71"/>
    </row>
    <row r="286" spans="2:12" ht="15.75" customHeight="1" x14ac:dyDescent="0.25">
      <c r="B286" s="11"/>
      <c r="K286" s="9"/>
      <c r="L286" s="71"/>
    </row>
    <row r="287" spans="2:12" ht="15.75" customHeight="1" x14ac:dyDescent="0.25">
      <c r="B287" s="11"/>
      <c r="K287" s="9"/>
      <c r="L287" s="71"/>
    </row>
    <row r="288" spans="2:12" ht="15.75" customHeight="1" x14ac:dyDescent="0.25">
      <c r="B288" s="11"/>
      <c r="K288" s="9"/>
      <c r="L288" s="71"/>
    </row>
    <row r="289" spans="2:12" ht="15.75" customHeight="1" x14ac:dyDescent="0.25">
      <c r="B289" s="11"/>
      <c r="K289" s="9"/>
      <c r="L289" s="71"/>
    </row>
    <row r="290" spans="2:12" ht="15.75" customHeight="1" x14ac:dyDescent="0.25">
      <c r="B290" s="11"/>
      <c r="K290" s="9"/>
      <c r="L290" s="71"/>
    </row>
    <row r="291" spans="2:12" ht="15.75" customHeight="1" x14ac:dyDescent="0.25">
      <c r="B291" s="11"/>
      <c r="K291" s="9"/>
      <c r="L291" s="71"/>
    </row>
    <row r="292" spans="2:12" ht="15.75" customHeight="1" x14ac:dyDescent="0.25">
      <c r="B292" s="11"/>
      <c r="K292" s="9"/>
      <c r="L292" s="71"/>
    </row>
    <row r="293" spans="2:12" ht="15.75" customHeight="1" x14ac:dyDescent="0.25">
      <c r="B293" s="11"/>
      <c r="K293" s="9"/>
      <c r="L293" s="71"/>
    </row>
    <row r="294" spans="2:12" ht="15.75" customHeight="1" x14ac:dyDescent="0.25">
      <c r="B294" s="11"/>
      <c r="K294" s="9"/>
      <c r="L294" s="71"/>
    </row>
    <row r="295" spans="2:12" ht="15.75" customHeight="1" x14ac:dyDescent="0.25">
      <c r="B295" s="11"/>
      <c r="K295" s="9"/>
      <c r="L295" s="71"/>
    </row>
    <row r="296" spans="2:12" ht="15.75" customHeight="1" x14ac:dyDescent="0.25">
      <c r="B296" s="11"/>
      <c r="K296" s="9"/>
      <c r="L296" s="71"/>
    </row>
    <row r="297" spans="2:12" ht="15.75" customHeight="1" x14ac:dyDescent="0.25">
      <c r="B297" s="11"/>
      <c r="K297" s="9"/>
      <c r="L297" s="71"/>
    </row>
    <row r="298" spans="2:12" ht="15.75" customHeight="1" x14ac:dyDescent="0.25">
      <c r="B298" s="11"/>
      <c r="K298" s="9"/>
      <c r="L298" s="71"/>
    </row>
    <row r="299" spans="2:12" ht="15.75" customHeight="1" x14ac:dyDescent="0.25">
      <c r="B299" s="11"/>
      <c r="K299" s="9"/>
      <c r="L299" s="71"/>
    </row>
    <row r="300" spans="2:12" ht="15.75" customHeight="1" x14ac:dyDescent="0.25">
      <c r="B300" s="11"/>
      <c r="K300" s="9"/>
      <c r="L300" s="71"/>
    </row>
    <row r="301" spans="2:12" ht="15.75" customHeight="1" x14ac:dyDescent="0.25">
      <c r="B301" s="11"/>
      <c r="K301" s="9"/>
      <c r="L301" s="71"/>
    </row>
    <row r="302" spans="2:12" ht="15.75" customHeight="1" x14ac:dyDescent="0.25">
      <c r="B302" s="11"/>
      <c r="K302" s="9"/>
      <c r="L302" s="71"/>
    </row>
    <row r="303" spans="2:12" ht="15.75" customHeight="1" x14ac:dyDescent="0.25">
      <c r="B303" s="11"/>
      <c r="K303" s="9"/>
      <c r="L303" s="71"/>
    </row>
    <row r="304" spans="2:12" ht="15.75" customHeight="1" x14ac:dyDescent="0.25">
      <c r="B304" s="11"/>
      <c r="K304" s="9"/>
      <c r="L304" s="71"/>
    </row>
    <row r="305" spans="2:12" ht="15.75" customHeight="1" x14ac:dyDescent="0.25">
      <c r="B305" s="11"/>
      <c r="K305" s="9"/>
      <c r="L305" s="71"/>
    </row>
    <row r="306" spans="2:12" ht="15.75" customHeight="1" x14ac:dyDescent="0.25">
      <c r="B306" s="11"/>
      <c r="K306" s="9"/>
      <c r="L306" s="71"/>
    </row>
    <row r="307" spans="2:12" ht="15.75" customHeight="1" x14ac:dyDescent="0.25">
      <c r="B307" s="11"/>
      <c r="K307" s="9"/>
      <c r="L307" s="71"/>
    </row>
    <row r="308" spans="2:12" ht="15.75" customHeight="1" x14ac:dyDescent="0.25">
      <c r="B308" s="11"/>
      <c r="K308" s="9"/>
      <c r="L308" s="71"/>
    </row>
    <row r="309" spans="2:12" ht="15.75" customHeight="1" x14ac:dyDescent="0.25">
      <c r="B309" s="11"/>
      <c r="K309" s="9"/>
      <c r="L309" s="71"/>
    </row>
    <row r="310" spans="2:12" ht="15.75" customHeight="1" x14ac:dyDescent="0.25">
      <c r="B310" s="11"/>
      <c r="K310" s="9"/>
      <c r="L310" s="71"/>
    </row>
    <row r="311" spans="2:12" ht="15.75" customHeight="1" x14ac:dyDescent="0.25">
      <c r="B311" s="11"/>
      <c r="K311" s="9"/>
      <c r="L311" s="71"/>
    </row>
    <row r="312" spans="2:12" ht="15.75" customHeight="1" x14ac:dyDescent="0.25">
      <c r="B312" s="11"/>
      <c r="K312" s="9"/>
      <c r="L312" s="71"/>
    </row>
    <row r="313" spans="2:12" ht="15.75" customHeight="1" x14ac:dyDescent="0.25">
      <c r="B313" s="11"/>
      <c r="K313" s="9"/>
      <c r="L313" s="71"/>
    </row>
    <row r="314" spans="2:12" ht="15.75" customHeight="1" x14ac:dyDescent="0.25">
      <c r="B314" s="11"/>
      <c r="K314" s="9"/>
      <c r="L314" s="71"/>
    </row>
    <row r="315" spans="2:12" ht="15.75" customHeight="1" x14ac:dyDescent="0.25">
      <c r="B315" s="11"/>
      <c r="K315" s="9"/>
      <c r="L315" s="71"/>
    </row>
    <row r="316" spans="2:12" ht="15.75" customHeight="1" x14ac:dyDescent="0.25">
      <c r="B316" s="11"/>
      <c r="K316" s="9"/>
      <c r="L316" s="71"/>
    </row>
    <row r="317" spans="2:12" ht="15.75" customHeight="1" x14ac:dyDescent="0.25">
      <c r="B317" s="11"/>
      <c r="K317" s="9"/>
      <c r="L317" s="71"/>
    </row>
    <row r="318" spans="2:12" ht="15.75" customHeight="1" x14ac:dyDescent="0.25">
      <c r="B318" s="11"/>
      <c r="K318" s="9"/>
      <c r="L318" s="71"/>
    </row>
    <row r="319" spans="2:12" ht="15.75" customHeight="1" x14ac:dyDescent="0.25">
      <c r="B319" s="11"/>
      <c r="K319" s="9"/>
      <c r="L319" s="71"/>
    </row>
    <row r="320" spans="2:12" ht="15.75" customHeight="1" x14ac:dyDescent="0.25">
      <c r="B320" s="11"/>
      <c r="K320" s="9"/>
      <c r="L320" s="71"/>
    </row>
    <row r="321" spans="2:12" ht="15.75" customHeight="1" x14ac:dyDescent="0.25">
      <c r="B321" s="11"/>
      <c r="K321" s="9"/>
      <c r="L321" s="71"/>
    </row>
    <row r="322" spans="2:12" ht="15.75" customHeight="1" x14ac:dyDescent="0.25">
      <c r="B322" s="11"/>
      <c r="K322" s="9"/>
      <c r="L322" s="71"/>
    </row>
    <row r="323" spans="2:12" ht="15.75" customHeight="1" x14ac:dyDescent="0.25">
      <c r="B323" s="11"/>
      <c r="K323" s="9"/>
      <c r="L323" s="71"/>
    </row>
    <row r="324" spans="2:12" ht="15.75" customHeight="1" x14ac:dyDescent="0.25">
      <c r="B324" s="11"/>
      <c r="K324" s="9"/>
      <c r="L324" s="71"/>
    </row>
    <row r="325" spans="2:12" ht="15.75" customHeight="1" x14ac:dyDescent="0.25">
      <c r="B325" s="11"/>
      <c r="K325" s="9"/>
      <c r="L325" s="71"/>
    </row>
    <row r="326" spans="2:12" ht="15.75" customHeight="1" x14ac:dyDescent="0.25">
      <c r="B326" s="11"/>
      <c r="K326" s="9"/>
      <c r="L326" s="71"/>
    </row>
    <row r="327" spans="2:12" ht="15.75" customHeight="1" x14ac:dyDescent="0.25">
      <c r="B327" s="11"/>
      <c r="K327" s="9"/>
      <c r="L327" s="71"/>
    </row>
    <row r="328" spans="2:12" ht="15.75" customHeight="1" x14ac:dyDescent="0.25">
      <c r="B328" s="11"/>
      <c r="K328" s="9"/>
      <c r="L328" s="71"/>
    </row>
    <row r="329" spans="2:12" ht="15.75" customHeight="1" x14ac:dyDescent="0.25">
      <c r="B329" s="11"/>
      <c r="K329" s="9"/>
      <c r="L329" s="71"/>
    </row>
    <row r="330" spans="2:12" ht="15.75" customHeight="1" x14ac:dyDescent="0.25">
      <c r="B330" s="11"/>
      <c r="K330" s="9"/>
      <c r="L330" s="71"/>
    </row>
    <row r="331" spans="2:12" ht="15.75" customHeight="1" x14ac:dyDescent="0.25">
      <c r="B331" s="11"/>
      <c r="K331" s="9"/>
      <c r="L331" s="71"/>
    </row>
    <row r="332" spans="2:12" ht="15.75" customHeight="1" x14ac:dyDescent="0.25">
      <c r="B332" s="11"/>
      <c r="K332" s="9"/>
      <c r="L332" s="71"/>
    </row>
    <row r="333" spans="2:12" ht="15.75" customHeight="1" x14ac:dyDescent="0.25">
      <c r="B333" s="11"/>
      <c r="K333" s="9"/>
      <c r="L333" s="71"/>
    </row>
    <row r="334" spans="2:12" ht="15.75" customHeight="1" x14ac:dyDescent="0.25">
      <c r="B334" s="11"/>
      <c r="K334" s="9"/>
      <c r="L334" s="71"/>
    </row>
    <row r="335" spans="2:12" ht="15.75" customHeight="1" x14ac:dyDescent="0.25">
      <c r="B335" s="11"/>
      <c r="K335" s="9"/>
      <c r="L335" s="71"/>
    </row>
    <row r="336" spans="2:12" ht="15.75" customHeight="1" x14ac:dyDescent="0.25">
      <c r="B336" s="11"/>
      <c r="K336" s="9"/>
      <c r="L336" s="71"/>
    </row>
    <row r="337" spans="2:12" ht="15.75" customHeight="1" x14ac:dyDescent="0.25">
      <c r="B337" s="11"/>
      <c r="K337" s="9"/>
      <c r="L337" s="71"/>
    </row>
    <row r="338" spans="2:12" ht="15.75" customHeight="1" x14ac:dyDescent="0.25">
      <c r="B338" s="11"/>
      <c r="K338" s="9"/>
      <c r="L338" s="71"/>
    </row>
    <row r="339" spans="2:12" ht="15.75" customHeight="1" x14ac:dyDescent="0.25">
      <c r="B339" s="11"/>
      <c r="K339" s="9"/>
      <c r="L339" s="71"/>
    </row>
    <row r="340" spans="2:12" ht="15.75" customHeight="1" x14ac:dyDescent="0.25">
      <c r="B340" s="11"/>
      <c r="K340" s="9"/>
      <c r="L340" s="71"/>
    </row>
    <row r="341" spans="2:12" ht="15.75" customHeight="1" x14ac:dyDescent="0.25">
      <c r="B341" s="11"/>
      <c r="K341" s="9"/>
      <c r="L341" s="71"/>
    </row>
    <row r="342" spans="2:12" ht="15.75" customHeight="1" x14ac:dyDescent="0.25">
      <c r="B342" s="11"/>
      <c r="K342" s="9"/>
      <c r="L342" s="71"/>
    </row>
    <row r="343" spans="2:12" ht="15.75" customHeight="1" x14ac:dyDescent="0.25">
      <c r="B343" s="11"/>
      <c r="K343" s="9"/>
      <c r="L343" s="71"/>
    </row>
    <row r="344" spans="2:12" ht="15.75" customHeight="1" x14ac:dyDescent="0.25">
      <c r="B344" s="11"/>
      <c r="K344" s="9"/>
      <c r="L344" s="71"/>
    </row>
    <row r="345" spans="2:12" ht="15.75" customHeight="1" x14ac:dyDescent="0.25">
      <c r="B345" s="11"/>
      <c r="K345" s="9"/>
      <c r="L345" s="71"/>
    </row>
    <row r="346" spans="2:12" ht="15.75" customHeight="1" x14ac:dyDescent="0.25">
      <c r="B346" s="11"/>
      <c r="K346" s="9"/>
      <c r="L346" s="71"/>
    </row>
    <row r="347" spans="2:12" ht="15.75" customHeight="1" x14ac:dyDescent="0.25">
      <c r="B347" s="11"/>
      <c r="K347" s="9"/>
      <c r="L347" s="71"/>
    </row>
    <row r="348" spans="2:12" ht="15.75" customHeight="1" x14ac:dyDescent="0.25">
      <c r="B348" s="11"/>
      <c r="K348" s="9"/>
      <c r="L348" s="71"/>
    </row>
    <row r="349" spans="2:12" ht="15.75" customHeight="1" x14ac:dyDescent="0.25">
      <c r="B349" s="11"/>
      <c r="K349" s="9"/>
      <c r="L349" s="71"/>
    </row>
    <row r="350" spans="2:12" ht="15.75" customHeight="1" x14ac:dyDescent="0.25">
      <c r="B350" s="11"/>
      <c r="K350" s="9"/>
      <c r="L350" s="71"/>
    </row>
    <row r="351" spans="2:12" ht="15.75" customHeight="1" x14ac:dyDescent="0.25">
      <c r="B351" s="11"/>
      <c r="K351" s="9"/>
      <c r="L351" s="71"/>
    </row>
    <row r="352" spans="2:12" ht="15.75" customHeight="1" x14ac:dyDescent="0.25">
      <c r="B352" s="11"/>
      <c r="K352" s="9"/>
      <c r="L352" s="71"/>
    </row>
    <row r="353" spans="2:12" ht="15.75" customHeight="1" x14ac:dyDescent="0.25">
      <c r="B353" s="11"/>
      <c r="K353" s="9"/>
      <c r="L353" s="71"/>
    </row>
    <row r="354" spans="2:12" ht="15.75" customHeight="1" x14ac:dyDescent="0.25">
      <c r="B354" s="11"/>
      <c r="K354" s="9"/>
      <c r="L354" s="71"/>
    </row>
    <row r="355" spans="2:12" ht="15.75" customHeight="1" x14ac:dyDescent="0.25">
      <c r="B355" s="11"/>
      <c r="K355" s="9"/>
      <c r="L355" s="71"/>
    </row>
    <row r="356" spans="2:12" ht="15.75" customHeight="1" x14ac:dyDescent="0.25">
      <c r="B356" s="11"/>
      <c r="K356" s="9"/>
      <c r="L356" s="71"/>
    </row>
    <row r="357" spans="2:12" ht="15.75" customHeight="1" x14ac:dyDescent="0.25">
      <c r="B357" s="11"/>
      <c r="K357" s="9"/>
      <c r="L357" s="71"/>
    </row>
    <row r="358" spans="2:12" ht="15.75" customHeight="1" x14ac:dyDescent="0.25">
      <c r="B358" s="11"/>
      <c r="K358" s="9"/>
      <c r="L358" s="71"/>
    </row>
    <row r="359" spans="2:12" ht="15.75" customHeight="1" x14ac:dyDescent="0.25">
      <c r="B359" s="11"/>
      <c r="K359" s="9"/>
      <c r="L359" s="71"/>
    </row>
    <row r="360" spans="2:12" ht="15.75" customHeight="1" x14ac:dyDescent="0.25">
      <c r="B360" s="11"/>
      <c r="K360" s="9"/>
      <c r="L360" s="71"/>
    </row>
    <row r="361" spans="2:12" ht="15.75" customHeight="1" x14ac:dyDescent="0.25">
      <c r="B361" s="11"/>
      <c r="K361" s="9"/>
      <c r="L361" s="71"/>
    </row>
    <row r="362" spans="2:12" ht="15.75" customHeight="1" x14ac:dyDescent="0.25">
      <c r="B362" s="11"/>
      <c r="K362" s="9"/>
      <c r="L362" s="71"/>
    </row>
    <row r="363" spans="2:12" ht="15.75" customHeight="1" x14ac:dyDescent="0.25">
      <c r="B363" s="11"/>
      <c r="K363" s="9"/>
      <c r="L363" s="71"/>
    </row>
    <row r="364" spans="2:12" ht="15.75" customHeight="1" x14ac:dyDescent="0.25">
      <c r="B364" s="11"/>
      <c r="K364" s="9"/>
      <c r="L364" s="71"/>
    </row>
    <row r="365" spans="2:12" ht="15.75" customHeight="1" x14ac:dyDescent="0.25">
      <c r="B365" s="11"/>
      <c r="K365" s="9"/>
      <c r="L365" s="71"/>
    </row>
    <row r="366" spans="2:12" ht="15.75" customHeight="1" x14ac:dyDescent="0.25">
      <c r="B366" s="11"/>
      <c r="K366" s="9"/>
      <c r="L366" s="71"/>
    </row>
    <row r="367" spans="2:12" ht="15.75" customHeight="1" x14ac:dyDescent="0.25">
      <c r="B367" s="11"/>
      <c r="K367" s="9"/>
      <c r="L367" s="71"/>
    </row>
    <row r="368" spans="2:12" ht="15.75" customHeight="1" x14ac:dyDescent="0.25">
      <c r="B368" s="11"/>
      <c r="K368" s="9"/>
      <c r="L368" s="71"/>
    </row>
    <row r="369" spans="2:12" ht="15.75" customHeight="1" x14ac:dyDescent="0.25">
      <c r="B369" s="11"/>
      <c r="K369" s="9"/>
      <c r="L369" s="71"/>
    </row>
    <row r="370" spans="2:12" ht="15.75" customHeight="1" x14ac:dyDescent="0.25">
      <c r="B370" s="11"/>
      <c r="K370" s="9"/>
      <c r="L370" s="71"/>
    </row>
    <row r="371" spans="2:12" ht="15.75" customHeight="1" x14ac:dyDescent="0.25">
      <c r="B371" s="11"/>
      <c r="K371" s="9"/>
      <c r="L371" s="71"/>
    </row>
    <row r="372" spans="2:12" ht="15.75" customHeight="1" x14ac:dyDescent="0.25">
      <c r="B372" s="11"/>
      <c r="K372" s="9"/>
      <c r="L372" s="71"/>
    </row>
    <row r="373" spans="2:12" ht="15.75" customHeight="1" x14ac:dyDescent="0.25">
      <c r="B373" s="11"/>
      <c r="K373" s="9"/>
      <c r="L373" s="71"/>
    </row>
    <row r="374" spans="2:12" ht="15.75" customHeight="1" x14ac:dyDescent="0.25">
      <c r="B374" s="11"/>
      <c r="K374" s="9"/>
      <c r="L374" s="71"/>
    </row>
    <row r="375" spans="2:12" ht="15.75" customHeight="1" x14ac:dyDescent="0.25">
      <c r="B375" s="11"/>
      <c r="K375" s="9"/>
      <c r="L375" s="71"/>
    </row>
    <row r="376" spans="2:12" ht="15.75" customHeight="1" x14ac:dyDescent="0.25">
      <c r="B376" s="11"/>
      <c r="K376" s="9"/>
      <c r="L376" s="71"/>
    </row>
    <row r="377" spans="2:12" ht="15.75" customHeight="1" x14ac:dyDescent="0.25">
      <c r="B377" s="11"/>
      <c r="K377" s="9"/>
      <c r="L377" s="71"/>
    </row>
    <row r="378" spans="2:12" ht="15.75" customHeight="1" x14ac:dyDescent="0.25">
      <c r="B378" s="11"/>
      <c r="K378" s="9"/>
      <c r="L378" s="71"/>
    </row>
    <row r="379" spans="2:12" ht="15.75" customHeight="1" x14ac:dyDescent="0.25">
      <c r="B379" s="11"/>
      <c r="K379" s="9"/>
      <c r="L379" s="71"/>
    </row>
    <row r="380" spans="2:12" ht="15.75" customHeight="1" x14ac:dyDescent="0.25">
      <c r="B380" s="11"/>
      <c r="K380" s="9"/>
      <c r="L380" s="71"/>
    </row>
    <row r="381" spans="2:12" ht="15.75" customHeight="1" x14ac:dyDescent="0.25">
      <c r="B381" s="11"/>
      <c r="K381" s="9"/>
      <c r="L381" s="71"/>
    </row>
    <row r="382" spans="2:12" ht="15.75" customHeight="1" x14ac:dyDescent="0.25">
      <c r="B382" s="11"/>
      <c r="K382" s="9"/>
      <c r="L382" s="71"/>
    </row>
    <row r="383" spans="2:12" ht="15.75" customHeight="1" x14ac:dyDescent="0.25">
      <c r="B383" s="11"/>
      <c r="K383" s="9"/>
      <c r="L383" s="71"/>
    </row>
    <row r="384" spans="2:12" ht="15.75" customHeight="1" x14ac:dyDescent="0.25">
      <c r="B384" s="11"/>
      <c r="K384" s="9"/>
      <c r="L384" s="71"/>
    </row>
    <row r="385" spans="2:12" ht="15.75" customHeight="1" x14ac:dyDescent="0.25">
      <c r="B385" s="11"/>
      <c r="K385" s="9"/>
      <c r="L385" s="71"/>
    </row>
    <row r="386" spans="2:12" ht="15.75" customHeight="1" x14ac:dyDescent="0.25">
      <c r="B386" s="11"/>
      <c r="K386" s="9"/>
      <c r="L386" s="71"/>
    </row>
    <row r="387" spans="2:12" ht="15.75" customHeight="1" x14ac:dyDescent="0.25">
      <c r="B387" s="11"/>
      <c r="K387" s="9"/>
      <c r="L387" s="71"/>
    </row>
    <row r="388" spans="2:12" ht="15.75" customHeight="1" x14ac:dyDescent="0.25">
      <c r="B388" s="11"/>
      <c r="K388" s="9"/>
      <c r="L388" s="71"/>
    </row>
    <row r="389" spans="2:12" ht="15.75" customHeight="1" x14ac:dyDescent="0.25">
      <c r="B389" s="11"/>
      <c r="K389" s="9"/>
      <c r="L389" s="71"/>
    </row>
    <row r="390" spans="2:12" ht="15.75" customHeight="1" x14ac:dyDescent="0.25">
      <c r="B390" s="11"/>
      <c r="K390" s="9"/>
      <c r="L390" s="71"/>
    </row>
    <row r="391" spans="2:12" ht="15.75" customHeight="1" x14ac:dyDescent="0.25">
      <c r="B391" s="11"/>
      <c r="K391" s="9"/>
      <c r="L391" s="71"/>
    </row>
    <row r="392" spans="2:12" ht="15.75" customHeight="1" x14ac:dyDescent="0.25">
      <c r="B392" s="11"/>
      <c r="K392" s="9"/>
      <c r="L392" s="71"/>
    </row>
    <row r="393" spans="2:12" ht="15.75" customHeight="1" x14ac:dyDescent="0.25">
      <c r="B393" s="11"/>
      <c r="K393" s="9"/>
      <c r="L393" s="71"/>
    </row>
    <row r="394" spans="2:12" ht="15.75" customHeight="1" x14ac:dyDescent="0.25">
      <c r="B394" s="11"/>
      <c r="K394" s="9"/>
      <c r="L394" s="71"/>
    </row>
    <row r="395" spans="2:12" ht="15.75" customHeight="1" x14ac:dyDescent="0.25">
      <c r="B395" s="11"/>
      <c r="K395" s="9"/>
      <c r="L395" s="71"/>
    </row>
    <row r="396" spans="2:12" ht="15.75" customHeight="1" x14ac:dyDescent="0.25">
      <c r="B396" s="11"/>
      <c r="K396" s="9"/>
      <c r="L396" s="71"/>
    </row>
    <row r="397" spans="2:12" ht="15.75" customHeight="1" x14ac:dyDescent="0.25">
      <c r="B397" s="11"/>
      <c r="K397" s="9"/>
      <c r="L397" s="71"/>
    </row>
    <row r="398" spans="2:12" ht="15.75" customHeight="1" x14ac:dyDescent="0.25">
      <c r="B398" s="11"/>
      <c r="K398" s="9"/>
      <c r="L398" s="71"/>
    </row>
    <row r="399" spans="2:12" ht="15.75" customHeight="1" x14ac:dyDescent="0.25">
      <c r="B399" s="11"/>
      <c r="K399" s="9"/>
      <c r="L399" s="71"/>
    </row>
    <row r="400" spans="2:12" ht="15.75" customHeight="1" x14ac:dyDescent="0.25">
      <c r="B400" s="11"/>
      <c r="K400" s="9"/>
      <c r="L400" s="71"/>
    </row>
    <row r="401" spans="2:12" ht="15.75" customHeight="1" x14ac:dyDescent="0.25">
      <c r="B401" s="11"/>
      <c r="K401" s="9"/>
      <c r="L401" s="71"/>
    </row>
    <row r="402" spans="2:12" ht="15.75" customHeight="1" x14ac:dyDescent="0.25">
      <c r="B402" s="11"/>
      <c r="K402" s="9"/>
      <c r="L402" s="71"/>
    </row>
    <row r="403" spans="2:12" ht="15.75" customHeight="1" x14ac:dyDescent="0.25">
      <c r="B403" s="11"/>
      <c r="K403" s="9"/>
      <c r="L403" s="71"/>
    </row>
    <row r="404" spans="2:12" ht="15.75" customHeight="1" x14ac:dyDescent="0.25">
      <c r="B404" s="11"/>
      <c r="K404" s="9"/>
      <c r="L404" s="71"/>
    </row>
    <row r="405" spans="2:12" ht="15.75" customHeight="1" x14ac:dyDescent="0.25">
      <c r="B405" s="11"/>
      <c r="K405" s="9"/>
      <c r="L405" s="71"/>
    </row>
    <row r="406" spans="2:12" ht="15.75" customHeight="1" x14ac:dyDescent="0.25">
      <c r="B406" s="11"/>
      <c r="K406" s="9"/>
      <c r="L406" s="71"/>
    </row>
    <row r="407" spans="2:12" ht="15.75" customHeight="1" x14ac:dyDescent="0.25">
      <c r="B407" s="11"/>
      <c r="K407" s="9"/>
      <c r="L407" s="71"/>
    </row>
    <row r="408" spans="2:12" ht="15.75" customHeight="1" x14ac:dyDescent="0.25">
      <c r="B408" s="11"/>
      <c r="K408" s="9"/>
      <c r="L408" s="71"/>
    </row>
    <row r="409" spans="2:12" ht="15.75" customHeight="1" x14ac:dyDescent="0.25">
      <c r="B409" s="11"/>
      <c r="K409" s="9"/>
      <c r="L409" s="71"/>
    </row>
    <row r="410" spans="2:12" ht="15.75" customHeight="1" x14ac:dyDescent="0.25">
      <c r="B410" s="11"/>
      <c r="K410" s="9"/>
      <c r="L410" s="71"/>
    </row>
    <row r="411" spans="2:12" ht="15.75" customHeight="1" x14ac:dyDescent="0.25">
      <c r="B411" s="11"/>
      <c r="K411" s="9"/>
      <c r="L411" s="71"/>
    </row>
    <row r="412" spans="2:12" ht="15.75" customHeight="1" x14ac:dyDescent="0.25">
      <c r="B412" s="11"/>
      <c r="K412" s="9"/>
      <c r="L412" s="71"/>
    </row>
    <row r="413" spans="2:12" ht="15.75" customHeight="1" x14ac:dyDescent="0.25">
      <c r="B413" s="11"/>
      <c r="K413" s="9"/>
      <c r="L413" s="71"/>
    </row>
    <row r="414" spans="2:12" ht="15.75" customHeight="1" x14ac:dyDescent="0.25">
      <c r="B414" s="11"/>
      <c r="K414" s="9"/>
      <c r="L414" s="71"/>
    </row>
    <row r="415" spans="2:12" ht="15.75" customHeight="1" x14ac:dyDescent="0.25">
      <c r="B415" s="11"/>
      <c r="K415" s="9"/>
      <c r="L415" s="71"/>
    </row>
    <row r="416" spans="2:12" ht="15.75" customHeight="1" x14ac:dyDescent="0.25">
      <c r="B416" s="11"/>
      <c r="K416" s="9"/>
      <c r="L416" s="71"/>
    </row>
    <row r="417" spans="2:12" ht="15.75" customHeight="1" x14ac:dyDescent="0.25">
      <c r="B417" s="11"/>
      <c r="K417" s="9"/>
      <c r="L417" s="71"/>
    </row>
    <row r="418" spans="2:12" ht="15.75" customHeight="1" x14ac:dyDescent="0.25">
      <c r="B418" s="11"/>
      <c r="K418" s="9"/>
      <c r="L418" s="71"/>
    </row>
    <row r="419" spans="2:12" ht="15.75" customHeight="1" x14ac:dyDescent="0.25">
      <c r="B419" s="11"/>
      <c r="K419" s="9"/>
      <c r="L419" s="71"/>
    </row>
    <row r="420" spans="2:12" ht="15.75" customHeight="1" x14ac:dyDescent="0.25">
      <c r="B420" s="11"/>
      <c r="K420" s="9"/>
      <c r="L420" s="71"/>
    </row>
    <row r="421" spans="2:12" ht="15.75" customHeight="1" x14ac:dyDescent="0.25">
      <c r="B421" s="11"/>
      <c r="K421" s="9"/>
      <c r="L421" s="71"/>
    </row>
    <row r="422" spans="2:12" ht="15.75" customHeight="1" x14ac:dyDescent="0.25">
      <c r="B422" s="11"/>
      <c r="K422" s="9"/>
      <c r="L422" s="71"/>
    </row>
    <row r="423" spans="2:12" ht="15.75" customHeight="1" x14ac:dyDescent="0.25">
      <c r="B423" s="11"/>
      <c r="K423" s="9"/>
      <c r="L423" s="71"/>
    </row>
    <row r="424" spans="2:12" ht="15.75" customHeight="1" x14ac:dyDescent="0.25">
      <c r="B424" s="11"/>
      <c r="K424" s="9"/>
      <c r="L424" s="71"/>
    </row>
    <row r="425" spans="2:12" ht="15.75" customHeight="1" x14ac:dyDescent="0.25">
      <c r="B425" s="11"/>
      <c r="K425" s="9"/>
      <c r="L425" s="71"/>
    </row>
    <row r="426" spans="2:12" ht="15.75" customHeight="1" x14ac:dyDescent="0.25">
      <c r="B426" s="11"/>
      <c r="K426" s="9"/>
      <c r="L426" s="71"/>
    </row>
    <row r="427" spans="2:12" ht="15.75" customHeight="1" x14ac:dyDescent="0.25">
      <c r="B427" s="11"/>
      <c r="K427" s="9"/>
      <c r="L427" s="71"/>
    </row>
    <row r="428" spans="2:12" ht="15.75" customHeight="1" x14ac:dyDescent="0.25">
      <c r="B428" s="11"/>
      <c r="K428" s="9"/>
      <c r="L428" s="71"/>
    </row>
    <row r="429" spans="2:12" ht="15.75" customHeight="1" x14ac:dyDescent="0.25">
      <c r="B429" s="11"/>
      <c r="K429" s="9"/>
      <c r="L429" s="71"/>
    </row>
    <row r="430" spans="2:12" ht="15.75" customHeight="1" x14ac:dyDescent="0.25">
      <c r="B430" s="11"/>
      <c r="K430" s="9"/>
      <c r="L430" s="71"/>
    </row>
    <row r="431" spans="2:12" ht="15.75" customHeight="1" x14ac:dyDescent="0.25">
      <c r="B431" s="11"/>
      <c r="K431" s="9"/>
      <c r="L431" s="71"/>
    </row>
    <row r="432" spans="2:12" ht="15.75" customHeight="1" x14ac:dyDescent="0.25">
      <c r="B432" s="11"/>
      <c r="K432" s="9"/>
      <c r="L432" s="71"/>
    </row>
    <row r="433" spans="2:12" ht="15.75" customHeight="1" x14ac:dyDescent="0.25">
      <c r="B433" s="11"/>
      <c r="K433" s="9"/>
      <c r="L433" s="71"/>
    </row>
    <row r="434" spans="2:12" ht="15.75" customHeight="1" x14ac:dyDescent="0.25">
      <c r="B434" s="11"/>
      <c r="K434" s="9"/>
      <c r="L434" s="71"/>
    </row>
    <row r="435" spans="2:12" ht="15.75" customHeight="1" x14ac:dyDescent="0.25">
      <c r="B435" s="11"/>
      <c r="K435" s="9"/>
      <c r="L435" s="71"/>
    </row>
    <row r="436" spans="2:12" ht="15.75" customHeight="1" x14ac:dyDescent="0.25">
      <c r="B436" s="11"/>
      <c r="K436" s="9"/>
      <c r="L436" s="71"/>
    </row>
    <row r="437" spans="2:12" ht="15.75" customHeight="1" x14ac:dyDescent="0.25">
      <c r="B437" s="11"/>
      <c r="K437" s="9"/>
      <c r="L437" s="71"/>
    </row>
    <row r="438" spans="2:12" ht="15.75" customHeight="1" x14ac:dyDescent="0.25">
      <c r="B438" s="11"/>
      <c r="K438" s="9"/>
      <c r="L438" s="71"/>
    </row>
    <row r="439" spans="2:12" ht="15.75" customHeight="1" x14ac:dyDescent="0.25">
      <c r="B439" s="11"/>
      <c r="K439" s="9"/>
      <c r="L439" s="71"/>
    </row>
    <row r="440" spans="2:12" ht="15.75" customHeight="1" x14ac:dyDescent="0.25">
      <c r="B440" s="11"/>
      <c r="K440" s="9"/>
      <c r="L440" s="71"/>
    </row>
    <row r="441" spans="2:12" ht="15.75" customHeight="1" x14ac:dyDescent="0.25">
      <c r="B441" s="11"/>
      <c r="K441" s="9"/>
      <c r="L441" s="71"/>
    </row>
    <row r="442" spans="2:12" ht="15.75" customHeight="1" x14ac:dyDescent="0.25">
      <c r="B442" s="11"/>
      <c r="K442" s="9"/>
      <c r="L442" s="71"/>
    </row>
    <row r="443" spans="2:12" ht="15.75" customHeight="1" x14ac:dyDescent="0.25">
      <c r="B443" s="11"/>
      <c r="K443" s="9"/>
      <c r="L443" s="71"/>
    </row>
    <row r="444" spans="2:12" ht="15.75" customHeight="1" x14ac:dyDescent="0.25">
      <c r="B444" s="11"/>
      <c r="K444" s="9"/>
      <c r="L444" s="71"/>
    </row>
    <row r="445" spans="2:12" ht="15.75" customHeight="1" x14ac:dyDescent="0.25">
      <c r="B445" s="11"/>
      <c r="K445" s="9"/>
      <c r="L445" s="71"/>
    </row>
    <row r="446" spans="2:12" ht="15.75" customHeight="1" x14ac:dyDescent="0.25">
      <c r="B446" s="11"/>
      <c r="K446" s="9"/>
      <c r="L446" s="71"/>
    </row>
    <row r="447" spans="2:12" ht="15.75" customHeight="1" x14ac:dyDescent="0.25">
      <c r="B447" s="11"/>
      <c r="K447" s="9"/>
      <c r="L447" s="71"/>
    </row>
    <row r="448" spans="2:12" ht="15.75" customHeight="1" x14ac:dyDescent="0.25">
      <c r="B448" s="11"/>
      <c r="K448" s="9"/>
      <c r="L448" s="71"/>
    </row>
    <row r="449" spans="2:12" ht="15.75" customHeight="1" x14ac:dyDescent="0.25">
      <c r="B449" s="11"/>
      <c r="K449" s="9"/>
      <c r="L449" s="71"/>
    </row>
    <row r="450" spans="2:12" ht="15.75" customHeight="1" x14ac:dyDescent="0.25">
      <c r="B450" s="11"/>
      <c r="K450" s="9"/>
      <c r="L450" s="71"/>
    </row>
    <row r="451" spans="2:12" ht="15.75" customHeight="1" x14ac:dyDescent="0.25">
      <c r="B451" s="11"/>
      <c r="K451" s="9"/>
      <c r="L451" s="71"/>
    </row>
    <row r="452" spans="2:12" ht="15.75" customHeight="1" x14ac:dyDescent="0.25">
      <c r="B452" s="11"/>
      <c r="K452" s="9"/>
      <c r="L452" s="71"/>
    </row>
    <row r="453" spans="2:12" ht="15.75" customHeight="1" x14ac:dyDescent="0.25">
      <c r="B453" s="11"/>
      <c r="K453" s="9"/>
      <c r="L453" s="71"/>
    </row>
    <row r="454" spans="2:12" ht="15.75" customHeight="1" x14ac:dyDescent="0.25">
      <c r="B454" s="11"/>
      <c r="K454" s="9"/>
      <c r="L454" s="71"/>
    </row>
    <row r="455" spans="2:12" ht="15.75" customHeight="1" x14ac:dyDescent="0.25">
      <c r="B455" s="11"/>
      <c r="K455" s="9"/>
      <c r="L455" s="71"/>
    </row>
    <row r="456" spans="2:12" ht="15.75" customHeight="1" x14ac:dyDescent="0.25">
      <c r="B456" s="11"/>
      <c r="K456" s="9"/>
      <c r="L456" s="71"/>
    </row>
    <row r="457" spans="2:12" ht="15.75" customHeight="1" x14ac:dyDescent="0.25">
      <c r="B457" s="11"/>
      <c r="K457" s="9"/>
      <c r="L457" s="71"/>
    </row>
    <row r="458" spans="2:12" ht="15.75" customHeight="1" x14ac:dyDescent="0.25">
      <c r="B458" s="11"/>
      <c r="K458" s="9"/>
      <c r="L458" s="71"/>
    </row>
    <row r="459" spans="2:12" ht="15.75" customHeight="1" x14ac:dyDescent="0.25">
      <c r="B459" s="11"/>
      <c r="K459" s="9"/>
      <c r="L459" s="71"/>
    </row>
    <row r="460" spans="2:12" ht="15.75" customHeight="1" x14ac:dyDescent="0.25">
      <c r="B460" s="11"/>
      <c r="K460" s="9"/>
      <c r="L460" s="71"/>
    </row>
    <row r="461" spans="2:12" ht="15.75" customHeight="1" x14ac:dyDescent="0.25">
      <c r="B461" s="11"/>
      <c r="K461" s="9"/>
      <c r="L461" s="71"/>
    </row>
    <row r="462" spans="2:12" ht="15.75" customHeight="1" x14ac:dyDescent="0.25">
      <c r="B462" s="11"/>
      <c r="K462" s="9"/>
      <c r="L462" s="71"/>
    </row>
    <row r="463" spans="2:12" ht="15.75" customHeight="1" x14ac:dyDescent="0.25">
      <c r="B463" s="11"/>
      <c r="K463" s="9"/>
      <c r="L463" s="71"/>
    </row>
    <row r="464" spans="2:12" ht="15.75" customHeight="1" x14ac:dyDescent="0.25">
      <c r="B464" s="11"/>
      <c r="K464" s="9"/>
      <c r="L464" s="71"/>
    </row>
    <row r="465" spans="2:12" ht="15.75" customHeight="1" x14ac:dyDescent="0.25">
      <c r="B465" s="11"/>
      <c r="K465" s="9"/>
      <c r="L465" s="71"/>
    </row>
    <row r="466" spans="2:12" ht="15.75" customHeight="1" x14ac:dyDescent="0.25">
      <c r="B466" s="11"/>
      <c r="K466" s="9"/>
      <c r="L466" s="71"/>
    </row>
    <row r="467" spans="2:12" ht="15.75" customHeight="1" x14ac:dyDescent="0.25">
      <c r="B467" s="11"/>
      <c r="K467" s="9"/>
      <c r="L467" s="71"/>
    </row>
    <row r="468" spans="2:12" ht="15.75" customHeight="1" x14ac:dyDescent="0.25">
      <c r="B468" s="11"/>
      <c r="K468" s="9"/>
      <c r="L468" s="71"/>
    </row>
    <row r="469" spans="2:12" ht="15.75" customHeight="1" x14ac:dyDescent="0.25">
      <c r="B469" s="11"/>
      <c r="K469" s="9"/>
      <c r="L469" s="71"/>
    </row>
    <row r="470" spans="2:12" ht="15.75" customHeight="1" x14ac:dyDescent="0.25">
      <c r="B470" s="11"/>
      <c r="K470" s="9"/>
      <c r="L470" s="71"/>
    </row>
    <row r="471" spans="2:12" ht="15.75" customHeight="1" x14ac:dyDescent="0.25">
      <c r="B471" s="11"/>
      <c r="K471" s="9"/>
      <c r="L471" s="71"/>
    </row>
    <row r="472" spans="2:12" ht="15.75" customHeight="1" x14ac:dyDescent="0.25">
      <c r="B472" s="11"/>
      <c r="K472" s="9"/>
      <c r="L472" s="71"/>
    </row>
    <row r="473" spans="2:12" ht="15.75" customHeight="1" x14ac:dyDescent="0.25">
      <c r="B473" s="11"/>
      <c r="K473" s="9"/>
      <c r="L473" s="71"/>
    </row>
    <row r="474" spans="2:12" ht="15.75" customHeight="1" x14ac:dyDescent="0.25">
      <c r="B474" s="11"/>
      <c r="K474" s="9"/>
      <c r="L474" s="71"/>
    </row>
    <row r="475" spans="2:12" ht="15.75" customHeight="1" x14ac:dyDescent="0.25">
      <c r="B475" s="11"/>
      <c r="K475" s="9"/>
      <c r="L475" s="71"/>
    </row>
    <row r="476" spans="2:12" ht="15.75" customHeight="1" x14ac:dyDescent="0.25">
      <c r="B476" s="11"/>
      <c r="K476" s="9"/>
      <c r="L476" s="71"/>
    </row>
    <row r="477" spans="2:12" ht="15.75" customHeight="1" x14ac:dyDescent="0.25">
      <c r="B477" s="11"/>
      <c r="K477" s="9"/>
      <c r="L477" s="71"/>
    </row>
    <row r="478" spans="2:12" ht="15.75" customHeight="1" x14ac:dyDescent="0.25">
      <c r="B478" s="11"/>
      <c r="K478" s="9"/>
      <c r="L478" s="71"/>
    </row>
    <row r="479" spans="2:12" ht="15.75" customHeight="1" x14ac:dyDescent="0.25">
      <c r="B479" s="11"/>
      <c r="K479" s="9"/>
      <c r="L479" s="71"/>
    </row>
    <row r="480" spans="2:12" ht="15.75" customHeight="1" x14ac:dyDescent="0.25">
      <c r="B480" s="11"/>
      <c r="K480" s="9"/>
      <c r="L480" s="71"/>
    </row>
    <row r="481" spans="2:12" ht="15.75" customHeight="1" x14ac:dyDescent="0.25">
      <c r="B481" s="11"/>
      <c r="K481" s="9"/>
      <c r="L481" s="71"/>
    </row>
    <row r="482" spans="2:12" ht="15.75" customHeight="1" x14ac:dyDescent="0.25">
      <c r="B482" s="11"/>
      <c r="K482" s="9"/>
      <c r="L482" s="71"/>
    </row>
    <row r="483" spans="2:12" ht="15.75" customHeight="1" x14ac:dyDescent="0.25">
      <c r="B483" s="11"/>
      <c r="K483" s="9"/>
      <c r="L483" s="71"/>
    </row>
    <row r="484" spans="2:12" ht="15.75" customHeight="1" x14ac:dyDescent="0.25">
      <c r="B484" s="11"/>
      <c r="K484" s="9"/>
      <c r="L484" s="71"/>
    </row>
    <row r="485" spans="2:12" ht="15.75" customHeight="1" x14ac:dyDescent="0.25">
      <c r="B485" s="11"/>
      <c r="K485" s="9"/>
      <c r="L485" s="71"/>
    </row>
    <row r="486" spans="2:12" ht="15.75" customHeight="1" x14ac:dyDescent="0.25">
      <c r="B486" s="11"/>
      <c r="K486" s="9"/>
      <c r="L486" s="71"/>
    </row>
    <row r="487" spans="2:12" ht="15.75" customHeight="1" x14ac:dyDescent="0.25">
      <c r="B487" s="11"/>
      <c r="K487" s="9"/>
      <c r="L487" s="71"/>
    </row>
    <row r="488" spans="2:12" ht="15.75" customHeight="1" x14ac:dyDescent="0.25">
      <c r="B488" s="11"/>
      <c r="K488" s="9"/>
      <c r="L488" s="71"/>
    </row>
    <row r="489" spans="2:12" ht="15.75" customHeight="1" x14ac:dyDescent="0.25">
      <c r="B489" s="11"/>
      <c r="K489" s="9"/>
      <c r="L489" s="71"/>
    </row>
    <row r="490" spans="2:12" ht="15.75" customHeight="1" x14ac:dyDescent="0.25">
      <c r="B490" s="11"/>
      <c r="K490" s="9"/>
      <c r="L490" s="71"/>
    </row>
    <row r="491" spans="2:12" ht="15.75" customHeight="1" x14ac:dyDescent="0.25">
      <c r="B491" s="11"/>
      <c r="K491" s="9"/>
      <c r="L491" s="71"/>
    </row>
    <row r="492" spans="2:12" ht="15.75" customHeight="1" x14ac:dyDescent="0.25">
      <c r="B492" s="11"/>
      <c r="K492" s="9"/>
      <c r="L492" s="71"/>
    </row>
    <row r="493" spans="2:12" ht="15.75" customHeight="1" x14ac:dyDescent="0.25">
      <c r="B493" s="11"/>
      <c r="K493" s="9"/>
      <c r="L493" s="71"/>
    </row>
    <row r="494" spans="2:12" ht="15.75" customHeight="1" x14ac:dyDescent="0.25">
      <c r="B494" s="11"/>
      <c r="K494" s="9"/>
      <c r="L494" s="71"/>
    </row>
    <row r="495" spans="2:12" ht="15.75" customHeight="1" x14ac:dyDescent="0.25">
      <c r="B495" s="11"/>
      <c r="K495" s="9"/>
      <c r="L495" s="71"/>
    </row>
    <row r="496" spans="2:12" ht="15.75" customHeight="1" x14ac:dyDescent="0.25">
      <c r="B496" s="11"/>
      <c r="K496" s="9"/>
      <c r="L496" s="71"/>
    </row>
    <row r="497" spans="2:12" ht="15.75" customHeight="1" x14ac:dyDescent="0.25">
      <c r="B497" s="11"/>
      <c r="K497" s="9"/>
      <c r="L497" s="71"/>
    </row>
    <row r="498" spans="2:12" ht="15.75" customHeight="1" x14ac:dyDescent="0.25">
      <c r="B498" s="11"/>
      <c r="K498" s="9"/>
      <c r="L498" s="71"/>
    </row>
    <row r="499" spans="2:12" ht="15.75" customHeight="1" x14ac:dyDescent="0.25">
      <c r="B499" s="11"/>
      <c r="K499" s="9"/>
      <c r="L499" s="71"/>
    </row>
    <row r="500" spans="2:12" ht="15.75" customHeight="1" x14ac:dyDescent="0.25">
      <c r="B500" s="11"/>
      <c r="K500" s="9"/>
      <c r="L500" s="71"/>
    </row>
    <row r="501" spans="2:12" ht="15.75" customHeight="1" x14ac:dyDescent="0.25">
      <c r="B501" s="11"/>
      <c r="K501" s="9"/>
      <c r="L501" s="71"/>
    </row>
    <row r="502" spans="2:12" ht="15.75" customHeight="1" x14ac:dyDescent="0.25">
      <c r="B502" s="11"/>
      <c r="K502" s="9"/>
      <c r="L502" s="71"/>
    </row>
    <row r="503" spans="2:12" ht="15.75" customHeight="1" x14ac:dyDescent="0.25">
      <c r="B503" s="11"/>
      <c r="K503" s="9"/>
      <c r="L503" s="71"/>
    </row>
    <row r="504" spans="2:12" ht="15.75" customHeight="1" x14ac:dyDescent="0.25">
      <c r="B504" s="11"/>
      <c r="K504" s="9"/>
      <c r="L504" s="71"/>
    </row>
    <row r="505" spans="2:12" ht="15.75" customHeight="1" x14ac:dyDescent="0.25">
      <c r="B505" s="11"/>
      <c r="K505" s="9"/>
      <c r="L505" s="71"/>
    </row>
    <row r="506" spans="2:12" ht="15.75" customHeight="1" x14ac:dyDescent="0.25">
      <c r="B506" s="11"/>
      <c r="K506" s="9"/>
      <c r="L506" s="71"/>
    </row>
    <row r="507" spans="2:12" ht="15.75" customHeight="1" x14ac:dyDescent="0.25">
      <c r="B507" s="11"/>
      <c r="K507" s="9"/>
      <c r="L507" s="71"/>
    </row>
    <row r="508" spans="2:12" ht="15.75" customHeight="1" x14ac:dyDescent="0.25">
      <c r="B508" s="11"/>
      <c r="K508" s="9"/>
      <c r="L508" s="71"/>
    </row>
    <row r="509" spans="2:12" ht="15.75" customHeight="1" x14ac:dyDescent="0.25">
      <c r="B509" s="11"/>
      <c r="K509" s="9"/>
      <c r="L509" s="71"/>
    </row>
    <row r="510" spans="2:12" ht="15.75" customHeight="1" x14ac:dyDescent="0.25">
      <c r="B510" s="11"/>
      <c r="K510" s="9"/>
      <c r="L510" s="71"/>
    </row>
    <row r="511" spans="2:12" ht="15.75" customHeight="1" x14ac:dyDescent="0.25">
      <c r="B511" s="11"/>
      <c r="K511" s="9"/>
      <c r="L511" s="71"/>
    </row>
    <row r="512" spans="2:12" ht="15.75" customHeight="1" x14ac:dyDescent="0.25">
      <c r="B512" s="11"/>
      <c r="K512" s="9"/>
      <c r="L512" s="71"/>
    </row>
    <row r="513" spans="2:12" ht="15.75" customHeight="1" x14ac:dyDescent="0.25">
      <c r="B513" s="11"/>
      <c r="K513" s="9"/>
      <c r="L513" s="71"/>
    </row>
    <row r="514" spans="2:12" ht="15.75" customHeight="1" x14ac:dyDescent="0.25">
      <c r="B514" s="11"/>
      <c r="K514" s="9"/>
      <c r="L514" s="71"/>
    </row>
    <row r="515" spans="2:12" ht="15.75" customHeight="1" x14ac:dyDescent="0.25">
      <c r="B515" s="11"/>
      <c r="K515" s="9"/>
      <c r="L515" s="71"/>
    </row>
    <row r="516" spans="2:12" ht="15.75" customHeight="1" x14ac:dyDescent="0.25">
      <c r="B516" s="11"/>
      <c r="K516" s="9"/>
      <c r="L516" s="71"/>
    </row>
    <row r="517" spans="2:12" ht="15.75" customHeight="1" x14ac:dyDescent="0.25">
      <c r="B517" s="11"/>
      <c r="K517" s="9"/>
      <c r="L517" s="71"/>
    </row>
    <row r="518" spans="2:12" ht="15.75" customHeight="1" x14ac:dyDescent="0.25">
      <c r="B518" s="11"/>
      <c r="K518" s="9"/>
      <c r="L518" s="71"/>
    </row>
    <row r="519" spans="2:12" ht="15.75" customHeight="1" x14ac:dyDescent="0.25">
      <c r="B519" s="11"/>
      <c r="K519" s="9"/>
      <c r="L519" s="71"/>
    </row>
    <row r="520" spans="2:12" ht="15.75" customHeight="1" x14ac:dyDescent="0.25">
      <c r="B520" s="11"/>
      <c r="K520" s="9"/>
      <c r="L520" s="71"/>
    </row>
    <row r="521" spans="2:12" ht="15.75" customHeight="1" x14ac:dyDescent="0.25">
      <c r="B521" s="11"/>
      <c r="K521" s="9"/>
      <c r="L521" s="71"/>
    </row>
    <row r="522" spans="2:12" ht="15.75" customHeight="1" x14ac:dyDescent="0.25">
      <c r="B522" s="11"/>
      <c r="K522" s="9"/>
      <c r="L522" s="71"/>
    </row>
    <row r="523" spans="2:12" ht="15.75" customHeight="1" x14ac:dyDescent="0.25">
      <c r="B523" s="11"/>
      <c r="K523" s="9"/>
      <c r="L523" s="71"/>
    </row>
    <row r="524" spans="2:12" ht="15.75" customHeight="1" x14ac:dyDescent="0.25">
      <c r="B524" s="11"/>
      <c r="K524" s="9"/>
      <c r="L524" s="71"/>
    </row>
    <row r="525" spans="2:12" ht="15.75" customHeight="1" x14ac:dyDescent="0.25">
      <c r="B525" s="11"/>
      <c r="K525" s="9"/>
      <c r="L525" s="71"/>
    </row>
    <row r="526" spans="2:12" ht="15.75" customHeight="1" x14ac:dyDescent="0.25">
      <c r="B526" s="11"/>
      <c r="K526" s="9"/>
      <c r="L526" s="71"/>
    </row>
    <row r="527" spans="2:12" ht="15.75" customHeight="1" x14ac:dyDescent="0.25">
      <c r="B527" s="11"/>
      <c r="K527" s="9"/>
      <c r="L527" s="71"/>
    </row>
    <row r="528" spans="2:12" ht="15.75" customHeight="1" x14ac:dyDescent="0.25">
      <c r="B528" s="11"/>
      <c r="K528" s="9"/>
      <c r="L528" s="71"/>
    </row>
    <row r="529" spans="2:12" ht="15.75" customHeight="1" x14ac:dyDescent="0.25">
      <c r="B529" s="11"/>
      <c r="K529" s="9"/>
      <c r="L529" s="71"/>
    </row>
    <row r="530" spans="2:12" ht="15.75" customHeight="1" x14ac:dyDescent="0.25">
      <c r="B530" s="11"/>
      <c r="K530" s="9"/>
      <c r="L530" s="71"/>
    </row>
    <row r="531" spans="2:12" ht="15.75" customHeight="1" x14ac:dyDescent="0.25">
      <c r="B531" s="11"/>
      <c r="K531" s="9"/>
      <c r="L531" s="71"/>
    </row>
    <row r="532" spans="2:12" ht="15.75" customHeight="1" x14ac:dyDescent="0.25">
      <c r="B532" s="11"/>
      <c r="K532" s="9"/>
      <c r="L532" s="71"/>
    </row>
    <row r="533" spans="2:12" ht="15.75" customHeight="1" x14ac:dyDescent="0.25">
      <c r="B533" s="11"/>
      <c r="K533" s="9"/>
      <c r="L533" s="71"/>
    </row>
    <row r="534" spans="2:12" ht="15.75" customHeight="1" x14ac:dyDescent="0.25">
      <c r="B534" s="11"/>
      <c r="K534" s="9"/>
      <c r="L534" s="71"/>
    </row>
    <row r="535" spans="2:12" ht="15.75" customHeight="1" x14ac:dyDescent="0.25">
      <c r="B535" s="11"/>
      <c r="K535" s="9"/>
      <c r="L535" s="71"/>
    </row>
    <row r="536" spans="2:12" ht="15.75" customHeight="1" x14ac:dyDescent="0.25">
      <c r="B536" s="11"/>
      <c r="K536" s="9"/>
      <c r="L536" s="71"/>
    </row>
    <row r="537" spans="2:12" ht="15.75" customHeight="1" x14ac:dyDescent="0.25">
      <c r="B537" s="11"/>
      <c r="K537" s="9"/>
      <c r="L537" s="71"/>
    </row>
    <row r="538" spans="2:12" ht="15.75" customHeight="1" x14ac:dyDescent="0.25">
      <c r="B538" s="11"/>
      <c r="K538" s="9"/>
      <c r="L538" s="71"/>
    </row>
    <row r="539" spans="2:12" ht="15.75" customHeight="1" x14ac:dyDescent="0.25">
      <c r="B539" s="11"/>
      <c r="K539" s="9"/>
      <c r="L539" s="71"/>
    </row>
    <row r="540" spans="2:12" ht="15.75" customHeight="1" x14ac:dyDescent="0.25">
      <c r="B540" s="11"/>
      <c r="K540" s="9"/>
      <c r="L540" s="71"/>
    </row>
    <row r="541" spans="2:12" ht="15.75" customHeight="1" x14ac:dyDescent="0.25">
      <c r="B541" s="11"/>
      <c r="K541" s="9"/>
      <c r="L541" s="71"/>
    </row>
    <row r="542" spans="2:12" ht="15.75" customHeight="1" x14ac:dyDescent="0.25">
      <c r="B542" s="11"/>
      <c r="K542" s="9"/>
      <c r="L542" s="71"/>
    </row>
    <row r="543" spans="2:12" ht="15.75" customHeight="1" x14ac:dyDescent="0.25">
      <c r="B543" s="11"/>
      <c r="K543" s="9"/>
      <c r="L543" s="71"/>
    </row>
    <row r="544" spans="2:12" ht="15.75" customHeight="1" x14ac:dyDescent="0.25">
      <c r="B544" s="11"/>
      <c r="K544" s="9"/>
      <c r="L544" s="71"/>
    </row>
    <row r="545" spans="2:12" ht="15.75" customHeight="1" x14ac:dyDescent="0.25">
      <c r="B545" s="11"/>
      <c r="K545" s="9"/>
      <c r="L545" s="71"/>
    </row>
    <row r="546" spans="2:12" ht="15.75" customHeight="1" x14ac:dyDescent="0.25">
      <c r="B546" s="11"/>
      <c r="K546" s="9"/>
      <c r="L546" s="71"/>
    </row>
    <row r="547" spans="2:12" ht="15.75" customHeight="1" x14ac:dyDescent="0.25">
      <c r="B547" s="11"/>
      <c r="K547" s="9"/>
      <c r="L547" s="71"/>
    </row>
    <row r="548" spans="2:12" ht="15.75" customHeight="1" x14ac:dyDescent="0.25">
      <c r="B548" s="11"/>
      <c r="K548" s="9"/>
      <c r="L548" s="71"/>
    </row>
    <row r="549" spans="2:12" ht="15.75" customHeight="1" x14ac:dyDescent="0.25">
      <c r="B549" s="11"/>
      <c r="K549" s="9"/>
      <c r="L549" s="71"/>
    </row>
    <row r="550" spans="2:12" ht="15.75" customHeight="1" x14ac:dyDescent="0.25">
      <c r="B550" s="11"/>
      <c r="K550" s="9"/>
      <c r="L550" s="71"/>
    </row>
    <row r="551" spans="2:12" ht="15.75" customHeight="1" x14ac:dyDescent="0.25">
      <c r="B551" s="11"/>
      <c r="K551" s="9"/>
      <c r="L551" s="71"/>
    </row>
    <row r="552" spans="2:12" ht="15.75" customHeight="1" x14ac:dyDescent="0.25">
      <c r="B552" s="11"/>
      <c r="K552" s="9"/>
      <c r="L552" s="71"/>
    </row>
    <row r="553" spans="2:12" ht="15.75" customHeight="1" x14ac:dyDescent="0.25">
      <c r="B553" s="11"/>
      <c r="K553" s="9"/>
      <c r="L553" s="71"/>
    </row>
    <row r="554" spans="2:12" ht="15.75" customHeight="1" x14ac:dyDescent="0.25">
      <c r="B554" s="11"/>
      <c r="K554" s="9"/>
      <c r="L554" s="71"/>
    </row>
    <row r="555" spans="2:12" ht="15.75" customHeight="1" x14ac:dyDescent="0.25">
      <c r="B555" s="11"/>
      <c r="K555" s="9"/>
      <c r="L555" s="71"/>
    </row>
    <row r="556" spans="2:12" ht="15.75" customHeight="1" x14ac:dyDescent="0.25">
      <c r="B556" s="11"/>
      <c r="K556" s="9"/>
      <c r="L556" s="71"/>
    </row>
    <row r="557" spans="2:12" ht="15.75" customHeight="1" x14ac:dyDescent="0.25">
      <c r="B557" s="11"/>
      <c r="K557" s="9"/>
      <c r="L557" s="71"/>
    </row>
    <row r="558" spans="2:12" ht="15.75" customHeight="1" x14ac:dyDescent="0.25">
      <c r="B558" s="11"/>
      <c r="K558" s="9"/>
      <c r="L558" s="71"/>
    </row>
    <row r="559" spans="2:12" ht="15.75" customHeight="1" x14ac:dyDescent="0.25">
      <c r="B559" s="11"/>
      <c r="K559" s="9"/>
      <c r="L559" s="71"/>
    </row>
    <row r="560" spans="2:12" ht="15.75" customHeight="1" x14ac:dyDescent="0.25">
      <c r="B560" s="11"/>
      <c r="K560" s="9"/>
      <c r="L560" s="71"/>
    </row>
    <row r="561" spans="2:12" ht="15.75" customHeight="1" x14ac:dyDescent="0.25">
      <c r="B561" s="11"/>
      <c r="K561" s="9"/>
      <c r="L561" s="71"/>
    </row>
    <row r="562" spans="2:12" ht="15.75" customHeight="1" x14ac:dyDescent="0.25">
      <c r="B562" s="11"/>
      <c r="K562" s="9"/>
      <c r="L562" s="71"/>
    </row>
    <row r="563" spans="2:12" ht="15.75" customHeight="1" x14ac:dyDescent="0.25">
      <c r="B563" s="11"/>
      <c r="K563" s="9"/>
      <c r="L563" s="71"/>
    </row>
    <row r="564" spans="2:12" ht="15.75" customHeight="1" x14ac:dyDescent="0.25">
      <c r="B564" s="11"/>
      <c r="K564" s="9"/>
      <c r="L564" s="71"/>
    </row>
    <row r="565" spans="2:12" ht="15.75" customHeight="1" x14ac:dyDescent="0.25">
      <c r="B565" s="11"/>
      <c r="K565" s="9"/>
      <c r="L565" s="71"/>
    </row>
    <row r="566" spans="2:12" ht="15.75" customHeight="1" x14ac:dyDescent="0.25">
      <c r="B566" s="11"/>
      <c r="K566" s="9"/>
      <c r="L566" s="71"/>
    </row>
    <row r="567" spans="2:12" ht="15.75" customHeight="1" x14ac:dyDescent="0.25">
      <c r="B567" s="11"/>
      <c r="K567" s="9"/>
      <c r="L567" s="71"/>
    </row>
    <row r="568" spans="2:12" ht="15.75" customHeight="1" x14ac:dyDescent="0.25">
      <c r="B568" s="11"/>
      <c r="K568" s="9"/>
      <c r="L568" s="71"/>
    </row>
    <row r="569" spans="2:12" ht="15.75" customHeight="1" x14ac:dyDescent="0.25">
      <c r="B569" s="11"/>
      <c r="K569" s="9"/>
      <c r="L569" s="71"/>
    </row>
    <row r="570" spans="2:12" ht="15.75" customHeight="1" x14ac:dyDescent="0.25">
      <c r="B570" s="11"/>
      <c r="K570" s="9"/>
      <c r="L570" s="71"/>
    </row>
    <row r="571" spans="2:12" ht="15.75" customHeight="1" x14ac:dyDescent="0.25">
      <c r="B571" s="11"/>
      <c r="K571" s="9"/>
      <c r="L571" s="71"/>
    </row>
    <row r="572" spans="2:12" ht="15.75" customHeight="1" x14ac:dyDescent="0.25">
      <c r="B572" s="11"/>
      <c r="K572" s="9"/>
      <c r="L572" s="71"/>
    </row>
    <row r="573" spans="2:12" ht="15.75" customHeight="1" x14ac:dyDescent="0.25">
      <c r="B573" s="11"/>
      <c r="K573" s="9"/>
      <c r="L573" s="71"/>
    </row>
    <row r="574" spans="2:12" ht="15.75" customHeight="1" x14ac:dyDescent="0.25">
      <c r="B574" s="11"/>
      <c r="K574" s="9"/>
      <c r="L574" s="71"/>
    </row>
    <row r="575" spans="2:12" ht="15.75" customHeight="1" x14ac:dyDescent="0.25">
      <c r="B575" s="11"/>
      <c r="K575" s="9"/>
      <c r="L575" s="71"/>
    </row>
    <row r="576" spans="2:12" ht="15.75" customHeight="1" x14ac:dyDescent="0.25">
      <c r="B576" s="11"/>
      <c r="K576" s="9"/>
      <c r="L576" s="71"/>
    </row>
    <row r="577" spans="2:12" ht="15.75" customHeight="1" x14ac:dyDescent="0.25">
      <c r="B577" s="11"/>
      <c r="K577" s="9"/>
      <c r="L577" s="71"/>
    </row>
    <row r="578" spans="2:12" ht="15.75" customHeight="1" x14ac:dyDescent="0.25">
      <c r="B578" s="11"/>
      <c r="K578" s="9"/>
      <c r="L578" s="71"/>
    </row>
    <row r="579" spans="2:12" ht="15.75" customHeight="1" x14ac:dyDescent="0.25">
      <c r="B579" s="11"/>
      <c r="K579" s="9"/>
      <c r="L579" s="71"/>
    </row>
    <row r="580" spans="2:12" ht="15.75" customHeight="1" x14ac:dyDescent="0.25">
      <c r="B580" s="11"/>
      <c r="K580" s="9"/>
      <c r="L580" s="71"/>
    </row>
    <row r="581" spans="2:12" ht="15.75" customHeight="1" x14ac:dyDescent="0.25">
      <c r="B581" s="11"/>
      <c r="K581" s="9"/>
      <c r="L581" s="71"/>
    </row>
    <row r="582" spans="2:12" ht="15.75" customHeight="1" x14ac:dyDescent="0.25">
      <c r="B582" s="11"/>
      <c r="K582" s="9"/>
      <c r="L582" s="71"/>
    </row>
    <row r="583" spans="2:12" ht="15.75" customHeight="1" x14ac:dyDescent="0.25">
      <c r="B583" s="11"/>
      <c r="K583" s="9"/>
      <c r="L583" s="71"/>
    </row>
    <row r="584" spans="2:12" ht="15.75" customHeight="1" x14ac:dyDescent="0.25">
      <c r="B584" s="11"/>
      <c r="K584" s="9"/>
      <c r="L584" s="71"/>
    </row>
    <row r="585" spans="2:12" ht="15.75" customHeight="1" x14ac:dyDescent="0.25">
      <c r="B585" s="11"/>
      <c r="K585" s="9"/>
      <c r="L585" s="71"/>
    </row>
    <row r="586" spans="2:12" ht="15.75" customHeight="1" x14ac:dyDescent="0.25">
      <c r="B586" s="11"/>
      <c r="K586" s="9"/>
      <c r="L586" s="71"/>
    </row>
    <row r="587" spans="2:12" ht="15.75" customHeight="1" x14ac:dyDescent="0.25">
      <c r="B587" s="11"/>
      <c r="K587" s="9"/>
      <c r="L587" s="71"/>
    </row>
    <row r="588" spans="2:12" ht="15.75" customHeight="1" x14ac:dyDescent="0.25">
      <c r="B588" s="11"/>
      <c r="K588" s="9"/>
      <c r="L588" s="71"/>
    </row>
    <row r="589" spans="2:12" ht="15.75" customHeight="1" x14ac:dyDescent="0.25">
      <c r="B589" s="11"/>
      <c r="K589" s="9"/>
      <c r="L589" s="71"/>
    </row>
    <row r="590" spans="2:12" ht="15.75" customHeight="1" x14ac:dyDescent="0.25">
      <c r="B590" s="11"/>
      <c r="K590" s="9"/>
      <c r="L590" s="71"/>
    </row>
    <row r="591" spans="2:12" ht="15.75" customHeight="1" x14ac:dyDescent="0.25">
      <c r="B591" s="11"/>
      <c r="K591" s="9"/>
      <c r="L591" s="71"/>
    </row>
    <row r="592" spans="2:12" ht="15.75" customHeight="1" x14ac:dyDescent="0.25">
      <c r="B592" s="11"/>
      <c r="K592" s="9"/>
      <c r="L592" s="71"/>
    </row>
    <row r="593" spans="2:12" ht="15.75" customHeight="1" x14ac:dyDescent="0.25">
      <c r="B593" s="11"/>
      <c r="K593" s="9"/>
      <c r="L593" s="71"/>
    </row>
    <row r="594" spans="2:12" ht="15.75" customHeight="1" x14ac:dyDescent="0.25">
      <c r="B594" s="11"/>
      <c r="K594" s="9"/>
      <c r="L594" s="71"/>
    </row>
    <row r="595" spans="2:12" ht="15.75" customHeight="1" x14ac:dyDescent="0.25">
      <c r="B595" s="11"/>
      <c r="K595" s="9"/>
      <c r="L595" s="71"/>
    </row>
    <row r="596" spans="2:12" ht="15.75" customHeight="1" x14ac:dyDescent="0.25">
      <c r="B596" s="11"/>
      <c r="K596" s="9"/>
      <c r="L596" s="71"/>
    </row>
    <row r="597" spans="2:12" ht="15.75" customHeight="1" x14ac:dyDescent="0.25">
      <c r="B597" s="11"/>
      <c r="K597" s="9"/>
      <c r="L597" s="71"/>
    </row>
    <row r="598" spans="2:12" ht="15.75" customHeight="1" x14ac:dyDescent="0.25">
      <c r="B598" s="11"/>
      <c r="K598" s="9"/>
      <c r="L598" s="71"/>
    </row>
    <row r="599" spans="2:12" ht="15.75" customHeight="1" x14ac:dyDescent="0.25">
      <c r="B599" s="11"/>
      <c r="K599" s="9"/>
      <c r="L599" s="71"/>
    </row>
    <row r="600" spans="2:12" ht="15.75" customHeight="1" x14ac:dyDescent="0.25">
      <c r="B600" s="11"/>
      <c r="K600" s="9"/>
      <c r="L600" s="71"/>
    </row>
    <row r="601" spans="2:12" ht="15.75" customHeight="1" x14ac:dyDescent="0.25">
      <c r="B601" s="11"/>
      <c r="K601" s="9"/>
      <c r="L601" s="71"/>
    </row>
    <row r="602" spans="2:12" ht="15.75" customHeight="1" x14ac:dyDescent="0.25">
      <c r="B602" s="11"/>
      <c r="K602" s="9"/>
      <c r="L602" s="71"/>
    </row>
    <row r="603" spans="2:12" ht="15.75" customHeight="1" x14ac:dyDescent="0.25">
      <c r="B603" s="11"/>
      <c r="K603" s="9"/>
      <c r="L603" s="71"/>
    </row>
    <row r="604" spans="2:12" ht="15.75" customHeight="1" x14ac:dyDescent="0.25">
      <c r="B604" s="11"/>
      <c r="K604" s="9"/>
      <c r="L604" s="71"/>
    </row>
    <row r="605" spans="2:12" ht="15.75" customHeight="1" x14ac:dyDescent="0.25">
      <c r="B605" s="11"/>
      <c r="K605" s="9"/>
      <c r="L605" s="71"/>
    </row>
    <row r="606" spans="2:12" ht="15.75" customHeight="1" x14ac:dyDescent="0.25">
      <c r="B606" s="11"/>
      <c r="K606" s="9"/>
      <c r="L606" s="71"/>
    </row>
    <row r="607" spans="2:12" ht="15.75" customHeight="1" x14ac:dyDescent="0.25">
      <c r="B607" s="11"/>
      <c r="K607" s="9"/>
      <c r="L607" s="71"/>
    </row>
    <row r="608" spans="2:12" ht="15.75" customHeight="1" x14ac:dyDescent="0.25">
      <c r="B608" s="11"/>
      <c r="K608" s="9"/>
      <c r="L608" s="71"/>
    </row>
    <row r="609" spans="2:12" ht="15.75" customHeight="1" x14ac:dyDescent="0.25">
      <c r="B609" s="11"/>
      <c r="K609" s="9"/>
      <c r="L609" s="71"/>
    </row>
    <row r="610" spans="2:12" ht="15.75" customHeight="1" x14ac:dyDescent="0.25">
      <c r="B610" s="11"/>
      <c r="K610" s="9"/>
      <c r="L610" s="71"/>
    </row>
    <row r="611" spans="2:12" ht="15.75" customHeight="1" x14ac:dyDescent="0.25">
      <c r="B611" s="11"/>
      <c r="K611" s="9"/>
      <c r="L611" s="71"/>
    </row>
    <row r="612" spans="2:12" ht="15.75" customHeight="1" x14ac:dyDescent="0.25">
      <c r="B612" s="11"/>
      <c r="K612" s="9"/>
      <c r="L612" s="71"/>
    </row>
    <row r="613" spans="2:12" ht="15.75" customHeight="1" x14ac:dyDescent="0.25">
      <c r="B613" s="11"/>
      <c r="K613" s="9"/>
      <c r="L613" s="71"/>
    </row>
    <row r="614" spans="2:12" ht="15.75" customHeight="1" x14ac:dyDescent="0.25">
      <c r="B614" s="11"/>
      <c r="K614" s="9"/>
      <c r="L614" s="71"/>
    </row>
    <row r="615" spans="2:12" ht="15.75" customHeight="1" x14ac:dyDescent="0.25">
      <c r="B615" s="11"/>
      <c r="K615" s="9"/>
      <c r="L615" s="71"/>
    </row>
    <row r="616" spans="2:12" ht="15.75" customHeight="1" x14ac:dyDescent="0.25">
      <c r="B616" s="11"/>
      <c r="K616" s="9"/>
      <c r="L616" s="71"/>
    </row>
    <row r="617" spans="2:12" ht="15.75" customHeight="1" x14ac:dyDescent="0.25">
      <c r="B617" s="11"/>
      <c r="K617" s="9"/>
      <c r="L617" s="71"/>
    </row>
    <row r="618" spans="2:12" ht="15.75" customHeight="1" x14ac:dyDescent="0.25">
      <c r="B618" s="11"/>
      <c r="K618" s="9"/>
      <c r="L618" s="71"/>
    </row>
    <row r="619" spans="2:12" ht="15.75" customHeight="1" x14ac:dyDescent="0.25">
      <c r="B619" s="11"/>
      <c r="K619" s="9"/>
      <c r="L619" s="71"/>
    </row>
    <row r="620" spans="2:12" ht="15.75" customHeight="1" x14ac:dyDescent="0.25">
      <c r="B620" s="11"/>
      <c r="K620" s="9"/>
      <c r="L620" s="71"/>
    </row>
    <row r="621" spans="2:12" ht="15.75" customHeight="1" x14ac:dyDescent="0.25">
      <c r="B621" s="11"/>
      <c r="K621" s="9"/>
      <c r="L621" s="71"/>
    </row>
    <row r="622" spans="2:12" ht="15.75" customHeight="1" x14ac:dyDescent="0.25">
      <c r="B622" s="11"/>
      <c r="K622" s="9"/>
      <c r="L622" s="71"/>
    </row>
    <row r="623" spans="2:12" ht="15.75" customHeight="1" x14ac:dyDescent="0.25">
      <c r="B623" s="11"/>
      <c r="K623" s="9"/>
      <c r="L623" s="71"/>
    </row>
    <row r="624" spans="2:12" ht="15.75" customHeight="1" x14ac:dyDescent="0.25">
      <c r="B624" s="11"/>
      <c r="K624" s="9"/>
      <c r="L624" s="71"/>
    </row>
    <row r="625" spans="2:12" ht="15.75" customHeight="1" x14ac:dyDescent="0.25">
      <c r="B625" s="11"/>
      <c r="K625" s="9"/>
      <c r="L625" s="71"/>
    </row>
    <row r="626" spans="2:12" ht="15.75" customHeight="1" x14ac:dyDescent="0.25">
      <c r="B626" s="11"/>
      <c r="K626" s="9"/>
      <c r="L626" s="71"/>
    </row>
    <row r="627" spans="2:12" ht="15.75" customHeight="1" x14ac:dyDescent="0.25">
      <c r="B627" s="11"/>
      <c r="K627" s="9"/>
      <c r="L627" s="71"/>
    </row>
    <row r="628" spans="2:12" ht="15.75" customHeight="1" x14ac:dyDescent="0.25">
      <c r="B628" s="11"/>
      <c r="K628" s="9"/>
      <c r="L628" s="71"/>
    </row>
    <row r="629" spans="2:12" ht="15.75" customHeight="1" x14ac:dyDescent="0.25">
      <c r="B629" s="11"/>
      <c r="K629" s="9"/>
      <c r="L629" s="71"/>
    </row>
    <row r="630" spans="2:12" ht="15.75" customHeight="1" x14ac:dyDescent="0.25">
      <c r="B630" s="11"/>
      <c r="K630" s="9"/>
      <c r="L630" s="71"/>
    </row>
    <row r="631" spans="2:12" ht="15.75" customHeight="1" x14ac:dyDescent="0.25">
      <c r="B631" s="11"/>
      <c r="K631" s="9"/>
      <c r="L631" s="71"/>
    </row>
    <row r="632" spans="2:12" ht="15.75" customHeight="1" x14ac:dyDescent="0.25">
      <c r="B632" s="11"/>
      <c r="K632" s="9"/>
      <c r="L632" s="71"/>
    </row>
    <row r="633" spans="2:12" ht="15.75" customHeight="1" x14ac:dyDescent="0.25">
      <c r="B633" s="11"/>
      <c r="K633" s="9"/>
      <c r="L633" s="71"/>
    </row>
    <row r="634" spans="2:12" ht="15.75" customHeight="1" x14ac:dyDescent="0.25">
      <c r="B634" s="11"/>
      <c r="K634" s="9"/>
      <c r="L634" s="71"/>
    </row>
    <row r="635" spans="2:12" ht="15.75" customHeight="1" x14ac:dyDescent="0.25">
      <c r="B635" s="11"/>
      <c r="K635" s="9"/>
      <c r="L635" s="71"/>
    </row>
    <row r="636" spans="2:12" ht="15.75" customHeight="1" x14ac:dyDescent="0.25">
      <c r="B636" s="11"/>
      <c r="K636" s="9"/>
      <c r="L636" s="71"/>
    </row>
    <row r="637" spans="2:12" ht="15.75" customHeight="1" x14ac:dyDescent="0.25">
      <c r="B637" s="11"/>
      <c r="K637" s="9"/>
      <c r="L637" s="71"/>
    </row>
    <row r="638" spans="2:12" ht="15.75" customHeight="1" x14ac:dyDescent="0.25">
      <c r="B638" s="11"/>
      <c r="K638" s="9"/>
      <c r="L638" s="71"/>
    </row>
    <row r="639" spans="2:12" ht="15.75" customHeight="1" x14ac:dyDescent="0.25">
      <c r="B639" s="11"/>
      <c r="K639" s="9"/>
      <c r="L639" s="71"/>
    </row>
    <row r="640" spans="2:12" ht="15.75" customHeight="1" x14ac:dyDescent="0.25">
      <c r="B640" s="11"/>
      <c r="K640" s="9"/>
      <c r="L640" s="71"/>
    </row>
    <row r="641" spans="2:12" ht="15.75" customHeight="1" x14ac:dyDescent="0.25">
      <c r="B641" s="11"/>
      <c r="K641" s="9"/>
      <c r="L641" s="71"/>
    </row>
    <row r="642" spans="2:12" ht="15.75" customHeight="1" x14ac:dyDescent="0.25">
      <c r="B642" s="11"/>
      <c r="K642" s="9"/>
      <c r="L642" s="71"/>
    </row>
    <row r="643" spans="2:12" ht="15.75" customHeight="1" x14ac:dyDescent="0.25">
      <c r="B643" s="11"/>
      <c r="K643" s="9"/>
      <c r="L643" s="71"/>
    </row>
    <row r="644" spans="2:12" ht="15.75" customHeight="1" x14ac:dyDescent="0.25">
      <c r="B644" s="11"/>
      <c r="K644" s="9"/>
      <c r="L644" s="71"/>
    </row>
    <row r="645" spans="2:12" ht="15.75" customHeight="1" x14ac:dyDescent="0.25">
      <c r="B645" s="11"/>
      <c r="K645" s="9"/>
      <c r="L645" s="71"/>
    </row>
    <row r="646" spans="2:12" ht="15.75" customHeight="1" x14ac:dyDescent="0.25">
      <c r="B646" s="11"/>
      <c r="K646" s="9"/>
      <c r="L646" s="71"/>
    </row>
    <row r="647" spans="2:12" ht="15.75" customHeight="1" x14ac:dyDescent="0.25">
      <c r="B647" s="11"/>
      <c r="K647" s="9"/>
      <c r="L647" s="71"/>
    </row>
    <row r="648" spans="2:12" ht="15.75" customHeight="1" x14ac:dyDescent="0.25">
      <c r="B648" s="11"/>
      <c r="K648" s="9"/>
      <c r="L648" s="71"/>
    </row>
    <row r="649" spans="2:12" ht="15.75" customHeight="1" x14ac:dyDescent="0.25">
      <c r="B649" s="11"/>
      <c r="K649" s="9"/>
      <c r="L649" s="71"/>
    </row>
    <row r="650" spans="2:12" ht="15.75" customHeight="1" x14ac:dyDescent="0.25">
      <c r="B650" s="11"/>
      <c r="K650" s="9"/>
      <c r="L650" s="71"/>
    </row>
    <row r="651" spans="2:12" ht="15.75" customHeight="1" x14ac:dyDescent="0.25">
      <c r="B651" s="11"/>
      <c r="K651" s="9"/>
      <c r="L651" s="71"/>
    </row>
    <row r="652" spans="2:12" ht="15.75" customHeight="1" x14ac:dyDescent="0.25">
      <c r="B652" s="11"/>
      <c r="K652" s="9"/>
      <c r="L652" s="71"/>
    </row>
    <row r="653" spans="2:12" ht="15.75" customHeight="1" x14ac:dyDescent="0.25">
      <c r="B653" s="11"/>
      <c r="K653" s="9"/>
      <c r="L653" s="71"/>
    </row>
    <row r="654" spans="2:12" ht="15.75" customHeight="1" x14ac:dyDescent="0.25">
      <c r="B654" s="11"/>
      <c r="K654" s="9"/>
      <c r="L654" s="71"/>
    </row>
    <row r="655" spans="2:12" ht="15.75" customHeight="1" x14ac:dyDescent="0.25">
      <c r="B655" s="11"/>
      <c r="K655" s="9"/>
      <c r="L655" s="71"/>
    </row>
    <row r="656" spans="2:12" ht="15.75" customHeight="1" x14ac:dyDescent="0.25">
      <c r="B656" s="11"/>
      <c r="K656" s="9"/>
      <c r="L656" s="71"/>
    </row>
    <row r="657" spans="2:12" ht="15.75" customHeight="1" x14ac:dyDescent="0.25">
      <c r="B657" s="11"/>
      <c r="K657" s="9"/>
      <c r="L657" s="71"/>
    </row>
    <row r="658" spans="2:12" ht="15.75" customHeight="1" x14ac:dyDescent="0.25">
      <c r="B658" s="11"/>
      <c r="K658" s="9"/>
      <c r="L658" s="71"/>
    </row>
    <row r="659" spans="2:12" ht="15.75" customHeight="1" x14ac:dyDescent="0.25">
      <c r="B659" s="11"/>
      <c r="K659" s="9"/>
      <c r="L659" s="71"/>
    </row>
    <row r="660" spans="2:12" ht="15.75" customHeight="1" x14ac:dyDescent="0.25">
      <c r="B660" s="11"/>
      <c r="K660" s="9"/>
      <c r="L660" s="71"/>
    </row>
    <row r="661" spans="2:12" ht="15.75" customHeight="1" x14ac:dyDescent="0.25">
      <c r="B661" s="11"/>
      <c r="K661" s="9"/>
      <c r="L661" s="71"/>
    </row>
    <row r="662" spans="2:12" ht="15.75" customHeight="1" x14ac:dyDescent="0.25">
      <c r="B662" s="11"/>
      <c r="K662" s="9"/>
      <c r="L662" s="71"/>
    </row>
    <row r="663" spans="2:12" ht="15.75" customHeight="1" x14ac:dyDescent="0.25">
      <c r="B663" s="11"/>
      <c r="K663" s="9"/>
      <c r="L663" s="71"/>
    </row>
    <row r="664" spans="2:12" ht="15.75" customHeight="1" x14ac:dyDescent="0.25">
      <c r="B664" s="11"/>
      <c r="K664" s="9"/>
      <c r="L664" s="71"/>
    </row>
    <row r="665" spans="2:12" ht="15.75" customHeight="1" x14ac:dyDescent="0.25">
      <c r="B665" s="11"/>
      <c r="K665" s="9"/>
      <c r="L665" s="71"/>
    </row>
    <row r="666" spans="2:12" ht="15.75" customHeight="1" x14ac:dyDescent="0.25">
      <c r="B666" s="11"/>
      <c r="K666" s="9"/>
      <c r="L666" s="71"/>
    </row>
    <row r="667" spans="2:12" ht="15.75" customHeight="1" x14ac:dyDescent="0.25">
      <c r="B667" s="11"/>
      <c r="K667" s="9"/>
      <c r="L667" s="71"/>
    </row>
    <row r="668" spans="2:12" ht="15.75" customHeight="1" x14ac:dyDescent="0.25">
      <c r="B668" s="11"/>
      <c r="K668" s="9"/>
      <c r="L668" s="71"/>
    </row>
    <row r="669" spans="2:12" ht="15.75" customHeight="1" x14ac:dyDescent="0.25">
      <c r="B669" s="11"/>
      <c r="K669" s="9"/>
      <c r="L669" s="71"/>
    </row>
    <row r="670" spans="2:12" ht="15.75" customHeight="1" x14ac:dyDescent="0.25">
      <c r="B670" s="11"/>
      <c r="K670" s="9"/>
      <c r="L670" s="71"/>
    </row>
    <row r="671" spans="2:12" ht="15.75" customHeight="1" x14ac:dyDescent="0.25">
      <c r="B671" s="11"/>
      <c r="K671" s="9"/>
      <c r="L671" s="71"/>
    </row>
    <row r="672" spans="2:12" ht="15.75" customHeight="1" x14ac:dyDescent="0.25">
      <c r="B672" s="11"/>
      <c r="K672" s="9"/>
      <c r="L672" s="71"/>
    </row>
    <row r="673" spans="2:12" ht="15.75" customHeight="1" x14ac:dyDescent="0.25">
      <c r="B673" s="11"/>
      <c r="K673" s="9"/>
      <c r="L673" s="71"/>
    </row>
    <row r="674" spans="2:12" ht="15.75" customHeight="1" x14ac:dyDescent="0.25">
      <c r="B674" s="11"/>
      <c r="K674" s="9"/>
      <c r="L674" s="71"/>
    </row>
    <row r="675" spans="2:12" ht="15.75" customHeight="1" x14ac:dyDescent="0.25">
      <c r="B675" s="11"/>
      <c r="K675" s="9"/>
      <c r="L675" s="71"/>
    </row>
    <row r="676" spans="2:12" ht="15.75" customHeight="1" x14ac:dyDescent="0.25">
      <c r="B676" s="11"/>
      <c r="K676" s="9"/>
      <c r="L676" s="71"/>
    </row>
    <row r="677" spans="2:12" ht="15.75" customHeight="1" x14ac:dyDescent="0.25">
      <c r="B677" s="11"/>
      <c r="K677" s="9"/>
      <c r="L677" s="71"/>
    </row>
    <row r="678" spans="2:12" ht="15.75" customHeight="1" x14ac:dyDescent="0.25">
      <c r="B678" s="11"/>
      <c r="K678" s="9"/>
      <c r="L678" s="71"/>
    </row>
    <row r="679" spans="2:12" ht="15.75" customHeight="1" x14ac:dyDescent="0.25">
      <c r="B679" s="11"/>
      <c r="K679" s="9"/>
      <c r="L679" s="71"/>
    </row>
    <row r="680" spans="2:12" ht="15.75" customHeight="1" x14ac:dyDescent="0.25">
      <c r="B680" s="11"/>
      <c r="K680" s="9"/>
      <c r="L680" s="71"/>
    </row>
    <row r="681" spans="2:12" ht="15.75" customHeight="1" x14ac:dyDescent="0.25">
      <c r="B681" s="11"/>
      <c r="K681" s="9"/>
      <c r="L681" s="71"/>
    </row>
    <row r="682" spans="2:12" ht="15.75" customHeight="1" x14ac:dyDescent="0.25">
      <c r="B682" s="11"/>
      <c r="K682" s="9"/>
      <c r="L682" s="71"/>
    </row>
    <row r="683" spans="2:12" ht="15.75" customHeight="1" x14ac:dyDescent="0.25">
      <c r="B683" s="11"/>
      <c r="K683" s="9"/>
      <c r="L683" s="71"/>
    </row>
    <row r="684" spans="2:12" ht="15.75" customHeight="1" x14ac:dyDescent="0.25">
      <c r="B684" s="11"/>
      <c r="K684" s="9"/>
      <c r="L684" s="71"/>
    </row>
    <row r="685" spans="2:12" ht="15.75" customHeight="1" x14ac:dyDescent="0.25">
      <c r="B685" s="11"/>
      <c r="K685" s="9"/>
      <c r="L685" s="71"/>
    </row>
    <row r="686" spans="2:12" ht="15.75" customHeight="1" x14ac:dyDescent="0.25">
      <c r="B686" s="11"/>
      <c r="K686" s="9"/>
      <c r="L686" s="71"/>
    </row>
    <row r="687" spans="2:12" ht="15.75" customHeight="1" x14ac:dyDescent="0.25">
      <c r="B687" s="11"/>
      <c r="K687" s="9"/>
      <c r="L687" s="71"/>
    </row>
    <row r="688" spans="2:12" ht="15.75" customHeight="1" x14ac:dyDescent="0.25">
      <c r="B688" s="11"/>
      <c r="K688" s="9"/>
      <c r="L688" s="71"/>
    </row>
    <row r="689" spans="2:12" ht="15.75" customHeight="1" x14ac:dyDescent="0.25">
      <c r="B689" s="11"/>
      <c r="K689" s="9"/>
      <c r="L689" s="71"/>
    </row>
    <row r="690" spans="2:12" ht="15.75" customHeight="1" x14ac:dyDescent="0.25">
      <c r="B690" s="11"/>
      <c r="K690" s="9"/>
      <c r="L690" s="71"/>
    </row>
    <row r="691" spans="2:12" ht="15.75" customHeight="1" x14ac:dyDescent="0.25">
      <c r="B691" s="11"/>
      <c r="K691" s="9"/>
      <c r="L691" s="71"/>
    </row>
    <row r="692" spans="2:12" ht="15.75" customHeight="1" x14ac:dyDescent="0.25">
      <c r="B692" s="11"/>
      <c r="K692" s="9"/>
      <c r="L692" s="71"/>
    </row>
    <row r="693" spans="2:12" ht="15.75" customHeight="1" x14ac:dyDescent="0.25">
      <c r="B693" s="11"/>
      <c r="K693" s="9"/>
      <c r="L693" s="71"/>
    </row>
    <row r="694" spans="2:12" ht="15.75" customHeight="1" x14ac:dyDescent="0.25">
      <c r="B694" s="11"/>
      <c r="K694" s="9"/>
      <c r="L694" s="71"/>
    </row>
    <row r="695" spans="2:12" ht="15.75" customHeight="1" x14ac:dyDescent="0.25">
      <c r="B695" s="11"/>
      <c r="K695" s="9"/>
      <c r="L695" s="71"/>
    </row>
    <row r="696" spans="2:12" ht="15.75" customHeight="1" x14ac:dyDescent="0.25">
      <c r="B696" s="11"/>
      <c r="K696" s="9"/>
      <c r="L696" s="71"/>
    </row>
    <row r="697" spans="2:12" ht="15.75" customHeight="1" x14ac:dyDescent="0.25">
      <c r="B697" s="11"/>
      <c r="K697" s="9"/>
      <c r="L697" s="71"/>
    </row>
    <row r="698" spans="2:12" ht="15.75" customHeight="1" x14ac:dyDescent="0.25">
      <c r="B698" s="11"/>
      <c r="K698" s="9"/>
      <c r="L698" s="71"/>
    </row>
    <row r="699" spans="2:12" ht="15.75" customHeight="1" x14ac:dyDescent="0.25">
      <c r="B699" s="11"/>
      <c r="K699" s="9"/>
      <c r="L699" s="71"/>
    </row>
    <row r="700" spans="2:12" ht="15.75" customHeight="1" x14ac:dyDescent="0.25">
      <c r="B700" s="11"/>
      <c r="K700" s="9"/>
      <c r="L700" s="71"/>
    </row>
    <row r="701" spans="2:12" ht="15.75" customHeight="1" x14ac:dyDescent="0.25">
      <c r="B701" s="11"/>
      <c r="K701" s="9"/>
      <c r="L701" s="71"/>
    </row>
    <row r="702" spans="2:12" ht="15.75" customHeight="1" x14ac:dyDescent="0.25">
      <c r="B702" s="11"/>
      <c r="K702" s="9"/>
      <c r="L702" s="71"/>
    </row>
    <row r="703" spans="2:12" ht="15.75" customHeight="1" x14ac:dyDescent="0.25">
      <c r="B703" s="11"/>
      <c r="K703" s="9"/>
      <c r="L703" s="71"/>
    </row>
    <row r="704" spans="2:12" ht="15.75" customHeight="1" x14ac:dyDescent="0.25">
      <c r="B704" s="11"/>
      <c r="K704" s="9"/>
      <c r="L704" s="71"/>
    </row>
    <row r="705" spans="2:12" ht="15.75" customHeight="1" x14ac:dyDescent="0.25">
      <c r="B705" s="11"/>
      <c r="K705" s="9"/>
      <c r="L705" s="71"/>
    </row>
    <row r="706" spans="2:12" ht="15.75" customHeight="1" x14ac:dyDescent="0.25">
      <c r="B706" s="11"/>
      <c r="K706" s="9"/>
      <c r="L706" s="71"/>
    </row>
    <row r="707" spans="2:12" ht="15.75" customHeight="1" x14ac:dyDescent="0.25">
      <c r="B707" s="11"/>
      <c r="K707" s="9"/>
      <c r="L707" s="71"/>
    </row>
    <row r="708" spans="2:12" ht="15.75" customHeight="1" x14ac:dyDescent="0.25">
      <c r="B708" s="11"/>
      <c r="K708" s="9"/>
      <c r="L708" s="71"/>
    </row>
    <row r="709" spans="2:12" ht="15.75" customHeight="1" x14ac:dyDescent="0.25">
      <c r="B709" s="11"/>
      <c r="K709" s="9"/>
      <c r="L709" s="71"/>
    </row>
    <row r="710" spans="2:12" ht="15.75" customHeight="1" x14ac:dyDescent="0.25">
      <c r="B710" s="11"/>
      <c r="K710" s="9"/>
      <c r="L710" s="71"/>
    </row>
    <row r="711" spans="2:12" ht="15.75" customHeight="1" x14ac:dyDescent="0.25">
      <c r="B711" s="11"/>
      <c r="K711" s="9"/>
      <c r="L711" s="71"/>
    </row>
    <row r="712" spans="2:12" ht="15.75" customHeight="1" x14ac:dyDescent="0.25">
      <c r="B712" s="11"/>
      <c r="K712" s="9"/>
      <c r="L712" s="71"/>
    </row>
    <row r="713" spans="2:12" ht="15.75" customHeight="1" x14ac:dyDescent="0.25">
      <c r="B713" s="11"/>
      <c r="K713" s="9"/>
      <c r="L713" s="71"/>
    </row>
    <row r="714" spans="2:12" ht="15.75" customHeight="1" x14ac:dyDescent="0.25">
      <c r="B714" s="11"/>
      <c r="K714" s="9"/>
      <c r="L714" s="71"/>
    </row>
    <row r="715" spans="2:12" ht="15.75" customHeight="1" x14ac:dyDescent="0.25">
      <c r="B715" s="11"/>
      <c r="K715" s="9"/>
      <c r="L715" s="71"/>
    </row>
    <row r="716" spans="2:12" ht="15.75" customHeight="1" x14ac:dyDescent="0.25">
      <c r="B716" s="11"/>
      <c r="K716" s="9"/>
      <c r="L716" s="71"/>
    </row>
    <row r="717" spans="2:12" ht="15.75" customHeight="1" x14ac:dyDescent="0.25">
      <c r="B717" s="11"/>
      <c r="K717" s="9"/>
      <c r="L717" s="71"/>
    </row>
    <row r="718" spans="2:12" ht="15.75" customHeight="1" x14ac:dyDescent="0.25">
      <c r="B718" s="11"/>
      <c r="K718" s="9"/>
      <c r="L718" s="71"/>
    </row>
    <row r="719" spans="2:12" ht="15.75" customHeight="1" x14ac:dyDescent="0.25">
      <c r="B719" s="11"/>
      <c r="K719" s="9"/>
      <c r="L719" s="71"/>
    </row>
    <row r="720" spans="2:12" ht="15.75" customHeight="1" x14ac:dyDescent="0.25">
      <c r="B720" s="11"/>
      <c r="K720" s="9"/>
      <c r="L720" s="71"/>
    </row>
    <row r="721" spans="2:12" ht="15.75" customHeight="1" x14ac:dyDescent="0.25">
      <c r="B721" s="11"/>
      <c r="K721" s="9"/>
      <c r="L721" s="71"/>
    </row>
    <row r="722" spans="2:12" ht="15.75" customHeight="1" x14ac:dyDescent="0.25">
      <c r="B722" s="11"/>
      <c r="K722" s="9"/>
      <c r="L722" s="71"/>
    </row>
    <row r="723" spans="2:12" ht="15.75" customHeight="1" x14ac:dyDescent="0.25">
      <c r="B723" s="11"/>
      <c r="K723" s="9"/>
      <c r="L723" s="71"/>
    </row>
    <row r="724" spans="2:12" ht="15.75" customHeight="1" x14ac:dyDescent="0.25">
      <c r="B724" s="11"/>
      <c r="K724" s="9"/>
      <c r="L724" s="71"/>
    </row>
    <row r="725" spans="2:12" ht="15.75" customHeight="1" x14ac:dyDescent="0.25">
      <c r="B725" s="11"/>
      <c r="K725" s="9"/>
      <c r="L725" s="71"/>
    </row>
    <row r="726" spans="2:12" ht="15.75" customHeight="1" x14ac:dyDescent="0.25">
      <c r="B726" s="11"/>
      <c r="K726" s="9"/>
      <c r="L726" s="71"/>
    </row>
    <row r="727" spans="2:12" ht="15.75" customHeight="1" x14ac:dyDescent="0.25">
      <c r="B727" s="11"/>
      <c r="K727" s="9"/>
      <c r="L727" s="71"/>
    </row>
    <row r="728" spans="2:12" ht="15.75" customHeight="1" x14ac:dyDescent="0.25">
      <c r="B728" s="11"/>
      <c r="K728" s="9"/>
      <c r="L728" s="71"/>
    </row>
    <row r="729" spans="2:12" ht="15.75" customHeight="1" x14ac:dyDescent="0.25">
      <c r="B729" s="11"/>
      <c r="K729" s="9"/>
      <c r="L729" s="71"/>
    </row>
    <row r="730" spans="2:12" ht="15.75" customHeight="1" x14ac:dyDescent="0.25">
      <c r="B730" s="11"/>
      <c r="K730" s="9"/>
      <c r="L730" s="71"/>
    </row>
    <row r="731" spans="2:12" ht="15.75" customHeight="1" x14ac:dyDescent="0.25">
      <c r="B731" s="11"/>
      <c r="K731" s="9"/>
      <c r="L731" s="71"/>
    </row>
    <row r="732" spans="2:12" ht="15.75" customHeight="1" x14ac:dyDescent="0.25">
      <c r="B732" s="11"/>
      <c r="K732" s="9"/>
      <c r="L732" s="71"/>
    </row>
    <row r="733" spans="2:12" ht="15.75" customHeight="1" x14ac:dyDescent="0.25">
      <c r="B733" s="11"/>
      <c r="K733" s="9"/>
      <c r="L733" s="71"/>
    </row>
    <row r="734" spans="2:12" ht="15.75" customHeight="1" x14ac:dyDescent="0.25">
      <c r="B734" s="11"/>
      <c r="K734" s="9"/>
      <c r="L734" s="71"/>
    </row>
    <row r="735" spans="2:12" ht="15.75" customHeight="1" x14ac:dyDescent="0.25">
      <c r="B735" s="11"/>
      <c r="K735" s="9"/>
      <c r="L735" s="71"/>
    </row>
    <row r="736" spans="2:12" ht="15.75" customHeight="1" x14ac:dyDescent="0.25">
      <c r="B736" s="11"/>
      <c r="K736" s="9"/>
      <c r="L736" s="71"/>
    </row>
    <row r="737" spans="2:12" ht="15.75" customHeight="1" x14ac:dyDescent="0.25">
      <c r="B737" s="11"/>
      <c r="K737" s="9"/>
      <c r="L737" s="71"/>
    </row>
    <row r="738" spans="2:12" ht="15.75" customHeight="1" x14ac:dyDescent="0.25">
      <c r="B738" s="11"/>
      <c r="K738" s="9"/>
      <c r="L738" s="71"/>
    </row>
    <row r="739" spans="2:12" ht="15.75" customHeight="1" x14ac:dyDescent="0.25">
      <c r="B739" s="11"/>
      <c r="K739" s="9"/>
      <c r="L739" s="71"/>
    </row>
    <row r="740" spans="2:12" ht="15.75" customHeight="1" x14ac:dyDescent="0.25">
      <c r="B740" s="11"/>
      <c r="K740" s="9"/>
      <c r="L740" s="71"/>
    </row>
    <row r="741" spans="2:12" ht="15.75" customHeight="1" x14ac:dyDescent="0.25">
      <c r="B741" s="11"/>
      <c r="K741" s="9"/>
      <c r="L741" s="71"/>
    </row>
    <row r="742" spans="2:12" ht="15.75" customHeight="1" x14ac:dyDescent="0.25">
      <c r="B742" s="11"/>
      <c r="K742" s="9"/>
      <c r="L742" s="71"/>
    </row>
    <row r="743" spans="2:12" ht="15.75" customHeight="1" x14ac:dyDescent="0.25">
      <c r="B743" s="11"/>
      <c r="K743" s="9"/>
      <c r="L743" s="71"/>
    </row>
    <row r="744" spans="2:12" ht="15.75" customHeight="1" x14ac:dyDescent="0.25">
      <c r="B744" s="11"/>
      <c r="K744" s="9"/>
      <c r="L744" s="71"/>
    </row>
    <row r="745" spans="2:12" ht="15.75" customHeight="1" x14ac:dyDescent="0.25">
      <c r="B745" s="11"/>
      <c r="K745" s="9"/>
      <c r="L745" s="71"/>
    </row>
    <row r="746" spans="2:12" ht="15.75" customHeight="1" x14ac:dyDescent="0.25">
      <c r="B746" s="11"/>
      <c r="K746" s="9"/>
      <c r="L746" s="71"/>
    </row>
    <row r="747" spans="2:12" ht="15.75" customHeight="1" x14ac:dyDescent="0.25">
      <c r="B747" s="11"/>
      <c r="K747" s="9"/>
      <c r="L747" s="71"/>
    </row>
    <row r="748" spans="2:12" ht="15.75" customHeight="1" x14ac:dyDescent="0.25">
      <c r="B748" s="11"/>
      <c r="K748" s="9"/>
      <c r="L748" s="71"/>
    </row>
    <row r="749" spans="2:12" ht="15.75" customHeight="1" x14ac:dyDescent="0.25">
      <c r="B749" s="11"/>
      <c r="K749" s="9"/>
      <c r="L749" s="71"/>
    </row>
    <row r="750" spans="2:12" ht="15.75" customHeight="1" x14ac:dyDescent="0.25">
      <c r="B750" s="11"/>
      <c r="K750" s="9"/>
      <c r="L750" s="71"/>
    </row>
    <row r="751" spans="2:12" ht="15.75" customHeight="1" x14ac:dyDescent="0.25">
      <c r="B751" s="11"/>
      <c r="K751" s="9"/>
      <c r="L751" s="71"/>
    </row>
    <row r="752" spans="2:12" ht="15.75" customHeight="1" x14ac:dyDescent="0.25">
      <c r="B752" s="11"/>
      <c r="K752" s="9"/>
      <c r="L752" s="71"/>
    </row>
    <row r="753" spans="2:12" ht="15.75" customHeight="1" x14ac:dyDescent="0.25">
      <c r="B753" s="11"/>
      <c r="K753" s="9"/>
      <c r="L753" s="71"/>
    </row>
    <row r="754" spans="2:12" ht="15.75" customHeight="1" x14ac:dyDescent="0.25">
      <c r="B754" s="11"/>
      <c r="K754" s="9"/>
      <c r="L754" s="71"/>
    </row>
    <row r="755" spans="2:12" ht="15.75" customHeight="1" x14ac:dyDescent="0.25">
      <c r="B755" s="11"/>
      <c r="K755" s="9"/>
      <c r="L755" s="71"/>
    </row>
    <row r="756" spans="2:12" ht="15.75" customHeight="1" x14ac:dyDescent="0.25">
      <c r="B756" s="11"/>
      <c r="K756" s="9"/>
      <c r="L756" s="71"/>
    </row>
    <row r="757" spans="2:12" ht="15.75" customHeight="1" x14ac:dyDescent="0.25">
      <c r="B757" s="11"/>
      <c r="K757" s="9"/>
      <c r="L757" s="71"/>
    </row>
    <row r="758" spans="2:12" ht="15.75" customHeight="1" x14ac:dyDescent="0.25">
      <c r="B758" s="11"/>
      <c r="K758" s="9"/>
      <c r="L758" s="71"/>
    </row>
    <row r="759" spans="2:12" ht="15.75" customHeight="1" x14ac:dyDescent="0.25">
      <c r="B759" s="11"/>
      <c r="K759" s="9"/>
      <c r="L759" s="71"/>
    </row>
    <row r="760" spans="2:12" ht="15.75" customHeight="1" x14ac:dyDescent="0.25">
      <c r="B760" s="11"/>
      <c r="K760" s="9"/>
      <c r="L760" s="71"/>
    </row>
    <row r="761" spans="2:12" ht="15.75" customHeight="1" x14ac:dyDescent="0.25">
      <c r="B761" s="11"/>
      <c r="K761" s="9"/>
      <c r="L761" s="71"/>
    </row>
    <row r="762" spans="2:12" ht="15.75" customHeight="1" x14ac:dyDescent="0.25">
      <c r="B762" s="11"/>
      <c r="K762" s="9"/>
      <c r="L762" s="71"/>
    </row>
    <row r="763" spans="2:12" ht="15.75" customHeight="1" x14ac:dyDescent="0.25">
      <c r="B763" s="11"/>
      <c r="K763" s="9"/>
      <c r="L763" s="71"/>
    </row>
    <row r="764" spans="2:12" ht="15.75" customHeight="1" x14ac:dyDescent="0.25">
      <c r="B764" s="11"/>
      <c r="K764" s="9"/>
      <c r="L764" s="71"/>
    </row>
    <row r="765" spans="2:12" ht="15.75" customHeight="1" x14ac:dyDescent="0.25">
      <c r="B765" s="11"/>
      <c r="K765" s="9"/>
      <c r="L765" s="71"/>
    </row>
    <row r="766" spans="2:12" ht="15.75" customHeight="1" x14ac:dyDescent="0.25">
      <c r="B766" s="11"/>
      <c r="K766" s="9"/>
      <c r="L766" s="71"/>
    </row>
    <row r="767" spans="2:12" ht="15.75" customHeight="1" x14ac:dyDescent="0.25">
      <c r="B767" s="11"/>
      <c r="K767" s="9"/>
      <c r="L767" s="71"/>
    </row>
    <row r="768" spans="2:12" ht="15.75" customHeight="1" x14ac:dyDescent="0.25">
      <c r="B768" s="11"/>
      <c r="K768" s="9"/>
      <c r="L768" s="71"/>
    </row>
    <row r="769" spans="2:12" ht="15.75" customHeight="1" x14ac:dyDescent="0.25">
      <c r="B769" s="11"/>
      <c r="K769" s="9"/>
      <c r="L769" s="71"/>
    </row>
    <row r="770" spans="2:12" ht="15.75" customHeight="1" x14ac:dyDescent="0.25">
      <c r="B770" s="11"/>
      <c r="K770" s="9"/>
      <c r="L770" s="71"/>
    </row>
    <row r="771" spans="2:12" ht="15.75" customHeight="1" x14ac:dyDescent="0.25">
      <c r="B771" s="11"/>
      <c r="K771" s="9"/>
      <c r="L771" s="71"/>
    </row>
    <row r="772" spans="2:12" ht="15.75" customHeight="1" x14ac:dyDescent="0.25">
      <c r="B772" s="11"/>
      <c r="K772" s="9"/>
      <c r="L772" s="71"/>
    </row>
    <row r="773" spans="2:12" ht="15.75" customHeight="1" x14ac:dyDescent="0.25">
      <c r="B773" s="11"/>
      <c r="K773" s="9"/>
      <c r="L773" s="71"/>
    </row>
    <row r="774" spans="2:12" ht="15.75" customHeight="1" x14ac:dyDescent="0.25">
      <c r="B774" s="11"/>
      <c r="K774" s="9"/>
      <c r="L774" s="71"/>
    </row>
    <row r="775" spans="2:12" ht="15.75" customHeight="1" x14ac:dyDescent="0.25">
      <c r="B775" s="11"/>
      <c r="K775" s="9"/>
      <c r="L775" s="71"/>
    </row>
    <row r="776" spans="2:12" ht="15.75" customHeight="1" x14ac:dyDescent="0.25">
      <c r="B776" s="11"/>
      <c r="K776" s="9"/>
      <c r="L776" s="71"/>
    </row>
    <row r="777" spans="2:12" ht="15.75" customHeight="1" x14ac:dyDescent="0.25">
      <c r="B777" s="11"/>
      <c r="K777" s="9"/>
      <c r="L777" s="71"/>
    </row>
    <row r="778" spans="2:12" ht="15.75" customHeight="1" x14ac:dyDescent="0.25">
      <c r="B778" s="11"/>
      <c r="K778" s="9"/>
      <c r="L778" s="71"/>
    </row>
    <row r="779" spans="2:12" ht="15.75" customHeight="1" x14ac:dyDescent="0.25">
      <c r="B779" s="11"/>
      <c r="K779" s="9"/>
      <c r="L779" s="71"/>
    </row>
    <row r="780" spans="2:12" ht="15.75" customHeight="1" x14ac:dyDescent="0.25">
      <c r="B780" s="11"/>
      <c r="K780" s="9"/>
      <c r="L780" s="71"/>
    </row>
    <row r="781" spans="2:12" ht="15.75" customHeight="1" x14ac:dyDescent="0.25">
      <c r="B781" s="11"/>
      <c r="K781" s="9"/>
      <c r="L781" s="71"/>
    </row>
    <row r="782" spans="2:12" ht="15.75" customHeight="1" x14ac:dyDescent="0.25">
      <c r="B782" s="11"/>
      <c r="K782" s="9"/>
      <c r="L782" s="71"/>
    </row>
    <row r="783" spans="2:12" ht="15.75" customHeight="1" x14ac:dyDescent="0.25">
      <c r="B783" s="11"/>
      <c r="K783" s="9"/>
      <c r="L783" s="71"/>
    </row>
    <row r="784" spans="2:12" ht="15.75" customHeight="1" x14ac:dyDescent="0.25">
      <c r="B784" s="11"/>
      <c r="K784" s="9"/>
      <c r="L784" s="71"/>
    </row>
    <row r="785" spans="2:12" ht="15.75" customHeight="1" x14ac:dyDescent="0.25">
      <c r="B785" s="11"/>
      <c r="K785" s="9"/>
      <c r="L785" s="71"/>
    </row>
    <row r="786" spans="2:12" ht="15.75" customHeight="1" x14ac:dyDescent="0.25">
      <c r="B786" s="11"/>
      <c r="K786" s="9"/>
      <c r="L786" s="71"/>
    </row>
    <row r="787" spans="2:12" ht="15.75" customHeight="1" x14ac:dyDescent="0.25">
      <c r="B787" s="11"/>
      <c r="K787" s="9"/>
      <c r="L787" s="71"/>
    </row>
    <row r="788" spans="2:12" ht="15.75" customHeight="1" x14ac:dyDescent="0.25">
      <c r="B788" s="11"/>
      <c r="K788" s="9"/>
      <c r="L788" s="71"/>
    </row>
    <row r="789" spans="2:12" ht="15.75" customHeight="1" x14ac:dyDescent="0.25">
      <c r="B789" s="11"/>
      <c r="K789" s="9"/>
      <c r="L789" s="71"/>
    </row>
    <row r="790" spans="2:12" ht="15.75" customHeight="1" x14ac:dyDescent="0.25">
      <c r="B790" s="11"/>
      <c r="K790" s="9"/>
      <c r="L790" s="71"/>
    </row>
    <row r="791" spans="2:12" ht="15.75" customHeight="1" x14ac:dyDescent="0.25">
      <c r="B791" s="11"/>
      <c r="K791" s="9"/>
      <c r="L791" s="71"/>
    </row>
    <row r="792" spans="2:12" ht="15.75" customHeight="1" x14ac:dyDescent="0.25">
      <c r="B792" s="11"/>
      <c r="K792" s="9"/>
      <c r="L792" s="71"/>
    </row>
    <row r="793" spans="2:12" ht="15.75" customHeight="1" x14ac:dyDescent="0.25">
      <c r="B793" s="11"/>
      <c r="K793" s="9"/>
      <c r="L793" s="71"/>
    </row>
    <row r="794" spans="2:12" ht="15.75" customHeight="1" x14ac:dyDescent="0.25">
      <c r="B794" s="11"/>
      <c r="K794" s="9"/>
      <c r="L794" s="71"/>
    </row>
    <row r="795" spans="2:12" ht="15.75" customHeight="1" x14ac:dyDescent="0.25">
      <c r="B795" s="11"/>
      <c r="K795" s="9"/>
      <c r="L795" s="71"/>
    </row>
    <row r="796" spans="2:12" ht="15.75" customHeight="1" x14ac:dyDescent="0.25">
      <c r="B796" s="11"/>
      <c r="K796" s="9"/>
      <c r="L796" s="71"/>
    </row>
    <row r="797" spans="2:12" ht="15.75" customHeight="1" x14ac:dyDescent="0.25">
      <c r="B797" s="11"/>
      <c r="K797" s="9"/>
      <c r="L797" s="71"/>
    </row>
    <row r="798" spans="2:12" ht="15.75" customHeight="1" x14ac:dyDescent="0.25">
      <c r="B798" s="11"/>
      <c r="K798" s="9"/>
      <c r="L798" s="71"/>
    </row>
    <row r="799" spans="2:12" ht="15.75" customHeight="1" x14ac:dyDescent="0.25">
      <c r="B799" s="11"/>
      <c r="K799" s="9"/>
      <c r="L799" s="71"/>
    </row>
    <row r="800" spans="2:12" ht="15.75" customHeight="1" x14ac:dyDescent="0.25">
      <c r="B800" s="11"/>
      <c r="K800" s="9"/>
      <c r="L800" s="71"/>
    </row>
    <row r="801" spans="2:12" ht="15.75" customHeight="1" x14ac:dyDescent="0.25">
      <c r="B801" s="11"/>
      <c r="K801" s="9"/>
      <c r="L801" s="71"/>
    </row>
    <row r="802" spans="2:12" ht="15.75" customHeight="1" x14ac:dyDescent="0.25">
      <c r="B802" s="11"/>
      <c r="K802" s="9"/>
      <c r="L802" s="71"/>
    </row>
    <row r="803" spans="2:12" ht="15.75" customHeight="1" x14ac:dyDescent="0.25">
      <c r="B803" s="11"/>
      <c r="K803" s="9"/>
      <c r="L803" s="71"/>
    </row>
    <row r="804" spans="2:12" ht="15.75" customHeight="1" x14ac:dyDescent="0.25">
      <c r="B804" s="11"/>
      <c r="K804" s="9"/>
      <c r="L804" s="71"/>
    </row>
    <row r="805" spans="2:12" ht="15.75" customHeight="1" x14ac:dyDescent="0.25">
      <c r="B805" s="11"/>
      <c r="K805" s="9"/>
      <c r="L805" s="71"/>
    </row>
    <row r="806" spans="2:12" ht="15.75" customHeight="1" x14ac:dyDescent="0.25">
      <c r="B806" s="11"/>
      <c r="K806" s="9"/>
      <c r="L806" s="71"/>
    </row>
    <row r="807" spans="2:12" ht="15.75" customHeight="1" x14ac:dyDescent="0.25">
      <c r="B807" s="11"/>
      <c r="K807" s="9"/>
      <c r="L807" s="71"/>
    </row>
    <row r="808" spans="2:12" ht="15.75" customHeight="1" x14ac:dyDescent="0.25">
      <c r="B808" s="11"/>
      <c r="K808" s="9"/>
      <c r="L808" s="71"/>
    </row>
    <row r="809" spans="2:12" ht="15.75" customHeight="1" x14ac:dyDescent="0.25">
      <c r="B809" s="11"/>
      <c r="K809" s="9"/>
      <c r="L809" s="71"/>
    </row>
    <row r="810" spans="2:12" ht="15.75" customHeight="1" x14ac:dyDescent="0.25">
      <c r="B810" s="11"/>
      <c r="K810" s="9"/>
      <c r="L810" s="71"/>
    </row>
    <row r="811" spans="2:12" ht="15.75" customHeight="1" x14ac:dyDescent="0.25">
      <c r="B811" s="11"/>
      <c r="K811" s="9"/>
      <c r="L811" s="71"/>
    </row>
    <row r="812" spans="2:12" ht="15.75" customHeight="1" x14ac:dyDescent="0.25">
      <c r="B812" s="11"/>
      <c r="K812" s="9"/>
      <c r="L812" s="71"/>
    </row>
    <row r="813" spans="2:12" ht="15.75" customHeight="1" x14ac:dyDescent="0.25">
      <c r="B813" s="11"/>
      <c r="K813" s="9"/>
      <c r="L813" s="71"/>
    </row>
    <row r="814" spans="2:12" ht="15.75" customHeight="1" x14ac:dyDescent="0.25">
      <c r="B814" s="11"/>
      <c r="K814" s="9"/>
      <c r="L814" s="71"/>
    </row>
    <row r="815" spans="2:12" ht="15.75" customHeight="1" x14ac:dyDescent="0.25">
      <c r="B815" s="11"/>
      <c r="K815" s="9"/>
      <c r="L815" s="71"/>
    </row>
    <row r="816" spans="2:12" ht="15.75" customHeight="1" x14ac:dyDescent="0.25">
      <c r="B816" s="11"/>
      <c r="K816" s="9"/>
      <c r="L816" s="71"/>
    </row>
    <row r="817" spans="2:12" ht="15.75" customHeight="1" x14ac:dyDescent="0.25">
      <c r="B817" s="11"/>
      <c r="K817" s="9"/>
      <c r="L817" s="71"/>
    </row>
    <row r="818" spans="2:12" ht="15.75" customHeight="1" x14ac:dyDescent="0.25">
      <c r="B818" s="11"/>
      <c r="K818" s="9"/>
      <c r="L818" s="71"/>
    </row>
    <row r="819" spans="2:12" ht="15.75" customHeight="1" x14ac:dyDescent="0.25">
      <c r="B819" s="11"/>
      <c r="K819" s="9"/>
      <c r="L819" s="71"/>
    </row>
    <row r="820" spans="2:12" ht="15.75" customHeight="1" x14ac:dyDescent="0.25">
      <c r="B820" s="11"/>
      <c r="K820" s="9"/>
      <c r="L820" s="71"/>
    </row>
    <row r="821" spans="2:12" ht="15.75" customHeight="1" x14ac:dyDescent="0.25">
      <c r="B821" s="11"/>
      <c r="K821" s="9"/>
      <c r="L821" s="71"/>
    </row>
    <row r="822" spans="2:12" ht="15.75" customHeight="1" x14ac:dyDescent="0.25">
      <c r="B822" s="11"/>
      <c r="K822" s="9"/>
      <c r="L822" s="71"/>
    </row>
    <row r="823" spans="2:12" ht="15.75" customHeight="1" x14ac:dyDescent="0.25">
      <c r="B823" s="11"/>
      <c r="K823" s="9"/>
      <c r="L823" s="71"/>
    </row>
    <row r="824" spans="2:12" ht="15.75" customHeight="1" x14ac:dyDescent="0.25">
      <c r="B824" s="11"/>
      <c r="K824" s="9"/>
      <c r="L824" s="71"/>
    </row>
    <row r="825" spans="2:12" ht="15.75" customHeight="1" x14ac:dyDescent="0.25">
      <c r="B825" s="11"/>
      <c r="K825" s="9"/>
      <c r="L825" s="71"/>
    </row>
    <row r="826" spans="2:12" ht="15.75" customHeight="1" x14ac:dyDescent="0.25">
      <c r="B826" s="11"/>
      <c r="K826" s="9"/>
      <c r="L826" s="71"/>
    </row>
    <row r="827" spans="2:12" ht="15.75" customHeight="1" x14ac:dyDescent="0.25">
      <c r="B827" s="11"/>
      <c r="K827" s="9"/>
      <c r="L827" s="71"/>
    </row>
    <row r="828" spans="2:12" ht="15.75" customHeight="1" x14ac:dyDescent="0.25">
      <c r="B828" s="11"/>
      <c r="K828" s="9"/>
      <c r="L828" s="71"/>
    </row>
    <row r="829" spans="2:12" ht="15.75" customHeight="1" x14ac:dyDescent="0.25">
      <c r="B829" s="11"/>
      <c r="K829" s="9"/>
      <c r="L829" s="71"/>
    </row>
    <row r="830" spans="2:12" ht="15.75" customHeight="1" x14ac:dyDescent="0.25">
      <c r="B830" s="11"/>
      <c r="K830" s="9"/>
      <c r="L830" s="71"/>
    </row>
    <row r="831" spans="2:12" ht="15.75" customHeight="1" x14ac:dyDescent="0.25">
      <c r="B831" s="11"/>
      <c r="K831" s="9"/>
      <c r="L831" s="71"/>
    </row>
    <row r="832" spans="2:12" ht="15.75" customHeight="1" x14ac:dyDescent="0.25">
      <c r="B832" s="11"/>
      <c r="K832" s="9"/>
      <c r="L832" s="71"/>
    </row>
    <row r="833" spans="2:12" ht="15.75" customHeight="1" x14ac:dyDescent="0.25">
      <c r="B833" s="11"/>
      <c r="K833" s="9"/>
      <c r="L833" s="71"/>
    </row>
    <row r="834" spans="2:12" ht="15.75" customHeight="1" x14ac:dyDescent="0.25">
      <c r="B834" s="11"/>
      <c r="K834" s="9"/>
      <c r="L834" s="71"/>
    </row>
    <row r="835" spans="2:12" ht="15.75" customHeight="1" x14ac:dyDescent="0.25">
      <c r="B835" s="11"/>
      <c r="K835" s="9"/>
      <c r="L835" s="71"/>
    </row>
    <row r="836" spans="2:12" ht="15.75" customHeight="1" x14ac:dyDescent="0.25">
      <c r="B836" s="11"/>
      <c r="K836" s="9"/>
      <c r="L836" s="71"/>
    </row>
    <row r="837" spans="2:12" ht="15.75" customHeight="1" x14ac:dyDescent="0.25">
      <c r="B837" s="11"/>
      <c r="K837" s="9"/>
      <c r="L837" s="71"/>
    </row>
    <row r="838" spans="2:12" ht="15.75" customHeight="1" x14ac:dyDescent="0.25">
      <c r="B838" s="11"/>
      <c r="K838" s="9"/>
      <c r="L838" s="71"/>
    </row>
    <row r="839" spans="2:12" ht="15.75" customHeight="1" x14ac:dyDescent="0.25">
      <c r="B839" s="11"/>
      <c r="K839" s="9"/>
      <c r="L839" s="71"/>
    </row>
    <row r="840" spans="2:12" ht="15.75" customHeight="1" x14ac:dyDescent="0.25">
      <c r="B840" s="11"/>
      <c r="K840" s="9"/>
      <c r="L840" s="71"/>
    </row>
    <row r="841" spans="2:12" ht="15.75" customHeight="1" x14ac:dyDescent="0.25">
      <c r="B841" s="11"/>
      <c r="K841" s="9"/>
      <c r="L841" s="71"/>
    </row>
    <row r="842" spans="2:12" ht="15.75" customHeight="1" x14ac:dyDescent="0.25">
      <c r="B842" s="11"/>
      <c r="K842" s="9"/>
      <c r="L842" s="71"/>
    </row>
    <row r="843" spans="2:12" ht="15.75" customHeight="1" x14ac:dyDescent="0.25">
      <c r="B843" s="11"/>
      <c r="K843" s="9"/>
      <c r="L843" s="71"/>
    </row>
    <row r="844" spans="2:12" ht="15.75" customHeight="1" x14ac:dyDescent="0.25">
      <c r="B844" s="11"/>
      <c r="K844" s="9"/>
      <c r="L844" s="71"/>
    </row>
    <row r="845" spans="2:12" ht="15.75" customHeight="1" x14ac:dyDescent="0.25">
      <c r="B845" s="11"/>
      <c r="K845" s="9"/>
      <c r="L845" s="71"/>
    </row>
    <row r="846" spans="2:12" ht="15.75" customHeight="1" x14ac:dyDescent="0.25">
      <c r="B846" s="11"/>
      <c r="K846" s="9"/>
      <c r="L846" s="71"/>
    </row>
    <row r="847" spans="2:12" ht="15.75" customHeight="1" x14ac:dyDescent="0.25">
      <c r="B847" s="11"/>
      <c r="K847" s="9"/>
      <c r="L847" s="71"/>
    </row>
    <row r="848" spans="2:12" ht="15.75" customHeight="1" x14ac:dyDescent="0.25">
      <c r="B848" s="11"/>
      <c r="K848" s="9"/>
      <c r="L848" s="71"/>
    </row>
    <row r="849" spans="2:12" ht="15.75" customHeight="1" x14ac:dyDescent="0.25">
      <c r="B849" s="11"/>
      <c r="K849" s="9"/>
      <c r="L849" s="71"/>
    </row>
    <row r="850" spans="2:12" ht="15.75" customHeight="1" x14ac:dyDescent="0.25">
      <c r="B850" s="11"/>
      <c r="K850" s="9"/>
      <c r="L850" s="71"/>
    </row>
    <row r="851" spans="2:12" ht="15.75" customHeight="1" x14ac:dyDescent="0.25">
      <c r="B851" s="11"/>
      <c r="K851" s="9"/>
      <c r="L851" s="71"/>
    </row>
    <row r="852" spans="2:12" ht="15.75" customHeight="1" x14ac:dyDescent="0.25">
      <c r="B852" s="11"/>
      <c r="K852" s="9"/>
      <c r="L852" s="71"/>
    </row>
    <row r="853" spans="2:12" ht="15.75" customHeight="1" x14ac:dyDescent="0.25">
      <c r="B853" s="11"/>
      <c r="K853" s="9"/>
      <c r="L853" s="71"/>
    </row>
    <row r="854" spans="2:12" ht="15.75" customHeight="1" x14ac:dyDescent="0.25">
      <c r="B854" s="11"/>
      <c r="K854" s="9"/>
      <c r="L854" s="71"/>
    </row>
    <row r="855" spans="2:12" ht="15.75" customHeight="1" x14ac:dyDescent="0.25">
      <c r="B855" s="11"/>
      <c r="K855" s="9"/>
      <c r="L855" s="71"/>
    </row>
    <row r="856" spans="2:12" ht="15.75" customHeight="1" x14ac:dyDescent="0.25">
      <c r="B856" s="11"/>
      <c r="K856" s="9"/>
      <c r="L856" s="71"/>
    </row>
    <row r="857" spans="2:12" ht="15.75" customHeight="1" x14ac:dyDescent="0.25">
      <c r="B857" s="11"/>
      <c r="K857" s="9"/>
      <c r="L857" s="71"/>
    </row>
    <row r="858" spans="2:12" ht="15.75" customHeight="1" x14ac:dyDescent="0.25">
      <c r="B858" s="11"/>
      <c r="K858" s="9"/>
      <c r="L858" s="71"/>
    </row>
    <row r="859" spans="2:12" ht="15.75" customHeight="1" x14ac:dyDescent="0.25">
      <c r="B859" s="11"/>
      <c r="K859" s="9"/>
      <c r="L859" s="71"/>
    </row>
    <row r="860" spans="2:12" ht="15.75" customHeight="1" x14ac:dyDescent="0.25">
      <c r="B860" s="11"/>
      <c r="K860" s="9"/>
      <c r="L860" s="71"/>
    </row>
    <row r="861" spans="2:12" ht="15.75" customHeight="1" x14ac:dyDescent="0.25">
      <c r="B861" s="11"/>
      <c r="K861" s="9"/>
      <c r="L861" s="71"/>
    </row>
    <row r="862" spans="2:12" ht="15.75" customHeight="1" x14ac:dyDescent="0.25">
      <c r="B862" s="11"/>
      <c r="K862" s="9"/>
      <c r="L862" s="71"/>
    </row>
    <row r="863" spans="2:12" ht="15.75" customHeight="1" x14ac:dyDescent="0.25">
      <c r="B863" s="11"/>
      <c r="K863" s="9"/>
      <c r="L863" s="71"/>
    </row>
    <row r="864" spans="2:12" ht="15.75" customHeight="1" x14ac:dyDescent="0.25">
      <c r="B864" s="11"/>
      <c r="K864" s="9"/>
      <c r="L864" s="71"/>
    </row>
    <row r="865" spans="2:12" ht="15.75" customHeight="1" x14ac:dyDescent="0.25">
      <c r="B865" s="11"/>
      <c r="K865" s="9"/>
      <c r="L865" s="71"/>
    </row>
    <row r="866" spans="2:12" ht="15.75" customHeight="1" x14ac:dyDescent="0.25">
      <c r="B866" s="11"/>
      <c r="K866" s="9"/>
      <c r="L866" s="71"/>
    </row>
    <row r="867" spans="2:12" ht="15.75" customHeight="1" x14ac:dyDescent="0.25">
      <c r="B867" s="11"/>
      <c r="K867" s="9"/>
      <c r="L867" s="71"/>
    </row>
    <row r="868" spans="2:12" ht="15.75" customHeight="1" x14ac:dyDescent="0.25">
      <c r="B868" s="11"/>
      <c r="K868" s="9"/>
      <c r="L868" s="71"/>
    </row>
    <row r="869" spans="2:12" ht="15.75" customHeight="1" x14ac:dyDescent="0.25">
      <c r="B869" s="11"/>
      <c r="K869" s="9"/>
      <c r="L869" s="71"/>
    </row>
    <row r="870" spans="2:12" ht="15.75" customHeight="1" x14ac:dyDescent="0.25">
      <c r="B870" s="11"/>
      <c r="K870" s="9"/>
      <c r="L870" s="71"/>
    </row>
    <row r="871" spans="2:12" ht="15.75" customHeight="1" x14ac:dyDescent="0.25">
      <c r="B871" s="11"/>
      <c r="K871" s="9"/>
      <c r="L871" s="71"/>
    </row>
    <row r="872" spans="2:12" ht="15.75" customHeight="1" x14ac:dyDescent="0.25">
      <c r="B872" s="11"/>
      <c r="K872" s="9"/>
      <c r="L872" s="71"/>
    </row>
    <row r="873" spans="2:12" ht="15.75" customHeight="1" x14ac:dyDescent="0.25">
      <c r="B873" s="11"/>
      <c r="K873" s="9"/>
      <c r="L873" s="71"/>
    </row>
    <row r="874" spans="2:12" ht="15.75" customHeight="1" x14ac:dyDescent="0.25">
      <c r="B874" s="11"/>
      <c r="K874" s="9"/>
      <c r="L874" s="71"/>
    </row>
    <row r="875" spans="2:12" ht="15.75" customHeight="1" x14ac:dyDescent="0.25">
      <c r="B875" s="11"/>
      <c r="K875" s="9"/>
      <c r="L875" s="71"/>
    </row>
    <row r="876" spans="2:12" ht="15.75" customHeight="1" x14ac:dyDescent="0.25">
      <c r="B876" s="11"/>
      <c r="K876" s="9"/>
      <c r="L876" s="71"/>
    </row>
    <row r="877" spans="2:12" ht="15.75" customHeight="1" x14ac:dyDescent="0.25">
      <c r="B877" s="11"/>
      <c r="K877" s="9"/>
      <c r="L877" s="71"/>
    </row>
    <row r="878" spans="2:12" ht="15.75" customHeight="1" x14ac:dyDescent="0.25">
      <c r="B878" s="11"/>
      <c r="K878" s="9"/>
      <c r="L878" s="71"/>
    </row>
    <row r="879" spans="2:12" ht="15.75" customHeight="1" x14ac:dyDescent="0.25">
      <c r="B879" s="11"/>
      <c r="K879" s="9"/>
      <c r="L879" s="71"/>
    </row>
    <row r="880" spans="2:12" ht="15.75" customHeight="1" x14ac:dyDescent="0.25">
      <c r="B880" s="11"/>
      <c r="K880" s="9"/>
      <c r="L880" s="71"/>
    </row>
    <row r="881" spans="2:12" ht="15.75" customHeight="1" x14ac:dyDescent="0.25">
      <c r="B881" s="11"/>
      <c r="K881" s="9"/>
      <c r="L881" s="71"/>
    </row>
    <row r="882" spans="2:12" ht="15.75" customHeight="1" x14ac:dyDescent="0.25">
      <c r="B882" s="11"/>
      <c r="K882" s="9"/>
      <c r="L882" s="71"/>
    </row>
    <row r="883" spans="2:12" ht="15.75" customHeight="1" x14ac:dyDescent="0.25">
      <c r="B883" s="11"/>
      <c r="K883" s="9"/>
      <c r="L883" s="71"/>
    </row>
    <row r="884" spans="2:12" ht="15.75" customHeight="1" x14ac:dyDescent="0.25">
      <c r="B884" s="11"/>
      <c r="K884" s="9"/>
      <c r="L884" s="71"/>
    </row>
    <row r="885" spans="2:12" ht="15.75" customHeight="1" x14ac:dyDescent="0.25">
      <c r="B885" s="11"/>
      <c r="K885" s="9"/>
      <c r="L885" s="71"/>
    </row>
    <row r="886" spans="2:12" ht="15.75" customHeight="1" x14ac:dyDescent="0.25">
      <c r="B886" s="11"/>
      <c r="K886" s="9"/>
      <c r="L886" s="71"/>
    </row>
    <row r="887" spans="2:12" ht="15.75" customHeight="1" x14ac:dyDescent="0.25">
      <c r="B887" s="11"/>
      <c r="K887" s="9"/>
      <c r="L887" s="71"/>
    </row>
    <row r="888" spans="2:12" ht="15.75" customHeight="1" x14ac:dyDescent="0.25">
      <c r="B888" s="11"/>
      <c r="K888" s="9"/>
      <c r="L888" s="71"/>
    </row>
    <row r="889" spans="2:12" ht="15.75" customHeight="1" x14ac:dyDescent="0.25">
      <c r="B889" s="11"/>
      <c r="K889" s="9"/>
      <c r="L889" s="71"/>
    </row>
    <row r="890" spans="2:12" ht="15.75" customHeight="1" x14ac:dyDescent="0.25">
      <c r="B890" s="11"/>
      <c r="K890" s="9"/>
      <c r="L890" s="71"/>
    </row>
    <row r="891" spans="2:12" ht="15.75" customHeight="1" x14ac:dyDescent="0.25">
      <c r="B891" s="11"/>
      <c r="K891" s="9"/>
      <c r="L891" s="71"/>
    </row>
    <row r="892" spans="2:12" ht="15.75" customHeight="1" x14ac:dyDescent="0.25">
      <c r="B892" s="11"/>
      <c r="K892" s="9"/>
      <c r="L892" s="71"/>
    </row>
    <row r="893" spans="2:12" ht="15.75" customHeight="1" x14ac:dyDescent="0.25">
      <c r="B893" s="11"/>
      <c r="K893" s="9"/>
      <c r="L893" s="71"/>
    </row>
    <row r="894" spans="2:12" ht="15.75" customHeight="1" x14ac:dyDescent="0.25">
      <c r="B894" s="11"/>
      <c r="K894" s="9"/>
      <c r="L894" s="71"/>
    </row>
    <row r="895" spans="2:12" ht="15.75" customHeight="1" x14ac:dyDescent="0.25">
      <c r="B895" s="11"/>
      <c r="K895" s="9"/>
      <c r="L895" s="71"/>
    </row>
    <row r="896" spans="2:12" ht="15.75" customHeight="1" x14ac:dyDescent="0.25">
      <c r="B896" s="11"/>
      <c r="K896" s="9"/>
      <c r="L896" s="71"/>
    </row>
    <row r="897" spans="2:12" ht="15.75" customHeight="1" x14ac:dyDescent="0.25">
      <c r="B897" s="11"/>
      <c r="K897" s="9"/>
      <c r="L897" s="71"/>
    </row>
    <row r="898" spans="2:12" ht="15.75" customHeight="1" x14ac:dyDescent="0.25">
      <c r="B898" s="11"/>
      <c r="K898" s="9"/>
      <c r="L898" s="71"/>
    </row>
    <row r="899" spans="2:12" ht="15.75" customHeight="1" x14ac:dyDescent="0.25">
      <c r="B899" s="11"/>
      <c r="K899" s="9"/>
      <c r="L899" s="71"/>
    </row>
    <row r="900" spans="2:12" ht="15.75" customHeight="1" x14ac:dyDescent="0.25">
      <c r="B900" s="11"/>
      <c r="K900" s="9"/>
      <c r="L900" s="71"/>
    </row>
    <row r="901" spans="2:12" ht="15.75" customHeight="1" x14ac:dyDescent="0.25">
      <c r="B901" s="11"/>
      <c r="K901" s="9"/>
      <c r="L901" s="71"/>
    </row>
    <row r="902" spans="2:12" ht="15.75" customHeight="1" x14ac:dyDescent="0.25">
      <c r="B902" s="11"/>
      <c r="K902" s="9"/>
      <c r="L902" s="71"/>
    </row>
    <row r="903" spans="2:12" ht="15.75" customHeight="1" x14ac:dyDescent="0.25">
      <c r="B903" s="11"/>
      <c r="K903" s="9"/>
      <c r="L903" s="71"/>
    </row>
    <row r="904" spans="2:12" ht="15.75" customHeight="1" x14ac:dyDescent="0.25">
      <c r="B904" s="11"/>
      <c r="K904" s="9"/>
      <c r="L904" s="71"/>
    </row>
    <row r="905" spans="2:12" ht="15.75" customHeight="1" x14ac:dyDescent="0.25">
      <c r="B905" s="11"/>
      <c r="K905" s="9"/>
      <c r="L905" s="71"/>
    </row>
    <row r="906" spans="2:12" ht="15.75" customHeight="1" x14ac:dyDescent="0.25">
      <c r="B906" s="11"/>
      <c r="K906" s="9"/>
      <c r="L906" s="71"/>
    </row>
    <row r="907" spans="2:12" ht="15.75" customHeight="1" x14ac:dyDescent="0.25">
      <c r="B907" s="11"/>
      <c r="K907" s="9"/>
      <c r="L907" s="71"/>
    </row>
    <row r="908" spans="2:12" ht="15.75" customHeight="1" x14ac:dyDescent="0.25">
      <c r="B908" s="11"/>
      <c r="K908" s="9"/>
      <c r="L908" s="71"/>
    </row>
    <row r="909" spans="2:12" ht="15.75" customHeight="1" x14ac:dyDescent="0.25">
      <c r="B909" s="11"/>
      <c r="K909" s="9"/>
      <c r="L909" s="71"/>
    </row>
    <row r="910" spans="2:12" ht="15.75" customHeight="1" x14ac:dyDescent="0.25">
      <c r="B910" s="11"/>
      <c r="K910" s="9"/>
      <c r="L910" s="71"/>
    </row>
    <row r="911" spans="2:12" ht="15.75" customHeight="1" x14ac:dyDescent="0.25">
      <c r="B911" s="11"/>
      <c r="K911" s="9"/>
      <c r="L911" s="71"/>
    </row>
    <row r="912" spans="2:12" ht="15.75" customHeight="1" x14ac:dyDescent="0.25">
      <c r="B912" s="11"/>
      <c r="K912" s="9"/>
      <c r="L912" s="71"/>
    </row>
    <row r="913" spans="2:12" ht="15.75" customHeight="1" x14ac:dyDescent="0.25">
      <c r="B913" s="11"/>
      <c r="K913" s="9"/>
      <c r="L913" s="71"/>
    </row>
    <row r="914" spans="2:12" ht="15.75" customHeight="1" x14ac:dyDescent="0.25">
      <c r="B914" s="11"/>
      <c r="K914" s="9"/>
      <c r="L914" s="71"/>
    </row>
    <row r="915" spans="2:12" ht="15.75" customHeight="1" x14ac:dyDescent="0.25">
      <c r="B915" s="11"/>
      <c r="K915" s="9"/>
      <c r="L915" s="71"/>
    </row>
    <row r="916" spans="2:12" ht="15.75" customHeight="1" x14ac:dyDescent="0.25">
      <c r="B916" s="11"/>
      <c r="K916" s="9"/>
      <c r="L916" s="71"/>
    </row>
    <row r="917" spans="2:12" ht="15.75" customHeight="1" x14ac:dyDescent="0.25">
      <c r="B917" s="11"/>
      <c r="K917" s="9"/>
      <c r="L917" s="71"/>
    </row>
    <row r="918" spans="2:12" ht="15.75" customHeight="1" x14ac:dyDescent="0.25">
      <c r="B918" s="11"/>
      <c r="K918" s="9"/>
      <c r="L918" s="71"/>
    </row>
    <row r="919" spans="2:12" ht="15.75" customHeight="1" x14ac:dyDescent="0.25">
      <c r="B919" s="11"/>
      <c r="K919" s="9"/>
      <c r="L919" s="71"/>
    </row>
    <row r="920" spans="2:12" ht="15.75" customHeight="1" x14ac:dyDescent="0.25">
      <c r="B920" s="11"/>
      <c r="K920" s="9"/>
      <c r="L920" s="71"/>
    </row>
    <row r="921" spans="2:12" ht="15.75" customHeight="1" x14ac:dyDescent="0.25">
      <c r="B921" s="11"/>
      <c r="K921" s="9"/>
      <c r="L921" s="71"/>
    </row>
    <row r="922" spans="2:12" ht="15.75" customHeight="1" x14ac:dyDescent="0.25">
      <c r="B922" s="11"/>
      <c r="K922" s="9"/>
      <c r="L922" s="71"/>
    </row>
    <row r="923" spans="2:12" ht="15.75" customHeight="1" x14ac:dyDescent="0.25">
      <c r="B923" s="11"/>
      <c r="K923" s="9"/>
      <c r="L923" s="71"/>
    </row>
    <row r="924" spans="2:12" ht="15.75" customHeight="1" x14ac:dyDescent="0.25">
      <c r="B924" s="11"/>
      <c r="K924" s="9"/>
      <c r="L924" s="71"/>
    </row>
    <row r="925" spans="2:12" ht="15.75" customHeight="1" x14ac:dyDescent="0.25">
      <c r="B925" s="11"/>
      <c r="K925" s="9"/>
      <c r="L925" s="71"/>
    </row>
    <row r="926" spans="2:12" ht="15.75" customHeight="1" x14ac:dyDescent="0.25">
      <c r="B926" s="11"/>
      <c r="K926" s="9"/>
      <c r="L926" s="71"/>
    </row>
    <row r="927" spans="2:12" ht="15.75" customHeight="1" x14ac:dyDescent="0.25">
      <c r="B927" s="11"/>
      <c r="K927" s="9"/>
      <c r="L927" s="71"/>
    </row>
    <row r="928" spans="2:12" ht="15.75" customHeight="1" x14ac:dyDescent="0.25">
      <c r="B928" s="11"/>
      <c r="K928" s="9"/>
      <c r="L928" s="71"/>
    </row>
    <row r="929" spans="2:12" ht="15.75" customHeight="1" x14ac:dyDescent="0.25">
      <c r="B929" s="11"/>
      <c r="K929" s="9"/>
      <c r="L929" s="71"/>
    </row>
    <row r="930" spans="2:12" ht="15.75" customHeight="1" x14ac:dyDescent="0.25">
      <c r="B930" s="11"/>
      <c r="K930" s="9"/>
      <c r="L930" s="71"/>
    </row>
    <row r="931" spans="2:12" ht="15.75" customHeight="1" x14ac:dyDescent="0.25">
      <c r="B931" s="11"/>
      <c r="K931" s="9"/>
      <c r="L931" s="71"/>
    </row>
    <row r="932" spans="2:12" ht="15.75" customHeight="1" x14ac:dyDescent="0.25">
      <c r="B932" s="11"/>
      <c r="K932" s="9"/>
      <c r="L932" s="71"/>
    </row>
    <row r="933" spans="2:12" ht="15.75" customHeight="1" x14ac:dyDescent="0.25">
      <c r="B933" s="11"/>
      <c r="K933" s="9"/>
      <c r="L933" s="71"/>
    </row>
    <row r="934" spans="2:12" ht="15.75" customHeight="1" x14ac:dyDescent="0.25">
      <c r="B934" s="11"/>
      <c r="K934" s="9"/>
      <c r="L934" s="71"/>
    </row>
    <row r="935" spans="2:12" ht="15.75" customHeight="1" x14ac:dyDescent="0.25">
      <c r="B935" s="11"/>
      <c r="K935" s="9"/>
      <c r="L935" s="71"/>
    </row>
    <row r="936" spans="2:12" ht="15.75" customHeight="1" x14ac:dyDescent="0.25">
      <c r="B936" s="11"/>
      <c r="K936" s="9"/>
      <c r="L936" s="71"/>
    </row>
    <row r="937" spans="2:12" ht="15.75" customHeight="1" x14ac:dyDescent="0.25">
      <c r="B937" s="11"/>
      <c r="K937" s="9"/>
      <c r="L937" s="71"/>
    </row>
    <row r="938" spans="2:12" ht="15.75" customHeight="1" x14ac:dyDescent="0.25">
      <c r="B938" s="11"/>
      <c r="K938" s="9"/>
      <c r="L938" s="71"/>
    </row>
    <row r="939" spans="2:12" ht="15.75" customHeight="1" x14ac:dyDescent="0.25">
      <c r="B939" s="11"/>
      <c r="K939" s="9"/>
      <c r="L939" s="71"/>
    </row>
    <row r="940" spans="2:12" ht="15.75" customHeight="1" x14ac:dyDescent="0.25">
      <c r="B940" s="11"/>
      <c r="K940" s="9"/>
      <c r="L940" s="71"/>
    </row>
    <row r="941" spans="2:12" ht="15.75" customHeight="1" x14ac:dyDescent="0.25">
      <c r="B941" s="11"/>
      <c r="K941" s="9"/>
      <c r="L941" s="71"/>
    </row>
    <row r="942" spans="2:12" ht="15.75" customHeight="1" x14ac:dyDescent="0.25">
      <c r="B942" s="11"/>
      <c r="K942" s="9"/>
      <c r="L942" s="71"/>
    </row>
    <row r="943" spans="2:12" ht="15.75" customHeight="1" x14ac:dyDescent="0.25">
      <c r="B943" s="11"/>
      <c r="K943" s="9"/>
      <c r="L943" s="71"/>
    </row>
    <row r="944" spans="2:12" ht="15.75" customHeight="1" x14ac:dyDescent="0.25">
      <c r="B944" s="11"/>
      <c r="K944" s="9"/>
      <c r="L944" s="71"/>
    </row>
    <row r="945" spans="2:12" ht="15.75" customHeight="1" x14ac:dyDescent="0.25">
      <c r="B945" s="11"/>
      <c r="K945" s="9"/>
      <c r="L945" s="71"/>
    </row>
    <row r="946" spans="2:12" ht="15.75" customHeight="1" x14ac:dyDescent="0.25">
      <c r="B946" s="11"/>
      <c r="K946" s="9"/>
      <c r="L946" s="71"/>
    </row>
    <row r="947" spans="2:12" ht="15.75" customHeight="1" x14ac:dyDescent="0.25">
      <c r="B947" s="11"/>
      <c r="K947" s="9"/>
      <c r="L947" s="71"/>
    </row>
    <row r="948" spans="2:12" ht="15.75" customHeight="1" x14ac:dyDescent="0.25">
      <c r="B948" s="11"/>
      <c r="K948" s="9"/>
      <c r="L948" s="71"/>
    </row>
    <row r="949" spans="2:12" ht="15.75" customHeight="1" x14ac:dyDescent="0.25">
      <c r="B949" s="11"/>
      <c r="K949" s="9"/>
      <c r="L949" s="71"/>
    </row>
    <row r="950" spans="2:12" ht="15.75" customHeight="1" x14ac:dyDescent="0.25">
      <c r="B950" s="11"/>
      <c r="K950" s="9"/>
      <c r="L950" s="71"/>
    </row>
    <row r="951" spans="2:12" ht="15.75" customHeight="1" x14ac:dyDescent="0.25">
      <c r="B951" s="11"/>
      <c r="K951" s="9"/>
      <c r="L951" s="71"/>
    </row>
    <row r="952" spans="2:12" ht="15.75" customHeight="1" x14ac:dyDescent="0.25">
      <c r="B952" s="11"/>
      <c r="K952" s="9"/>
      <c r="L952" s="71"/>
    </row>
    <row r="953" spans="2:12" ht="15.75" customHeight="1" x14ac:dyDescent="0.25">
      <c r="B953" s="11"/>
      <c r="K953" s="9"/>
      <c r="L953" s="71"/>
    </row>
    <row r="954" spans="2:12" ht="15.75" customHeight="1" x14ac:dyDescent="0.25">
      <c r="B954" s="11"/>
      <c r="K954" s="9"/>
      <c r="L954" s="71"/>
    </row>
    <row r="955" spans="2:12" ht="15.75" customHeight="1" x14ac:dyDescent="0.25">
      <c r="B955" s="11"/>
      <c r="K955" s="9"/>
      <c r="L955" s="71"/>
    </row>
    <row r="956" spans="2:12" ht="15.75" customHeight="1" x14ac:dyDescent="0.25">
      <c r="B956" s="11"/>
      <c r="K956" s="9"/>
      <c r="L956" s="71"/>
    </row>
    <row r="957" spans="2:12" ht="15.75" customHeight="1" x14ac:dyDescent="0.25">
      <c r="B957" s="11"/>
      <c r="K957" s="9"/>
      <c r="L957" s="71"/>
    </row>
    <row r="958" spans="2:12" ht="15.75" customHeight="1" x14ac:dyDescent="0.25">
      <c r="B958" s="11"/>
      <c r="K958" s="9"/>
      <c r="L958" s="71"/>
    </row>
    <row r="959" spans="2:12" ht="15.75" customHeight="1" x14ac:dyDescent="0.25">
      <c r="B959" s="11"/>
      <c r="K959" s="9"/>
      <c r="L959" s="71"/>
    </row>
    <row r="960" spans="2:12" ht="15.75" customHeight="1" x14ac:dyDescent="0.25">
      <c r="B960" s="11"/>
      <c r="K960" s="9"/>
      <c r="L960" s="71"/>
    </row>
    <row r="961" spans="2:12" ht="15.75" customHeight="1" x14ac:dyDescent="0.25">
      <c r="B961" s="11"/>
      <c r="K961" s="9"/>
      <c r="L961" s="71"/>
    </row>
    <row r="962" spans="2:12" ht="15.75" customHeight="1" x14ac:dyDescent="0.25">
      <c r="B962" s="11"/>
      <c r="K962" s="9"/>
      <c r="L962" s="71"/>
    </row>
    <row r="963" spans="2:12" ht="15.75" customHeight="1" x14ac:dyDescent="0.25">
      <c r="B963" s="11"/>
      <c r="K963" s="9"/>
      <c r="L963" s="71"/>
    </row>
    <row r="964" spans="2:12" ht="15.75" customHeight="1" x14ac:dyDescent="0.25">
      <c r="B964" s="11"/>
      <c r="K964" s="9"/>
      <c r="L964" s="71"/>
    </row>
    <row r="965" spans="2:12" ht="15.75" customHeight="1" x14ac:dyDescent="0.25">
      <c r="B965" s="11"/>
      <c r="K965" s="9"/>
      <c r="L965" s="71"/>
    </row>
    <row r="966" spans="2:12" ht="15.75" customHeight="1" x14ac:dyDescent="0.25">
      <c r="B966" s="11"/>
      <c r="K966" s="9"/>
      <c r="L966" s="71"/>
    </row>
    <row r="967" spans="2:12" ht="15.75" customHeight="1" x14ac:dyDescent="0.25">
      <c r="B967" s="11"/>
      <c r="K967" s="9"/>
      <c r="L967" s="71"/>
    </row>
    <row r="968" spans="2:12" ht="15.75" customHeight="1" x14ac:dyDescent="0.25">
      <c r="B968" s="11"/>
      <c r="K968" s="9"/>
      <c r="L968" s="71"/>
    </row>
    <row r="969" spans="2:12" ht="15.75" customHeight="1" x14ac:dyDescent="0.25">
      <c r="B969" s="11"/>
      <c r="K969" s="9"/>
      <c r="L969" s="71"/>
    </row>
    <row r="970" spans="2:12" ht="15.75" customHeight="1" x14ac:dyDescent="0.25">
      <c r="B970" s="11"/>
      <c r="K970" s="9"/>
      <c r="L970" s="71"/>
    </row>
    <row r="971" spans="2:12" ht="15.75" customHeight="1" x14ac:dyDescent="0.25">
      <c r="B971" s="11"/>
      <c r="K971" s="9"/>
      <c r="L971" s="71"/>
    </row>
    <row r="972" spans="2:12" ht="15.75" customHeight="1" x14ac:dyDescent="0.25">
      <c r="B972" s="11"/>
      <c r="K972" s="9"/>
      <c r="L972" s="71"/>
    </row>
    <row r="973" spans="2:12" ht="15.75" customHeight="1" x14ac:dyDescent="0.25">
      <c r="B973" s="11"/>
      <c r="K973" s="9"/>
      <c r="L973" s="71"/>
    </row>
    <row r="974" spans="2:12" ht="15.75" customHeight="1" x14ac:dyDescent="0.25">
      <c r="B974" s="11"/>
      <c r="K974" s="9"/>
      <c r="L974" s="71"/>
    </row>
    <row r="975" spans="2:12" ht="15.75" customHeight="1" x14ac:dyDescent="0.25">
      <c r="B975" s="11"/>
      <c r="K975" s="9"/>
      <c r="L975" s="71"/>
    </row>
    <row r="976" spans="2:12" ht="15.75" customHeight="1" x14ac:dyDescent="0.25">
      <c r="B976" s="11"/>
      <c r="K976" s="9"/>
      <c r="L976" s="71"/>
    </row>
    <row r="977" spans="2:12" ht="15.75" customHeight="1" x14ac:dyDescent="0.25">
      <c r="B977" s="11"/>
      <c r="K977" s="9"/>
      <c r="L977" s="71"/>
    </row>
    <row r="978" spans="2:12" ht="15.75" customHeight="1" x14ac:dyDescent="0.25">
      <c r="B978" s="11"/>
      <c r="K978" s="9"/>
      <c r="L978" s="71"/>
    </row>
    <row r="979" spans="2:12" ht="15.75" customHeight="1" x14ac:dyDescent="0.25">
      <c r="B979" s="11"/>
      <c r="K979" s="9"/>
      <c r="L979" s="71"/>
    </row>
    <row r="980" spans="2:12" ht="15.75" customHeight="1" x14ac:dyDescent="0.25">
      <c r="B980" s="11"/>
      <c r="K980" s="9"/>
      <c r="L980" s="71"/>
    </row>
    <row r="981" spans="2:12" ht="15.75" customHeight="1" x14ac:dyDescent="0.25">
      <c r="B981" s="11"/>
      <c r="K981" s="9"/>
      <c r="L981" s="71"/>
    </row>
    <row r="982" spans="2:12" ht="15.75" customHeight="1" x14ac:dyDescent="0.25">
      <c r="B982" s="11"/>
      <c r="K982" s="9"/>
      <c r="L982" s="71"/>
    </row>
    <row r="983" spans="2:12" ht="15.75" customHeight="1" x14ac:dyDescent="0.25">
      <c r="B983" s="11"/>
      <c r="K983" s="9"/>
      <c r="L983" s="71"/>
    </row>
    <row r="984" spans="2:12" ht="15.75" customHeight="1" x14ac:dyDescent="0.25">
      <c r="B984" s="11"/>
      <c r="K984" s="9"/>
      <c r="L984" s="71"/>
    </row>
    <row r="985" spans="2:12" ht="15.75" customHeight="1" x14ac:dyDescent="0.25">
      <c r="B985" s="11"/>
      <c r="K985" s="9"/>
      <c r="L985" s="71"/>
    </row>
    <row r="986" spans="2:12" ht="15.75" customHeight="1" x14ac:dyDescent="0.25">
      <c r="B986" s="11"/>
      <c r="K986" s="9"/>
      <c r="L986" s="71"/>
    </row>
    <row r="987" spans="2:12" ht="15.75" customHeight="1" x14ac:dyDescent="0.25">
      <c r="B987" s="11"/>
      <c r="K987" s="9"/>
      <c r="L987" s="71"/>
    </row>
    <row r="988" spans="2:12" ht="15.75" customHeight="1" x14ac:dyDescent="0.25">
      <c r="B988" s="11"/>
      <c r="K988" s="9"/>
      <c r="L988" s="71"/>
    </row>
    <row r="989" spans="2:12" ht="15.75" customHeight="1" x14ac:dyDescent="0.25">
      <c r="B989" s="11"/>
      <c r="K989" s="9"/>
      <c r="L989" s="71"/>
    </row>
    <row r="990" spans="2:12" ht="15.75" customHeight="1" x14ac:dyDescent="0.25">
      <c r="B990" s="11"/>
      <c r="K990" s="9"/>
      <c r="L990" s="71"/>
    </row>
    <row r="991" spans="2:12" ht="15.75" customHeight="1" x14ac:dyDescent="0.25">
      <c r="B991" s="11"/>
      <c r="K991" s="9"/>
      <c r="L991" s="71"/>
    </row>
    <row r="992" spans="2:12" ht="15.75" customHeight="1" x14ac:dyDescent="0.25">
      <c r="B992" s="11"/>
      <c r="K992" s="9"/>
      <c r="L992" s="71"/>
    </row>
    <row r="993" spans="2:12" ht="15.75" customHeight="1" x14ac:dyDescent="0.25">
      <c r="B993" s="11"/>
      <c r="K993" s="9"/>
      <c r="L993" s="71"/>
    </row>
    <row r="994" spans="2:12" ht="15.75" customHeight="1" x14ac:dyDescent="0.25">
      <c r="B994" s="11"/>
      <c r="K994" s="9"/>
      <c r="L994" s="71"/>
    </row>
    <row r="995" spans="2:12" ht="15.75" customHeight="1" x14ac:dyDescent="0.25">
      <c r="B995" s="11"/>
      <c r="K995" s="9"/>
      <c r="L995" s="71"/>
    </row>
    <row r="996" spans="2:12" ht="15.75" customHeight="1" x14ac:dyDescent="0.25">
      <c r="B996" s="11"/>
      <c r="K996" s="9"/>
      <c r="L996" s="71"/>
    </row>
    <row r="997" spans="2:12" ht="15.75" customHeight="1" x14ac:dyDescent="0.25">
      <c r="B997" s="11"/>
      <c r="K997" s="9"/>
      <c r="L997" s="71"/>
    </row>
    <row r="998" spans="2:12" ht="15.75" customHeight="1" x14ac:dyDescent="0.25">
      <c r="B998" s="11"/>
      <c r="K998" s="9"/>
      <c r="L998" s="71"/>
    </row>
    <row r="999" spans="2:12" ht="15.75" customHeight="1" x14ac:dyDescent="0.25">
      <c r="B999" s="11"/>
      <c r="K999" s="9"/>
      <c r="L999" s="71"/>
    </row>
    <row r="1000" spans="2:12" ht="15.75" customHeight="1" x14ac:dyDescent="0.25">
      <c r="B1000" s="11"/>
      <c r="K1000" s="9"/>
      <c r="L1000" s="71"/>
    </row>
  </sheetData>
  <mergeCells count="6">
    <mergeCell ref="A26:A30"/>
    <mergeCell ref="G1:I1"/>
    <mergeCell ref="A2:A6"/>
    <mergeCell ref="A8:A12"/>
    <mergeCell ref="A14:A18"/>
    <mergeCell ref="A20:A24"/>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66"/>
  </sheetPr>
  <dimension ref="A1:N1000"/>
  <sheetViews>
    <sheetView workbookViewId="0"/>
  </sheetViews>
  <sheetFormatPr defaultColWidth="14.42578125" defaultRowHeight="15" customHeight="1" x14ac:dyDescent="0.25"/>
  <cols>
    <col min="1" max="1" width="51.140625" customWidth="1"/>
    <col min="2" max="2" width="9.140625" customWidth="1"/>
    <col min="3" max="3" width="18.7109375" customWidth="1"/>
    <col min="4" max="6" width="18.7109375" hidden="1" customWidth="1"/>
    <col min="7" max="11" width="18.7109375" customWidth="1"/>
    <col min="12" max="26" width="8.7109375" customWidth="1"/>
  </cols>
  <sheetData>
    <row r="1" spans="1:14" x14ac:dyDescent="0.25">
      <c r="B1" s="11"/>
    </row>
    <row r="2" spans="1:14" x14ac:dyDescent="0.25">
      <c r="A2" s="1"/>
      <c r="B2" s="2" t="s">
        <v>11</v>
      </c>
      <c r="C2" s="2" t="s">
        <v>12</v>
      </c>
      <c r="D2" s="2" t="s">
        <v>176</v>
      </c>
      <c r="E2" s="2" t="s">
        <v>177</v>
      </c>
      <c r="F2" s="2" t="s">
        <v>178</v>
      </c>
      <c r="G2" s="2" t="s">
        <v>13</v>
      </c>
      <c r="H2" s="2" t="s">
        <v>14</v>
      </c>
      <c r="I2" s="2" t="s">
        <v>15</v>
      </c>
      <c r="J2" s="2" t="s">
        <v>16</v>
      </c>
      <c r="K2" s="2" t="s">
        <v>17</v>
      </c>
      <c r="L2" s="8"/>
      <c r="M2" s="8"/>
    </row>
    <row r="3" spans="1:14" ht="18.75" x14ac:dyDescent="0.3">
      <c r="A3" s="60" t="s">
        <v>18</v>
      </c>
      <c r="B3" s="61"/>
      <c r="C3" s="1"/>
      <c r="D3" s="1"/>
      <c r="E3" s="1"/>
      <c r="F3" s="1"/>
      <c r="G3" s="212" t="s">
        <v>20</v>
      </c>
      <c r="H3" s="213"/>
      <c r="I3" s="214"/>
      <c r="J3" s="1"/>
      <c r="K3" s="1"/>
      <c r="L3" s="8"/>
      <c r="M3" s="8"/>
      <c r="N3" s="8"/>
    </row>
    <row r="4" spans="1:14" x14ac:dyDescent="0.25">
      <c r="A4" s="224" t="s">
        <v>21</v>
      </c>
      <c r="B4" s="62">
        <v>1</v>
      </c>
      <c r="C4" s="63" t="s">
        <v>139</v>
      </c>
      <c r="D4" s="22">
        <v>74.1561375</v>
      </c>
      <c r="E4" s="22">
        <v>109</v>
      </c>
      <c r="F4" s="22"/>
      <c r="G4" s="22">
        <f t="shared" ref="G4:G7" si="0">H4-_xlfn.STDEV.S(D4:F4)</f>
        <v>66.939737293518334</v>
      </c>
      <c r="H4" s="6">
        <f t="shared" ref="H4:H7" si="1">AVERAGE(D4:F4)</f>
        <v>91.57806875</v>
      </c>
      <c r="I4" s="22">
        <f t="shared" ref="I4:I7" si="2">H4+_xlfn.STDEV.S(D4:F4)</f>
        <v>116.21640020648167</v>
      </c>
      <c r="J4" s="22">
        <v>111</v>
      </c>
      <c r="K4" s="22">
        <v>155.65</v>
      </c>
      <c r="L4" s="8"/>
      <c r="M4" s="9"/>
      <c r="N4" s="9"/>
    </row>
    <row r="5" spans="1:14" x14ac:dyDescent="0.25">
      <c r="A5" s="217"/>
      <c r="B5" s="61">
        <v>2</v>
      </c>
      <c r="C5" s="64" t="s">
        <v>140</v>
      </c>
      <c r="D5" s="3">
        <v>103.73129999999999</v>
      </c>
      <c r="E5" s="3">
        <v>146</v>
      </c>
      <c r="F5" s="3"/>
      <c r="G5" s="3">
        <f t="shared" si="0"/>
        <v>94.977165598060068</v>
      </c>
      <c r="H5" s="5">
        <f t="shared" si="1"/>
        <v>124.86564999999999</v>
      </c>
      <c r="I5" s="3">
        <f t="shared" si="2"/>
        <v>154.75413440193989</v>
      </c>
      <c r="J5" s="3">
        <v>145</v>
      </c>
      <c r="K5" s="3">
        <v>204.78200000000001</v>
      </c>
      <c r="L5" s="8"/>
      <c r="M5" s="9"/>
      <c r="N5" s="9"/>
    </row>
    <row r="6" spans="1:14" x14ac:dyDescent="0.25">
      <c r="A6" s="217"/>
      <c r="B6" s="62">
        <v>3</v>
      </c>
      <c r="C6" s="63" t="s">
        <v>141</v>
      </c>
      <c r="D6" s="22">
        <v>130.19909555555557</v>
      </c>
      <c r="E6" s="22">
        <v>188</v>
      </c>
      <c r="F6" s="22"/>
      <c r="G6" s="22">
        <f t="shared" si="0"/>
        <v>118.22813628639545</v>
      </c>
      <c r="H6" s="6">
        <f t="shared" si="1"/>
        <v>159.09954777777779</v>
      </c>
      <c r="I6" s="22">
        <f t="shared" si="2"/>
        <v>199.97095926916012</v>
      </c>
      <c r="J6" s="22">
        <v>181</v>
      </c>
      <c r="K6" s="22">
        <v>222.28199999999998</v>
      </c>
      <c r="L6" s="8"/>
      <c r="M6" s="9"/>
      <c r="N6" s="9"/>
    </row>
    <row r="7" spans="1:14" x14ac:dyDescent="0.25">
      <c r="A7" s="217"/>
      <c r="B7" s="61">
        <v>4</v>
      </c>
      <c r="C7" s="61" t="s">
        <v>142</v>
      </c>
      <c r="D7" s="3">
        <v>141.39118999999999</v>
      </c>
      <c r="E7" s="3">
        <v>257</v>
      </c>
      <c r="F7" s="3"/>
      <c r="G7" s="3">
        <f t="shared" si="0"/>
        <v>117.4478214840928</v>
      </c>
      <c r="H7" s="5">
        <f t="shared" si="1"/>
        <v>199.195595</v>
      </c>
      <c r="I7" s="3">
        <f t="shared" si="2"/>
        <v>280.9433685159072</v>
      </c>
      <c r="J7" s="3">
        <v>228</v>
      </c>
      <c r="K7" s="3">
        <v>278.59199999999998</v>
      </c>
      <c r="L7" s="8"/>
      <c r="M7" s="9"/>
      <c r="N7" s="9"/>
    </row>
    <row r="8" spans="1:14" x14ac:dyDescent="0.25">
      <c r="A8" s="218"/>
      <c r="B8" s="61"/>
      <c r="C8" s="61"/>
      <c r="D8" s="1"/>
      <c r="E8" s="1"/>
      <c r="F8" s="1"/>
      <c r="G8" s="1"/>
      <c r="H8" s="4"/>
      <c r="I8" s="1"/>
      <c r="J8" s="1"/>
      <c r="K8" s="3"/>
      <c r="L8" s="8"/>
      <c r="M8" s="9"/>
      <c r="N8" s="9"/>
    </row>
    <row r="9" spans="1:14" ht="18.75" x14ac:dyDescent="0.3">
      <c r="A9" s="60" t="s">
        <v>32</v>
      </c>
      <c r="B9" s="61"/>
      <c r="C9" s="1"/>
      <c r="D9" s="1"/>
      <c r="E9" s="1"/>
      <c r="F9" s="1"/>
      <c r="G9" s="1"/>
      <c r="H9" s="4"/>
      <c r="I9" s="1"/>
      <c r="J9" s="1"/>
      <c r="K9" s="3"/>
      <c r="L9" s="8"/>
      <c r="M9" s="9"/>
      <c r="N9" s="9"/>
    </row>
    <row r="10" spans="1:14" x14ac:dyDescent="0.25">
      <c r="A10" s="216" t="s">
        <v>143</v>
      </c>
      <c r="B10" s="62">
        <v>1</v>
      </c>
      <c r="C10" s="62" t="s">
        <v>139</v>
      </c>
      <c r="D10" s="22">
        <v>79.912697142857141</v>
      </c>
      <c r="E10" s="22">
        <v>111</v>
      </c>
      <c r="F10" s="45"/>
      <c r="G10" s="22">
        <f t="shared" ref="G10:G13" si="3">H10-_xlfn.STDEV.S(D10:F10)</f>
        <v>73.474305912342984</v>
      </c>
      <c r="H10" s="6">
        <f t="shared" ref="H10:H13" si="4">AVERAGE(D10:F10)</f>
        <v>95.456348571428578</v>
      </c>
      <c r="I10" s="22">
        <f t="shared" ref="I10:I13" si="5">H10+_xlfn.STDEV.S(D10:F10)</f>
        <v>117.43839123051417</v>
      </c>
      <c r="J10" s="22">
        <v>114</v>
      </c>
      <c r="K10" s="22">
        <v>150.97399999999999</v>
      </c>
      <c r="L10" s="8"/>
      <c r="M10" s="9"/>
      <c r="N10" s="9"/>
    </row>
    <row r="11" spans="1:14" x14ac:dyDescent="0.25">
      <c r="A11" s="217"/>
      <c r="B11" s="61">
        <v>2</v>
      </c>
      <c r="C11" s="61" t="s">
        <v>140</v>
      </c>
      <c r="D11" s="3">
        <v>118.61644799999999</v>
      </c>
      <c r="E11" s="3">
        <v>138</v>
      </c>
      <c r="F11" s="1"/>
      <c r="G11" s="3">
        <f t="shared" si="3"/>
        <v>114.60198293731793</v>
      </c>
      <c r="H11" s="5">
        <f t="shared" si="4"/>
        <v>128.308224</v>
      </c>
      <c r="I11" s="3">
        <f t="shared" si="5"/>
        <v>142.01446506268206</v>
      </c>
      <c r="J11" s="3">
        <v>145</v>
      </c>
      <c r="K11" s="3">
        <v>187.45400000000001</v>
      </c>
      <c r="L11" s="8"/>
      <c r="M11" s="9" t="s">
        <v>179</v>
      </c>
      <c r="N11" s="9"/>
    </row>
    <row r="12" spans="1:14" x14ac:dyDescent="0.25">
      <c r="A12" s="217"/>
      <c r="B12" s="62">
        <v>3</v>
      </c>
      <c r="C12" s="62" t="s">
        <v>141</v>
      </c>
      <c r="D12" s="22">
        <v>146.53030142857142</v>
      </c>
      <c r="E12" s="22">
        <v>177</v>
      </c>
      <c r="F12" s="45"/>
      <c r="G12" s="22">
        <f t="shared" si="3"/>
        <v>140.21982023371851</v>
      </c>
      <c r="H12" s="6">
        <f t="shared" si="4"/>
        <v>161.76515071428571</v>
      </c>
      <c r="I12" s="22">
        <f t="shared" si="5"/>
        <v>183.31048119485291</v>
      </c>
      <c r="J12" s="22">
        <v>181</v>
      </c>
      <c r="K12" s="22">
        <v>224.64000000000001</v>
      </c>
      <c r="L12" s="8"/>
      <c r="M12" s="9"/>
      <c r="N12" s="9"/>
    </row>
    <row r="13" spans="1:14" x14ac:dyDescent="0.25">
      <c r="A13" s="217"/>
      <c r="B13" s="61">
        <v>4</v>
      </c>
      <c r="C13" s="61" t="s">
        <v>142</v>
      </c>
      <c r="D13" s="3">
        <v>159.34099999999998</v>
      </c>
      <c r="E13" s="3">
        <v>189</v>
      </c>
      <c r="F13" s="1"/>
      <c r="G13" s="3">
        <f t="shared" si="3"/>
        <v>153.19841997678819</v>
      </c>
      <c r="H13" s="5">
        <f t="shared" si="4"/>
        <v>174.1705</v>
      </c>
      <c r="I13" s="3">
        <f t="shared" si="5"/>
        <v>195.14258002321182</v>
      </c>
      <c r="J13" s="3">
        <v>228</v>
      </c>
      <c r="K13" s="3">
        <v>278.90600000000001</v>
      </c>
      <c r="L13" s="8"/>
      <c r="M13" s="9"/>
      <c r="N13" s="9"/>
    </row>
    <row r="14" spans="1:14" x14ac:dyDescent="0.25">
      <c r="A14" s="218"/>
      <c r="B14" s="61"/>
      <c r="C14" s="1"/>
      <c r="D14" s="1"/>
      <c r="E14" s="1"/>
      <c r="F14" s="1"/>
      <c r="G14" s="3"/>
      <c r="H14" s="4"/>
      <c r="I14" s="3"/>
      <c r="J14" s="1"/>
      <c r="K14" s="1"/>
      <c r="L14" s="8"/>
      <c r="M14" s="9"/>
      <c r="N14" s="9"/>
    </row>
    <row r="15" spans="1:14" ht="18.75" x14ac:dyDescent="0.3">
      <c r="A15" s="60" t="s">
        <v>36</v>
      </c>
      <c r="B15" s="61"/>
      <c r="C15" s="1"/>
      <c r="D15" s="1"/>
      <c r="E15" s="1"/>
      <c r="F15" s="1"/>
      <c r="G15" s="3"/>
      <c r="H15" s="4"/>
      <c r="I15" s="3"/>
      <c r="J15" s="1"/>
      <c r="K15" s="1"/>
      <c r="L15" s="8"/>
      <c r="M15" s="9"/>
      <c r="N15" s="9"/>
    </row>
    <row r="16" spans="1:14" x14ac:dyDescent="0.25">
      <c r="A16" s="216" t="s">
        <v>37</v>
      </c>
      <c r="B16" s="62">
        <v>1</v>
      </c>
      <c r="C16" s="62" t="s">
        <v>139</v>
      </c>
      <c r="D16" s="22">
        <v>73.265135999999998</v>
      </c>
      <c r="E16" s="22">
        <v>112</v>
      </c>
      <c r="F16" s="45"/>
      <c r="G16" s="22">
        <f t="shared" ref="G16:G19" si="6">H16-_xlfn.STDEV.S(D16:F16)</f>
        <v>65.24288299726129</v>
      </c>
      <c r="H16" s="6">
        <f t="shared" ref="H16:H19" si="7">AVERAGE(D16:F16)</f>
        <v>92.632567999999992</v>
      </c>
      <c r="I16" s="22">
        <f t="shared" ref="I16:I19" si="8">H16+_xlfn.STDEV.S(D16:F16)</f>
        <v>120.02225300273869</v>
      </c>
      <c r="J16" s="22">
        <v>108</v>
      </c>
      <c r="K16" s="22">
        <v>136.96</v>
      </c>
      <c r="L16" s="8"/>
      <c r="M16" s="9"/>
      <c r="N16" s="9"/>
    </row>
    <row r="17" spans="1:14" x14ac:dyDescent="0.25">
      <c r="A17" s="217"/>
      <c r="B17" s="61">
        <v>2</v>
      </c>
      <c r="C17" s="61" t="s">
        <v>140</v>
      </c>
      <c r="D17" s="3">
        <v>108.989656</v>
      </c>
      <c r="E17" s="3">
        <v>132.66666666666666</v>
      </c>
      <c r="F17" s="1"/>
      <c r="G17" s="3">
        <f t="shared" si="6"/>
        <v>104.08598653270711</v>
      </c>
      <c r="H17" s="5">
        <f t="shared" si="7"/>
        <v>120.82816133333333</v>
      </c>
      <c r="I17" s="3">
        <f t="shared" si="8"/>
        <v>137.57033613395953</v>
      </c>
      <c r="J17" s="3">
        <v>136</v>
      </c>
      <c r="K17" s="3">
        <v>168.12666666666667</v>
      </c>
      <c r="L17" s="8"/>
      <c r="M17" s="9"/>
      <c r="N17" s="9"/>
    </row>
    <row r="18" spans="1:14" x14ac:dyDescent="0.25">
      <c r="A18" s="217"/>
      <c r="B18" s="62">
        <v>3</v>
      </c>
      <c r="C18" s="62" t="s">
        <v>141</v>
      </c>
      <c r="D18" s="22">
        <v>130.18375999999998</v>
      </c>
      <c r="E18" s="22">
        <v>144</v>
      </c>
      <c r="F18" s="45"/>
      <c r="G18" s="22">
        <f t="shared" si="6"/>
        <v>127.32232300549916</v>
      </c>
      <c r="H18" s="6">
        <f t="shared" si="7"/>
        <v>137.09188</v>
      </c>
      <c r="I18" s="22">
        <f t="shared" si="8"/>
        <v>146.86143699450085</v>
      </c>
      <c r="J18" s="22">
        <v>169</v>
      </c>
      <c r="K18" s="22">
        <v>203.74666666666667</v>
      </c>
      <c r="L18" s="8"/>
      <c r="M18" s="9"/>
      <c r="N18" s="9"/>
    </row>
    <row r="19" spans="1:14" x14ac:dyDescent="0.25">
      <c r="A19" s="217"/>
      <c r="B19" s="61">
        <v>4</v>
      </c>
      <c r="C19" s="61" t="s">
        <v>142</v>
      </c>
      <c r="D19" s="3">
        <v>149.44476</v>
      </c>
      <c r="E19" s="3">
        <v>181</v>
      </c>
      <c r="F19" s="1"/>
      <c r="G19" s="3">
        <f t="shared" si="6"/>
        <v>142.90945581403099</v>
      </c>
      <c r="H19" s="5">
        <f t="shared" si="7"/>
        <v>165.22237999999999</v>
      </c>
      <c r="I19" s="3">
        <f t="shared" si="8"/>
        <v>187.53530418596898</v>
      </c>
      <c r="J19" s="3">
        <v>218</v>
      </c>
      <c r="K19" s="3">
        <v>246.01000000000002</v>
      </c>
      <c r="L19" s="8"/>
      <c r="M19" s="9"/>
      <c r="N19" s="9"/>
    </row>
    <row r="20" spans="1:14" x14ac:dyDescent="0.25">
      <c r="A20" s="218"/>
      <c r="B20" s="61"/>
      <c r="C20" s="1"/>
      <c r="D20" s="1"/>
      <c r="E20" s="1"/>
      <c r="F20" s="1"/>
      <c r="G20" s="3"/>
      <c r="H20" s="4"/>
      <c r="I20" s="3"/>
      <c r="J20" s="1"/>
      <c r="K20" s="1"/>
      <c r="L20" s="8"/>
      <c r="M20" s="9"/>
      <c r="N20" s="9"/>
    </row>
    <row r="21" spans="1:14" ht="15.75" customHeight="1" x14ac:dyDescent="0.3">
      <c r="A21" s="60" t="s">
        <v>43</v>
      </c>
      <c r="B21" s="61"/>
      <c r="C21" s="1"/>
      <c r="D21" s="1"/>
      <c r="E21" s="1"/>
      <c r="F21" s="1"/>
      <c r="G21" s="3"/>
      <c r="H21" s="4"/>
      <c r="I21" s="3"/>
      <c r="J21" s="1"/>
      <c r="K21" s="1"/>
      <c r="L21" s="8"/>
      <c r="M21" s="9"/>
      <c r="N21" s="9"/>
    </row>
    <row r="22" spans="1:14" ht="15.75" customHeight="1" x14ac:dyDescent="0.25">
      <c r="A22" s="216" t="s">
        <v>44</v>
      </c>
      <c r="B22" s="62">
        <v>1</v>
      </c>
      <c r="C22" s="63" t="s">
        <v>139</v>
      </c>
      <c r="D22" s="22">
        <v>44.032499999999999</v>
      </c>
      <c r="E22" s="22">
        <v>98.166666666666671</v>
      </c>
      <c r="F22" s="45"/>
      <c r="G22" s="22">
        <f t="shared" ref="G22:G25" si="9">H22-_xlfn.STDEV.S(D22:F22)</f>
        <v>32.82094698945054</v>
      </c>
      <c r="H22" s="6">
        <f t="shared" ref="H22:H25" si="10">AVERAGE(D22:F22)</f>
        <v>71.099583333333328</v>
      </c>
      <c r="I22" s="22">
        <f t="shared" ref="I22:I25" si="11">H22+_xlfn.STDEV.S(D22:F22)</f>
        <v>109.37821967721612</v>
      </c>
      <c r="J22" s="22">
        <v>109</v>
      </c>
      <c r="K22" s="22">
        <v>123.53333333333335</v>
      </c>
      <c r="L22" s="8"/>
      <c r="M22" s="9"/>
      <c r="N22" s="9"/>
    </row>
    <row r="23" spans="1:14" ht="15.75" customHeight="1" x14ac:dyDescent="0.25">
      <c r="A23" s="217"/>
      <c r="B23" s="61">
        <v>2</v>
      </c>
      <c r="C23" s="64" t="s">
        <v>140</v>
      </c>
      <c r="D23" s="3">
        <v>98.014285000000001</v>
      </c>
      <c r="E23" s="3">
        <v>126.5</v>
      </c>
      <c r="F23" s="1"/>
      <c r="G23" s="3">
        <f t="shared" si="9"/>
        <v>92.11470025655268</v>
      </c>
      <c r="H23" s="5">
        <f t="shared" si="10"/>
        <v>112.2571425</v>
      </c>
      <c r="I23" s="3">
        <f t="shared" si="11"/>
        <v>132.39958474344732</v>
      </c>
      <c r="J23" s="3">
        <v>136</v>
      </c>
      <c r="K23" s="3">
        <v>150.19499999999996</v>
      </c>
      <c r="L23" s="8"/>
      <c r="M23" s="9"/>
      <c r="N23" s="9"/>
    </row>
    <row r="24" spans="1:14" ht="15.75" customHeight="1" x14ac:dyDescent="0.25">
      <c r="A24" s="217"/>
      <c r="B24" s="62">
        <v>3</v>
      </c>
      <c r="C24" s="63" t="s">
        <v>141</v>
      </c>
      <c r="D24" s="22">
        <v>143.46251999999998</v>
      </c>
      <c r="E24" s="22">
        <v>151.33333333333334</v>
      </c>
      <c r="F24" s="45"/>
      <c r="G24" s="22">
        <f t="shared" si="9"/>
        <v>141.83242118521315</v>
      </c>
      <c r="H24" s="6">
        <f t="shared" si="10"/>
        <v>147.39792666666665</v>
      </c>
      <c r="I24" s="22">
        <f t="shared" si="11"/>
        <v>152.96343214812015</v>
      </c>
      <c r="J24" s="22">
        <v>171</v>
      </c>
      <c r="K24" s="22">
        <v>183.32333333333335</v>
      </c>
      <c r="L24" s="8"/>
      <c r="M24" s="8"/>
      <c r="N24" s="8"/>
    </row>
    <row r="25" spans="1:14" ht="15.75" customHeight="1" x14ac:dyDescent="0.25">
      <c r="A25" s="217"/>
      <c r="B25" s="61">
        <v>4</v>
      </c>
      <c r="C25" s="61" t="s">
        <v>142</v>
      </c>
      <c r="D25" s="3">
        <v>156.74265333333332</v>
      </c>
      <c r="E25" s="3">
        <v>174.66666666666666</v>
      </c>
      <c r="F25" s="1"/>
      <c r="G25" s="3">
        <f t="shared" si="9"/>
        <v>153.03046862592188</v>
      </c>
      <c r="H25" s="5">
        <f t="shared" si="10"/>
        <v>165.70465999999999</v>
      </c>
      <c r="I25" s="3">
        <f t="shared" si="11"/>
        <v>178.3788513740781</v>
      </c>
      <c r="J25" s="3">
        <v>214</v>
      </c>
      <c r="K25" s="3">
        <v>225.00666666666666</v>
      </c>
      <c r="L25" s="8"/>
      <c r="M25" s="8"/>
    </row>
    <row r="26" spans="1:14" ht="15.75" customHeight="1" x14ac:dyDescent="0.25">
      <c r="A26" s="218"/>
      <c r="B26" s="61"/>
      <c r="C26" s="1"/>
      <c r="D26" s="1"/>
      <c r="E26" s="1"/>
      <c r="F26" s="1"/>
      <c r="G26" s="3"/>
      <c r="H26" s="4"/>
      <c r="I26" s="3"/>
      <c r="J26" s="1"/>
      <c r="K26" s="1"/>
      <c r="L26" s="8"/>
      <c r="M26" s="8"/>
    </row>
    <row r="27" spans="1:14" ht="15.75" customHeight="1" x14ac:dyDescent="0.3">
      <c r="A27" s="60" t="s">
        <v>47</v>
      </c>
      <c r="B27" s="61"/>
      <c r="C27" s="1"/>
      <c r="D27" s="1"/>
      <c r="E27" s="1"/>
      <c r="F27" s="1"/>
      <c r="G27" s="3"/>
      <c r="H27" s="4"/>
      <c r="I27" s="3"/>
      <c r="J27" s="1"/>
      <c r="K27" s="1"/>
      <c r="L27" s="8"/>
      <c r="M27" s="8"/>
    </row>
    <row r="28" spans="1:14" ht="15.75" customHeight="1" x14ac:dyDescent="0.25">
      <c r="A28" s="216" t="s">
        <v>48</v>
      </c>
      <c r="B28" s="62">
        <v>1</v>
      </c>
      <c r="C28" s="63" t="s">
        <v>139</v>
      </c>
      <c r="D28" s="22">
        <v>55.420180000000002</v>
      </c>
      <c r="E28" s="22">
        <v>95.4</v>
      </c>
      <c r="F28" s="45"/>
      <c r="G28" s="22">
        <f t="shared" ref="G28:G30" si="12">H28-_xlfn.STDEV.S(D28:F28)</f>
        <v>47.140088167382387</v>
      </c>
      <c r="H28" s="6">
        <f t="shared" ref="H28:H31" si="13">AVERAGE(D28:F28)</f>
        <v>75.410089999999997</v>
      </c>
      <c r="I28" s="22">
        <f t="shared" ref="I28:I30" si="14">H28+_xlfn.STDEV.S(D28:F28)</f>
        <v>103.68009183261761</v>
      </c>
      <c r="J28" s="22">
        <v>108</v>
      </c>
      <c r="K28" s="22">
        <v>79.314000000000007</v>
      </c>
      <c r="L28" s="8"/>
      <c r="M28" s="8"/>
    </row>
    <row r="29" spans="1:14" ht="15.75" customHeight="1" x14ac:dyDescent="0.25">
      <c r="A29" s="217"/>
      <c r="B29" s="61">
        <v>2</v>
      </c>
      <c r="C29" s="64" t="s">
        <v>140</v>
      </c>
      <c r="D29" s="3">
        <v>68.958500000000001</v>
      </c>
      <c r="E29" s="3">
        <v>111</v>
      </c>
      <c r="F29" s="1"/>
      <c r="G29" s="3">
        <f t="shared" si="12"/>
        <v>60.251420258745796</v>
      </c>
      <c r="H29" s="5">
        <f t="shared" si="13"/>
        <v>89.979250000000008</v>
      </c>
      <c r="I29" s="3">
        <f t="shared" si="14"/>
        <v>119.70707974125422</v>
      </c>
      <c r="J29" s="3">
        <v>137</v>
      </c>
      <c r="K29" s="3">
        <v>102.97999999999999</v>
      </c>
      <c r="L29" s="8"/>
      <c r="M29" s="8"/>
    </row>
    <row r="30" spans="1:14" ht="15.75" customHeight="1" x14ac:dyDescent="0.25">
      <c r="A30" s="217"/>
      <c r="B30" s="62">
        <v>3</v>
      </c>
      <c r="C30" s="63" t="s">
        <v>141</v>
      </c>
      <c r="D30" s="22">
        <v>115.67334888888887</v>
      </c>
      <c r="E30" s="22">
        <v>131.5</v>
      </c>
      <c r="F30" s="45"/>
      <c r="G30" s="22">
        <f t="shared" si="12"/>
        <v>112.39554212030416</v>
      </c>
      <c r="H30" s="6">
        <f t="shared" si="13"/>
        <v>123.58667444444444</v>
      </c>
      <c r="I30" s="22">
        <f t="shared" si="14"/>
        <v>134.77780676858472</v>
      </c>
      <c r="J30" s="22">
        <v>167</v>
      </c>
      <c r="K30" s="22">
        <v>130.53000000000003</v>
      </c>
      <c r="L30" s="8"/>
      <c r="M30" s="8"/>
    </row>
    <row r="31" spans="1:14" ht="15.75" customHeight="1" x14ac:dyDescent="0.25">
      <c r="A31" s="217"/>
      <c r="B31" s="61">
        <v>4</v>
      </c>
      <c r="C31" s="61" t="s">
        <v>142</v>
      </c>
      <c r="D31" s="3">
        <v>128.43894</v>
      </c>
      <c r="E31" s="1"/>
      <c r="F31" s="1"/>
      <c r="G31" s="3">
        <f>0.93*H31</f>
        <v>119.44821420000001</v>
      </c>
      <c r="H31" s="5">
        <f t="shared" si="13"/>
        <v>128.43894</v>
      </c>
      <c r="I31" s="3">
        <f>H31*1.07</f>
        <v>137.42966580000001</v>
      </c>
      <c r="J31" s="3">
        <v>212</v>
      </c>
      <c r="K31" s="3">
        <v>158.15600000000001</v>
      </c>
      <c r="L31" s="8"/>
      <c r="M31" s="8"/>
    </row>
    <row r="32" spans="1:14" ht="15.75" customHeight="1" x14ac:dyDescent="0.25">
      <c r="A32" s="218"/>
      <c r="B32" s="61"/>
      <c r="C32" s="1"/>
      <c r="D32" s="1"/>
      <c r="E32" s="1"/>
      <c r="F32" s="1"/>
      <c r="G32" s="1"/>
      <c r="H32" s="1"/>
      <c r="I32" s="1"/>
      <c r="J32" s="1"/>
      <c r="K32" s="1"/>
      <c r="L32" s="8"/>
      <c r="M32" s="8"/>
    </row>
    <row r="33" spans="1:13" ht="15" customHeight="1" x14ac:dyDescent="0.25">
      <c r="A33" s="219" t="s">
        <v>75</v>
      </c>
      <c r="B33" s="220"/>
      <c r="C33" s="220"/>
      <c r="D33" s="220"/>
      <c r="E33" s="220"/>
      <c r="F33" s="220"/>
      <c r="G33" s="220"/>
      <c r="H33" s="220"/>
      <c r="I33" s="220"/>
      <c r="J33" s="221"/>
      <c r="L33" s="8"/>
      <c r="M33" s="8"/>
    </row>
    <row r="34" spans="1:13" ht="15.75" customHeight="1" x14ac:dyDescent="0.25">
      <c r="A34" s="222"/>
      <c r="B34" s="209"/>
      <c r="C34" s="209"/>
      <c r="D34" s="209"/>
      <c r="E34" s="209"/>
      <c r="F34" s="209"/>
      <c r="G34" s="209"/>
      <c r="H34" s="209"/>
      <c r="I34" s="209"/>
      <c r="J34" s="206"/>
      <c r="L34" s="8"/>
      <c r="M34" s="8"/>
    </row>
    <row r="35" spans="1:13" ht="15.75" customHeight="1" x14ac:dyDescent="0.25">
      <c r="A35" s="223"/>
      <c r="B35" s="211"/>
      <c r="C35" s="211"/>
      <c r="D35" s="211"/>
      <c r="E35" s="211"/>
      <c r="F35" s="211"/>
      <c r="G35" s="211"/>
      <c r="H35" s="211"/>
      <c r="I35" s="211"/>
      <c r="J35" s="207"/>
      <c r="L35" s="8"/>
      <c r="M35" s="8"/>
    </row>
    <row r="36" spans="1:13" ht="15.75" customHeight="1" x14ac:dyDescent="0.25">
      <c r="B36" s="11"/>
      <c r="L36" s="8"/>
      <c r="M36" s="8"/>
    </row>
    <row r="37" spans="1:13" ht="15.75" customHeight="1" x14ac:dyDescent="0.25">
      <c r="B37" s="11"/>
      <c r="L37" s="8"/>
      <c r="M37" s="8"/>
    </row>
    <row r="38" spans="1:13" ht="15.75" customHeight="1" x14ac:dyDescent="0.25">
      <c r="B38" s="11"/>
    </row>
    <row r="39" spans="1:13" ht="15.75" customHeight="1" x14ac:dyDescent="0.25">
      <c r="B39" s="11"/>
    </row>
    <row r="40" spans="1:13" ht="15.75" customHeight="1" x14ac:dyDescent="0.25">
      <c r="B40" s="11"/>
    </row>
    <row r="41" spans="1:13" ht="15.75" customHeight="1" x14ac:dyDescent="0.25">
      <c r="B41" s="11"/>
    </row>
    <row r="42" spans="1:13" ht="15.75" customHeight="1" x14ac:dyDescent="0.25">
      <c r="B42" s="11"/>
    </row>
    <row r="43" spans="1:13" ht="15.75" customHeight="1" x14ac:dyDescent="0.25">
      <c r="B43" s="11"/>
    </row>
    <row r="44" spans="1:13" ht="15.75" customHeight="1" x14ac:dyDescent="0.25">
      <c r="B44" s="11"/>
    </row>
    <row r="45" spans="1:13" ht="15.75" customHeight="1" x14ac:dyDescent="0.25">
      <c r="B45" s="11"/>
    </row>
    <row r="46" spans="1:13" ht="15.75" customHeight="1" x14ac:dyDescent="0.25">
      <c r="B46" s="11"/>
    </row>
    <row r="47" spans="1:13" ht="15.75" customHeight="1" x14ac:dyDescent="0.25">
      <c r="B47" s="11"/>
    </row>
    <row r="48" spans="1:13" ht="15.75" customHeight="1" x14ac:dyDescent="0.25">
      <c r="B48" s="11"/>
    </row>
    <row r="49" spans="2:2" ht="15.75" customHeight="1" x14ac:dyDescent="0.25">
      <c r="B49" s="11"/>
    </row>
    <row r="50" spans="2:2" ht="15.75" customHeight="1" x14ac:dyDescent="0.25">
      <c r="B50" s="11"/>
    </row>
    <row r="51" spans="2:2" ht="15.75" customHeight="1" x14ac:dyDescent="0.25">
      <c r="B51" s="11"/>
    </row>
    <row r="52" spans="2:2" ht="15.75" customHeight="1" x14ac:dyDescent="0.25">
      <c r="B52" s="11"/>
    </row>
    <row r="53" spans="2:2" ht="15.75" customHeight="1" x14ac:dyDescent="0.25">
      <c r="B53" s="11"/>
    </row>
    <row r="54" spans="2:2" ht="15.75" customHeight="1" x14ac:dyDescent="0.25">
      <c r="B54" s="11"/>
    </row>
    <row r="55" spans="2:2" ht="15.75" customHeight="1" x14ac:dyDescent="0.25">
      <c r="B55" s="11"/>
    </row>
    <row r="56" spans="2:2" ht="15.75" customHeight="1" x14ac:dyDescent="0.25">
      <c r="B56" s="11"/>
    </row>
    <row r="57" spans="2:2" ht="15.75" customHeight="1" x14ac:dyDescent="0.25">
      <c r="B57" s="11"/>
    </row>
    <row r="58" spans="2:2" ht="15.75" customHeight="1" x14ac:dyDescent="0.25">
      <c r="B58" s="11"/>
    </row>
    <row r="59" spans="2:2" ht="15.75" customHeight="1" x14ac:dyDescent="0.25">
      <c r="B59" s="11"/>
    </row>
    <row r="60" spans="2:2" ht="15.75" customHeight="1" x14ac:dyDescent="0.25">
      <c r="B60" s="11"/>
    </row>
    <row r="61" spans="2:2" ht="15.75" customHeight="1" x14ac:dyDescent="0.25">
      <c r="B61" s="11"/>
    </row>
    <row r="62" spans="2:2" ht="15.75" customHeight="1" x14ac:dyDescent="0.25">
      <c r="B62" s="11"/>
    </row>
    <row r="63" spans="2:2" ht="15.75" customHeight="1" x14ac:dyDescent="0.25">
      <c r="B63" s="11"/>
    </row>
    <row r="64" spans="2:2" ht="15.75" customHeight="1" x14ac:dyDescent="0.25">
      <c r="B64" s="11"/>
    </row>
    <row r="65" spans="2:2" ht="15.75" customHeight="1" x14ac:dyDescent="0.25">
      <c r="B65" s="11"/>
    </row>
    <row r="66" spans="2:2" ht="15.75" customHeight="1" x14ac:dyDescent="0.25">
      <c r="B66" s="11"/>
    </row>
    <row r="67" spans="2:2" ht="15.75" customHeight="1" x14ac:dyDescent="0.25">
      <c r="B67" s="11"/>
    </row>
    <row r="68" spans="2:2" ht="15.75" customHeight="1" x14ac:dyDescent="0.25">
      <c r="B68" s="11"/>
    </row>
    <row r="69" spans="2:2" ht="15.75" customHeight="1" x14ac:dyDescent="0.25">
      <c r="B69" s="11"/>
    </row>
    <row r="70" spans="2:2" ht="15.75" customHeight="1" x14ac:dyDescent="0.25">
      <c r="B70" s="11"/>
    </row>
    <row r="71" spans="2:2" ht="15.75" customHeight="1" x14ac:dyDescent="0.25">
      <c r="B71" s="11"/>
    </row>
    <row r="72" spans="2:2" ht="15.75" customHeight="1" x14ac:dyDescent="0.25">
      <c r="B72" s="11"/>
    </row>
    <row r="73" spans="2:2" ht="15.75" customHeight="1" x14ac:dyDescent="0.25">
      <c r="B73" s="11"/>
    </row>
    <row r="74" spans="2:2" ht="15.75" customHeight="1" x14ac:dyDescent="0.25">
      <c r="B74" s="11"/>
    </row>
    <row r="75" spans="2:2" ht="15.75" customHeight="1" x14ac:dyDescent="0.25">
      <c r="B75" s="11"/>
    </row>
    <row r="76" spans="2:2" ht="15.75" customHeight="1" x14ac:dyDescent="0.25">
      <c r="B76" s="11"/>
    </row>
    <row r="77" spans="2:2" ht="15.75" customHeight="1" x14ac:dyDescent="0.25">
      <c r="B77" s="11"/>
    </row>
    <row r="78" spans="2:2" ht="15.75" customHeight="1" x14ac:dyDescent="0.25">
      <c r="B78" s="11"/>
    </row>
    <row r="79" spans="2:2" ht="15.75" customHeight="1" x14ac:dyDescent="0.25">
      <c r="B79" s="11"/>
    </row>
    <row r="80" spans="2:2" ht="15.75" customHeight="1" x14ac:dyDescent="0.25">
      <c r="B80" s="11"/>
    </row>
    <row r="81" spans="2:2" ht="15.75" customHeight="1" x14ac:dyDescent="0.25">
      <c r="B81" s="11"/>
    </row>
    <row r="82" spans="2:2" ht="15.75" customHeight="1" x14ac:dyDescent="0.25">
      <c r="B82" s="11"/>
    </row>
    <row r="83" spans="2:2" ht="15.75" customHeight="1" x14ac:dyDescent="0.25">
      <c r="B83" s="11"/>
    </row>
    <row r="84" spans="2:2" ht="15.75" customHeight="1" x14ac:dyDescent="0.25">
      <c r="B84" s="11"/>
    </row>
    <row r="85" spans="2:2" ht="15.75" customHeight="1" x14ac:dyDescent="0.25">
      <c r="B85" s="11"/>
    </row>
    <row r="86" spans="2:2" ht="15.75" customHeight="1" x14ac:dyDescent="0.25">
      <c r="B86" s="11"/>
    </row>
    <row r="87" spans="2:2" ht="15.75" customHeight="1" x14ac:dyDescent="0.25">
      <c r="B87" s="11"/>
    </row>
    <row r="88" spans="2:2" ht="15.75" customHeight="1" x14ac:dyDescent="0.25">
      <c r="B88" s="11"/>
    </row>
    <row r="89" spans="2:2" ht="15.75" customHeight="1" x14ac:dyDescent="0.25">
      <c r="B89" s="11"/>
    </row>
    <row r="90" spans="2:2" ht="15.75" customHeight="1" x14ac:dyDescent="0.25">
      <c r="B90" s="11"/>
    </row>
    <row r="91" spans="2:2" ht="15.75" customHeight="1" x14ac:dyDescent="0.25">
      <c r="B91" s="11"/>
    </row>
    <row r="92" spans="2:2" ht="15.75" customHeight="1" x14ac:dyDescent="0.25">
      <c r="B92" s="11"/>
    </row>
    <row r="93" spans="2:2" ht="15.75" customHeight="1" x14ac:dyDescent="0.25">
      <c r="B93" s="11"/>
    </row>
    <row r="94" spans="2:2" ht="15.75" customHeight="1" x14ac:dyDescent="0.25">
      <c r="B94" s="11"/>
    </row>
    <row r="95" spans="2:2" ht="15.75" customHeight="1" x14ac:dyDescent="0.25">
      <c r="B95" s="11"/>
    </row>
    <row r="96" spans="2:2" ht="15.75" customHeight="1" x14ac:dyDescent="0.25">
      <c r="B96" s="11"/>
    </row>
    <row r="97" spans="2:2" ht="15.75" customHeight="1" x14ac:dyDescent="0.25">
      <c r="B97" s="11"/>
    </row>
    <row r="98" spans="2:2" ht="15.75" customHeight="1" x14ac:dyDescent="0.25">
      <c r="B98" s="11"/>
    </row>
    <row r="99" spans="2:2" ht="15.75" customHeight="1" x14ac:dyDescent="0.25">
      <c r="B99" s="11"/>
    </row>
    <row r="100" spans="2:2" ht="15.75" customHeight="1" x14ac:dyDescent="0.25">
      <c r="B100" s="11"/>
    </row>
    <row r="101" spans="2:2" ht="15.75" customHeight="1" x14ac:dyDescent="0.25">
      <c r="B101" s="11"/>
    </row>
    <row r="102" spans="2:2" ht="15.75" customHeight="1" x14ac:dyDescent="0.25">
      <c r="B102" s="11"/>
    </row>
    <row r="103" spans="2:2" ht="15.75" customHeight="1" x14ac:dyDescent="0.25">
      <c r="B103" s="11"/>
    </row>
    <row r="104" spans="2:2" ht="15.75" customHeight="1" x14ac:dyDescent="0.25">
      <c r="B104" s="11"/>
    </row>
    <row r="105" spans="2:2" ht="15.75" customHeight="1" x14ac:dyDescent="0.25">
      <c r="B105" s="11"/>
    </row>
    <row r="106" spans="2:2" ht="15.75" customHeight="1" x14ac:dyDescent="0.25">
      <c r="B106" s="11"/>
    </row>
    <row r="107" spans="2:2" ht="15.75" customHeight="1" x14ac:dyDescent="0.25">
      <c r="B107" s="11"/>
    </row>
    <row r="108" spans="2:2" ht="15.75" customHeight="1" x14ac:dyDescent="0.25">
      <c r="B108" s="11"/>
    </row>
    <row r="109" spans="2:2" ht="15.75" customHeight="1" x14ac:dyDescent="0.25">
      <c r="B109" s="11"/>
    </row>
    <row r="110" spans="2:2" ht="15.75" customHeight="1" x14ac:dyDescent="0.25">
      <c r="B110" s="11"/>
    </row>
    <row r="111" spans="2:2" ht="15.75" customHeight="1" x14ac:dyDescent="0.25">
      <c r="B111" s="11"/>
    </row>
    <row r="112" spans="2:2" ht="15.75" customHeight="1" x14ac:dyDescent="0.25">
      <c r="B112" s="11"/>
    </row>
    <row r="113" spans="2:2" ht="15.75" customHeight="1" x14ac:dyDescent="0.25">
      <c r="B113" s="11"/>
    </row>
    <row r="114" spans="2:2" ht="15.75" customHeight="1" x14ac:dyDescent="0.25">
      <c r="B114" s="11"/>
    </row>
    <row r="115" spans="2:2" ht="15.75" customHeight="1" x14ac:dyDescent="0.25">
      <c r="B115" s="11"/>
    </row>
    <row r="116" spans="2:2" ht="15.75" customHeight="1" x14ac:dyDescent="0.25">
      <c r="B116" s="11"/>
    </row>
    <row r="117" spans="2:2" ht="15.75" customHeight="1" x14ac:dyDescent="0.25">
      <c r="B117" s="11"/>
    </row>
    <row r="118" spans="2:2" ht="15.75" customHeight="1" x14ac:dyDescent="0.25">
      <c r="B118" s="11"/>
    </row>
    <row r="119" spans="2:2" ht="15.75" customHeight="1" x14ac:dyDescent="0.25">
      <c r="B119" s="11"/>
    </row>
    <row r="120" spans="2:2" ht="15.75" customHeight="1" x14ac:dyDescent="0.25">
      <c r="B120" s="11"/>
    </row>
    <row r="121" spans="2:2" ht="15.75" customHeight="1" x14ac:dyDescent="0.25">
      <c r="B121" s="11"/>
    </row>
    <row r="122" spans="2:2" ht="15.75" customHeight="1" x14ac:dyDescent="0.25">
      <c r="B122" s="11"/>
    </row>
    <row r="123" spans="2:2" ht="15.75" customHeight="1" x14ac:dyDescent="0.25">
      <c r="B123" s="11"/>
    </row>
    <row r="124" spans="2:2" ht="15.75" customHeight="1" x14ac:dyDescent="0.25">
      <c r="B124" s="11"/>
    </row>
    <row r="125" spans="2:2" ht="15.75" customHeight="1" x14ac:dyDescent="0.25">
      <c r="B125" s="11"/>
    </row>
    <row r="126" spans="2:2" ht="15.75" customHeight="1" x14ac:dyDescent="0.25">
      <c r="B126" s="11"/>
    </row>
    <row r="127" spans="2:2" ht="15.75" customHeight="1" x14ac:dyDescent="0.25">
      <c r="B127" s="11"/>
    </row>
    <row r="128" spans="2:2" ht="15.75" customHeight="1" x14ac:dyDescent="0.25">
      <c r="B128" s="11"/>
    </row>
    <row r="129" spans="2:2" ht="15.75" customHeight="1" x14ac:dyDescent="0.25">
      <c r="B129" s="11"/>
    </row>
    <row r="130" spans="2:2" ht="15.75" customHeight="1" x14ac:dyDescent="0.25">
      <c r="B130" s="11"/>
    </row>
    <row r="131" spans="2:2" ht="15.75" customHeight="1" x14ac:dyDescent="0.25">
      <c r="B131" s="11"/>
    </row>
    <row r="132" spans="2:2" ht="15.75" customHeight="1" x14ac:dyDescent="0.25">
      <c r="B132" s="11"/>
    </row>
    <row r="133" spans="2:2" ht="15.75" customHeight="1" x14ac:dyDescent="0.25">
      <c r="B133" s="11"/>
    </row>
    <row r="134" spans="2:2" ht="15.75" customHeight="1" x14ac:dyDescent="0.25">
      <c r="B134" s="11"/>
    </row>
    <row r="135" spans="2:2" ht="15.75" customHeight="1" x14ac:dyDescent="0.25">
      <c r="B135" s="11"/>
    </row>
    <row r="136" spans="2:2" ht="15.75" customHeight="1" x14ac:dyDescent="0.25">
      <c r="B136" s="11"/>
    </row>
    <row r="137" spans="2:2" ht="15.75" customHeight="1" x14ac:dyDescent="0.25">
      <c r="B137" s="11"/>
    </row>
    <row r="138" spans="2:2" ht="15.75" customHeight="1" x14ac:dyDescent="0.25">
      <c r="B138" s="11"/>
    </row>
    <row r="139" spans="2:2" ht="15.75" customHeight="1" x14ac:dyDescent="0.25">
      <c r="B139" s="11"/>
    </row>
    <row r="140" spans="2:2" ht="15.75" customHeight="1" x14ac:dyDescent="0.25">
      <c r="B140" s="11"/>
    </row>
    <row r="141" spans="2:2" ht="15.75" customHeight="1" x14ac:dyDescent="0.25">
      <c r="B141" s="11"/>
    </row>
    <row r="142" spans="2:2" ht="15.75" customHeight="1" x14ac:dyDescent="0.25">
      <c r="B142" s="11"/>
    </row>
    <row r="143" spans="2:2" ht="15.75" customHeight="1" x14ac:dyDescent="0.25">
      <c r="B143" s="11"/>
    </row>
    <row r="144" spans="2:2" ht="15.75" customHeight="1" x14ac:dyDescent="0.25">
      <c r="B144" s="11"/>
    </row>
    <row r="145" spans="2:2" ht="15.75" customHeight="1" x14ac:dyDescent="0.25">
      <c r="B145" s="11"/>
    </row>
    <row r="146" spans="2:2" ht="15.75" customHeight="1" x14ac:dyDescent="0.25">
      <c r="B146" s="11"/>
    </row>
    <row r="147" spans="2:2" ht="15.75" customHeight="1" x14ac:dyDescent="0.25">
      <c r="B147" s="11"/>
    </row>
    <row r="148" spans="2:2" ht="15.75" customHeight="1" x14ac:dyDescent="0.25">
      <c r="B148" s="11"/>
    </row>
    <row r="149" spans="2:2" ht="15.75" customHeight="1" x14ac:dyDescent="0.25">
      <c r="B149" s="11"/>
    </row>
    <row r="150" spans="2:2" ht="15.75" customHeight="1" x14ac:dyDescent="0.25">
      <c r="B150" s="11"/>
    </row>
    <row r="151" spans="2:2" ht="15.75" customHeight="1" x14ac:dyDescent="0.25">
      <c r="B151" s="11"/>
    </row>
    <row r="152" spans="2:2" ht="15.75" customHeight="1" x14ac:dyDescent="0.25">
      <c r="B152" s="11"/>
    </row>
    <row r="153" spans="2:2" ht="15.75" customHeight="1" x14ac:dyDescent="0.25">
      <c r="B153" s="11"/>
    </row>
    <row r="154" spans="2:2" ht="15.75" customHeight="1" x14ac:dyDescent="0.25">
      <c r="B154" s="11"/>
    </row>
    <row r="155" spans="2:2" ht="15.75" customHeight="1" x14ac:dyDescent="0.25">
      <c r="B155" s="11"/>
    </row>
    <row r="156" spans="2:2" ht="15.75" customHeight="1" x14ac:dyDescent="0.25">
      <c r="B156" s="11"/>
    </row>
    <row r="157" spans="2:2" ht="15.75" customHeight="1" x14ac:dyDescent="0.25">
      <c r="B157" s="11"/>
    </row>
    <row r="158" spans="2:2" ht="15.75" customHeight="1" x14ac:dyDescent="0.25">
      <c r="B158" s="11"/>
    </row>
    <row r="159" spans="2:2" ht="15.75" customHeight="1" x14ac:dyDescent="0.25">
      <c r="B159" s="11"/>
    </row>
    <row r="160" spans="2:2" ht="15.75" customHeight="1" x14ac:dyDescent="0.25">
      <c r="B160" s="11"/>
    </row>
    <row r="161" spans="2:2" ht="15.75" customHeight="1" x14ac:dyDescent="0.25">
      <c r="B161" s="11"/>
    </row>
    <row r="162" spans="2:2" ht="15.75" customHeight="1" x14ac:dyDescent="0.25">
      <c r="B162" s="11"/>
    </row>
    <row r="163" spans="2:2" ht="15.75" customHeight="1" x14ac:dyDescent="0.25">
      <c r="B163" s="11"/>
    </row>
    <row r="164" spans="2:2" ht="15.75" customHeight="1" x14ac:dyDescent="0.25">
      <c r="B164" s="11"/>
    </row>
    <row r="165" spans="2:2" ht="15.75" customHeight="1" x14ac:dyDescent="0.25">
      <c r="B165" s="11"/>
    </row>
    <row r="166" spans="2:2" ht="15.75" customHeight="1" x14ac:dyDescent="0.25">
      <c r="B166" s="11"/>
    </row>
    <row r="167" spans="2:2" ht="15.75" customHeight="1" x14ac:dyDescent="0.25">
      <c r="B167" s="11"/>
    </row>
    <row r="168" spans="2:2" ht="15.75" customHeight="1" x14ac:dyDescent="0.25">
      <c r="B168" s="11"/>
    </row>
    <row r="169" spans="2:2" ht="15.75" customHeight="1" x14ac:dyDescent="0.25">
      <c r="B169" s="11"/>
    </row>
    <row r="170" spans="2:2" ht="15.75" customHeight="1" x14ac:dyDescent="0.25">
      <c r="B170" s="11"/>
    </row>
    <row r="171" spans="2:2" ht="15.75" customHeight="1" x14ac:dyDescent="0.25">
      <c r="B171" s="11"/>
    </row>
    <row r="172" spans="2:2" ht="15.75" customHeight="1" x14ac:dyDescent="0.25">
      <c r="B172" s="11"/>
    </row>
    <row r="173" spans="2:2" ht="15.75" customHeight="1" x14ac:dyDescent="0.25">
      <c r="B173" s="11"/>
    </row>
    <row r="174" spans="2:2" ht="15.75" customHeight="1" x14ac:dyDescent="0.25">
      <c r="B174" s="11"/>
    </row>
    <row r="175" spans="2:2" ht="15.75" customHeight="1" x14ac:dyDescent="0.25">
      <c r="B175" s="11"/>
    </row>
    <row r="176" spans="2:2" ht="15.75" customHeight="1" x14ac:dyDescent="0.25">
      <c r="B176" s="11"/>
    </row>
    <row r="177" spans="2:2" ht="15.75" customHeight="1" x14ac:dyDescent="0.25">
      <c r="B177" s="11"/>
    </row>
    <row r="178" spans="2:2" ht="15.75" customHeight="1" x14ac:dyDescent="0.25">
      <c r="B178" s="11"/>
    </row>
    <row r="179" spans="2:2" ht="15.75" customHeight="1" x14ac:dyDescent="0.25">
      <c r="B179" s="11"/>
    </row>
    <row r="180" spans="2:2" ht="15.75" customHeight="1" x14ac:dyDescent="0.25">
      <c r="B180" s="11"/>
    </row>
    <row r="181" spans="2:2" ht="15.75" customHeight="1" x14ac:dyDescent="0.25">
      <c r="B181" s="11"/>
    </row>
    <row r="182" spans="2:2" ht="15.75" customHeight="1" x14ac:dyDescent="0.25">
      <c r="B182" s="11"/>
    </row>
    <row r="183" spans="2:2" ht="15.75" customHeight="1" x14ac:dyDescent="0.25">
      <c r="B183" s="11"/>
    </row>
    <row r="184" spans="2:2" ht="15.75" customHeight="1" x14ac:dyDescent="0.25">
      <c r="B184" s="11"/>
    </row>
    <row r="185" spans="2:2" ht="15.75" customHeight="1" x14ac:dyDescent="0.25">
      <c r="B185" s="11"/>
    </row>
    <row r="186" spans="2:2" ht="15.75" customHeight="1" x14ac:dyDescent="0.25">
      <c r="B186" s="11"/>
    </row>
    <row r="187" spans="2:2" ht="15.75" customHeight="1" x14ac:dyDescent="0.25">
      <c r="B187" s="11"/>
    </row>
    <row r="188" spans="2:2" ht="15.75" customHeight="1" x14ac:dyDescent="0.25">
      <c r="B188" s="11"/>
    </row>
    <row r="189" spans="2:2" ht="15.75" customHeight="1" x14ac:dyDescent="0.25">
      <c r="B189" s="11"/>
    </row>
    <row r="190" spans="2:2" ht="15.75" customHeight="1" x14ac:dyDescent="0.25">
      <c r="B190" s="11"/>
    </row>
    <row r="191" spans="2:2" ht="15.75" customHeight="1" x14ac:dyDescent="0.25">
      <c r="B191" s="11"/>
    </row>
    <row r="192" spans="2:2" ht="15.75" customHeight="1" x14ac:dyDescent="0.25">
      <c r="B192" s="11"/>
    </row>
    <row r="193" spans="2:2" ht="15.75" customHeight="1" x14ac:dyDescent="0.25">
      <c r="B193" s="11"/>
    </row>
    <row r="194" spans="2:2" ht="15.75" customHeight="1" x14ac:dyDescent="0.25">
      <c r="B194" s="11"/>
    </row>
    <row r="195" spans="2:2" ht="15.75" customHeight="1" x14ac:dyDescent="0.25">
      <c r="B195" s="11"/>
    </row>
    <row r="196" spans="2:2" ht="15.75" customHeight="1" x14ac:dyDescent="0.25">
      <c r="B196" s="11"/>
    </row>
    <row r="197" spans="2:2" ht="15.75" customHeight="1" x14ac:dyDescent="0.25">
      <c r="B197" s="11"/>
    </row>
    <row r="198" spans="2:2" ht="15.75" customHeight="1" x14ac:dyDescent="0.25">
      <c r="B198" s="11"/>
    </row>
    <row r="199" spans="2:2" ht="15.75" customHeight="1" x14ac:dyDescent="0.25">
      <c r="B199" s="11"/>
    </row>
    <row r="200" spans="2:2" ht="15.75" customHeight="1" x14ac:dyDescent="0.25">
      <c r="B200" s="11"/>
    </row>
    <row r="201" spans="2:2" ht="15.75" customHeight="1" x14ac:dyDescent="0.25">
      <c r="B201" s="11"/>
    </row>
    <row r="202" spans="2:2" ht="15.75" customHeight="1" x14ac:dyDescent="0.25">
      <c r="B202" s="11"/>
    </row>
    <row r="203" spans="2:2" ht="15.75" customHeight="1" x14ac:dyDescent="0.25">
      <c r="B203" s="11"/>
    </row>
    <row r="204" spans="2:2" ht="15.75" customHeight="1" x14ac:dyDescent="0.25">
      <c r="B204" s="11"/>
    </row>
    <row r="205" spans="2:2" ht="15.75" customHeight="1" x14ac:dyDescent="0.25">
      <c r="B205" s="11"/>
    </row>
    <row r="206" spans="2:2" ht="15.75" customHeight="1" x14ac:dyDescent="0.25">
      <c r="B206" s="11"/>
    </row>
    <row r="207" spans="2:2" ht="15.75" customHeight="1" x14ac:dyDescent="0.25">
      <c r="B207" s="11"/>
    </row>
    <row r="208" spans="2:2" ht="15.75" customHeight="1" x14ac:dyDescent="0.25">
      <c r="B208" s="11"/>
    </row>
    <row r="209" spans="2:2" ht="15.75" customHeight="1" x14ac:dyDescent="0.25">
      <c r="B209" s="11"/>
    </row>
    <row r="210" spans="2:2" ht="15.75" customHeight="1" x14ac:dyDescent="0.25">
      <c r="B210" s="11"/>
    </row>
    <row r="211" spans="2:2" ht="15.75" customHeight="1" x14ac:dyDescent="0.25">
      <c r="B211" s="11"/>
    </row>
    <row r="212" spans="2:2" ht="15.75" customHeight="1" x14ac:dyDescent="0.25">
      <c r="B212" s="11"/>
    </row>
    <row r="213" spans="2:2" ht="15.75" customHeight="1" x14ac:dyDescent="0.25">
      <c r="B213" s="11"/>
    </row>
    <row r="214" spans="2:2" ht="15.75" customHeight="1" x14ac:dyDescent="0.25">
      <c r="B214" s="11"/>
    </row>
    <row r="215" spans="2:2" ht="15.75" customHeight="1" x14ac:dyDescent="0.25">
      <c r="B215" s="11"/>
    </row>
    <row r="216" spans="2:2" ht="15.75" customHeight="1" x14ac:dyDescent="0.25">
      <c r="B216" s="11"/>
    </row>
    <row r="217" spans="2:2" ht="15.75" customHeight="1" x14ac:dyDescent="0.25">
      <c r="B217" s="11"/>
    </row>
    <row r="218" spans="2:2" ht="15.75" customHeight="1" x14ac:dyDescent="0.25">
      <c r="B218" s="11"/>
    </row>
    <row r="219" spans="2:2" ht="15.75" customHeight="1" x14ac:dyDescent="0.25">
      <c r="B219" s="11"/>
    </row>
    <row r="220" spans="2:2" ht="15.75" customHeight="1" x14ac:dyDescent="0.25">
      <c r="B220" s="11"/>
    </row>
    <row r="221" spans="2:2" ht="15.75" customHeight="1" x14ac:dyDescent="0.25">
      <c r="B221" s="11"/>
    </row>
    <row r="222" spans="2:2" ht="15.75" customHeight="1" x14ac:dyDescent="0.25">
      <c r="B222" s="11"/>
    </row>
    <row r="223" spans="2:2" ht="15.75" customHeight="1" x14ac:dyDescent="0.25">
      <c r="B223" s="11"/>
    </row>
    <row r="224" spans="2:2" ht="15.75" customHeight="1" x14ac:dyDescent="0.25">
      <c r="B224" s="11"/>
    </row>
    <row r="225" spans="2:2" ht="15.75" customHeight="1" x14ac:dyDescent="0.25">
      <c r="B225" s="11"/>
    </row>
    <row r="226" spans="2:2" ht="15.75" customHeight="1" x14ac:dyDescent="0.25">
      <c r="B226" s="11"/>
    </row>
    <row r="227" spans="2:2" ht="15.75" customHeight="1" x14ac:dyDescent="0.25">
      <c r="B227" s="11"/>
    </row>
    <row r="228" spans="2:2" ht="15.75" customHeight="1" x14ac:dyDescent="0.25">
      <c r="B228" s="11"/>
    </row>
    <row r="229" spans="2:2" ht="15.75" customHeight="1" x14ac:dyDescent="0.25">
      <c r="B229" s="11"/>
    </row>
    <row r="230" spans="2:2" ht="15.75" customHeight="1" x14ac:dyDescent="0.25">
      <c r="B230" s="11"/>
    </row>
    <row r="231" spans="2:2" ht="15.75" customHeight="1" x14ac:dyDescent="0.25">
      <c r="B231" s="11"/>
    </row>
    <row r="232" spans="2:2" ht="15.75" customHeight="1" x14ac:dyDescent="0.25">
      <c r="B232" s="11"/>
    </row>
    <row r="233" spans="2:2" ht="15.75" customHeight="1" x14ac:dyDescent="0.25">
      <c r="B233" s="11"/>
    </row>
    <row r="234" spans="2:2" ht="15.75" customHeight="1" x14ac:dyDescent="0.25">
      <c r="B234" s="11"/>
    </row>
    <row r="235" spans="2:2" ht="15.75" customHeight="1" x14ac:dyDescent="0.25">
      <c r="B235" s="11"/>
    </row>
    <row r="236" spans="2:2" ht="15.75" customHeight="1" x14ac:dyDescent="0.25">
      <c r="B236" s="11"/>
    </row>
    <row r="237" spans="2:2" ht="15.75" customHeight="1" x14ac:dyDescent="0.25">
      <c r="B237" s="11"/>
    </row>
    <row r="238" spans="2:2" ht="15.75" customHeight="1" x14ac:dyDescent="0.25">
      <c r="B238" s="11"/>
    </row>
    <row r="239" spans="2:2" ht="15.75" customHeight="1" x14ac:dyDescent="0.25">
      <c r="B239" s="11"/>
    </row>
    <row r="240" spans="2:2" ht="15.75" customHeight="1" x14ac:dyDescent="0.25">
      <c r="B240" s="11"/>
    </row>
    <row r="241" spans="2:2" ht="15.75" customHeight="1" x14ac:dyDescent="0.25">
      <c r="B241" s="11"/>
    </row>
    <row r="242" spans="2:2" ht="15.75" customHeight="1" x14ac:dyDescent="0.25">
      <c r="B242" s="11"/>
    </row>
    <row r="243" spans="2:2" ht="15.75" customHeight="1" x14ac:dyDescent="0.25">
      <c r="B243" s="11"/>
    </row>
    <row r="244" spans="2:2" ht="15.75" customHeight="1" x14ac:dyDescent="0.25">
      <c r="B244" s="11"/>
    </row>
    <row r="245" spans="2:2" ht="15.75" customHeight="1" x14ac:dyDescent="0.25">
      <c r="B245" s="11"/>
    </row>
    <row r="246" spans="2:2" ht="15.75" customHeight="1" x14ac:dyDescent="0.25">
      <c r="B246" s="11"/>
    </row>
    <row r="247" spans="2:2" ht="15.75" customHeight="1" x14ac:dyDescent="0.25">
      <c r="B247" s="11"/>
    </row>
    <row r="248" spans="2:2" ht="15.75" customHeight="1" x14ac:dyDescent="0.25">
      <c r="B248" s="11"/>
    </row>
    <row r="249" spans="2:2" ht="15.75" customHeight="1" x14ac:dyDescent="0.25">
      <c r="B249" s="11"/>
    </row>
    <row r="250" spans="2:2" ht="15.75" customHeight="1" x14ac:dyDescent="0.25">
      <c r="B250" s="11"/>
    </row>
    <row r="251" spans="2:2" ht="15.75" customHeight="1" x14ac:dyDescent="0.25">
      <c r="B251" s="11"/>
    </row>
    <row r="252" spans="2:2" ht="15.75" customHeight="1" x14ac:dyDescent="0.25">
      <c r="B252" s="11"/>
    </row>
    <row r="253" spans="2:2" ht="15.75" customHeight="1" x14ac:dyDescent="0.25">
      <c r="B253" s="11"/>
    </row>
    <row r="254" spans="2:2" ht="15.75" customHeight="1" x14ac:dyDescent="0.25">
      <c r="B254" s="11"/>
    </row>
    <row r="255" spans="2:2" ht="15.75" customHeight="1" x14ac:dyDescent="0.25">
      <c r="B255" s="11"/>
    </row>
    <row r="256" spans="2:2" ht="15.75" customHeight="1" x14ac:dyDescent="0.25">
      <c r="B256" s="11"/>
    </row>
    <row r="257" spans="2:2" ht="15.75" customHeight="1" x14ac:dyDescent="0.25">
      <c r="B257" s="11"/>
    </row>
    <row r="258" spans="2:2" ht="15.75" customHeight="1" x14ac:dyDescent="0.25">
      <c r="B258" s="11"/>
    </row>
    <row r="259" spans="2:2" ht="15.75" customHeight="1" x14ac:dyDescent="0.25">
      <c r="B259" s="11"/>
    </row>
    <row r="260" spans="2:2" ht="15.75" customHeight="1" x14ac:dyDescent="0.25">
      <c r="B260" s="11"/>
    </row>
    <row r="261" spans="2:2" ht="15.75" customHeight="1" x14ac:dyDescent="0.25">
      <c r="B261" s="11"/>
    </row>
    <row r="262" spans="2:2" ht="15.75" customHeight="1" x14ac:dyDescent="0.25">
      <c r="B262" s="11"/>
    </row>
    <row r="263" spans="2:2" ht="15.75" customHeight="1" x14ac:dyDescent="0.25">
      <c r="B263" s="11"/>
    </row>
    <row r="264" spans="2:2" ht="15.75" customHeight="1" x14ac:dyDescent="0.25">
      <c r="B264" s="11"/>
    </row>
    <row r="265" spans="2:2" ht="15.75" customHeight="1" x14ac:dyDescent="0.25">
      <c r="B265" s="11"/>
    </row>
    <row r="266" spans="2:2" ht="15.75" customHeight="1" x14ac:dyDescent="0.25">
      <c r="B266" s="11"/>
    </row>
    <row r="267" spans="2:2" ht="15.75" customHeight="1" x14ac:dyDescent="0.25">
      <c r="B267" s="11"/>
    </row>
    <row r="268" spans="2:2" ht="15.75" customHeight="1" x14ac:dyDescent="0.25">
      <c r="B268" s="11"/>
    </row>
    <row r="269" spans="2:2" ht="15.75" customHeight="1" x14ac:dyDescent="0.25">
      <c r="B269" s="11"/>
    </row>
    <row r="270" spans="2:2" ht="15.75" customHeight="1" x14ac:dyDescent="0.25">
      <c r="B270" s="11"/>
    </row>
    <row r="271" spans="2:2" ht="15.75" customHeight="1" x14ac:dyDescent="0.25">
      <c r="B271" s="11"/>
    </row>
    <row r="272" spans="2:2" ht="15.75" customHeight="1" x14ac:dyDescent="0.25">
      <c r="B272" s="11"/>
    </row>
    <row r="273" spans="2:2" ht="15.75" customHeight="1" x14ac:dyDescent="0.25">
      <c r="B273" s="11"/>
    </row>
    <row r="274" spans="2:2" ht="15.75" customHeight="1" x14ac:dyDescent="0.25">
      <c r="B274" s="11"/>
    </row>
    <row r="275" spans="2:2" ht="15.75" customHeight="1" x14ac:dyDescent="0.25">
      <c r="B275" s="11"/>
    </row>
    <row r="276" spans="2:2" ht="15.75" customHeight="1" x14ac:dyDescent="0.25">
      <c r="B276" s="11"/>
    </row>
    <row r="277" spans="2:2" ht="15.75" customHeight="1" x14ac:dyDescent="0.25">
      <c r="B277" s="11"/>
    </row>
    <row r="278" spans="2:2" ht="15.75" customHeight="1" x14ac:dyDescent="0.25">
      <c r="B278" s="11"/>
    </row>
    <row r="279" spans="2:2" ht="15.75" customHeight="1" x14ac:dyDescent="0.25">
      <c r="B279" s="11"/>
    </row>
    <row r="280" spans="2:2" ht="15.75" customHeight="1" x14ac:dyDescent="0.25">
      <c r="B280" s="11"/>
    </row>
    <row r="281" spans="2:2" ht="15.75" customHeight="1" x14ac:dyDescent="0.25">
      <c r="B281" s="11"/>
    </row>
    <row r="282" spans="2:2" ht="15.75" customHeight="1" x14ac:dyDescent="0.25">
      <c r="B282" s="11"/>
    </row>
    <row r="283" spans="2:2" ht="15.75" customHeight="1" x14ac:dyDescent="0.25">
      <c r="B283" s="11"/>
    </row>
    <row r="284" spans="2:2" ht="15.75" customHeight="1" x14ac:dyDescent="0.25">
      <c r="B284" s="11"/>
    </row>
    <row r="285" spans="2:2" ht="15.75" customHeight="1" x14ac:dyDescent="0.25">
      <c r="B285" s="11"/>
    </row>
    <row r="286" spans="2:2" ht="15.75" customHeight="1" x14ac:dyDescent="0.25">
      <c r="B286" s="11"/>
    </row>
    <row r="287" spans="2:2" ht="15.75" customHeight="1" x14ac:dyDescent="0.25">
      <c r="B287" s="11"/>
    </row>
    <row r="288" spans="2:2" ht="15.75" customHeight="1" x14ac:dyDescent="0.25">
      <c r="B288" s="11"/>
    </row>
    <row r="289" spans="2:2" ht="15.75" customHeight="1" x14ac:dyDescent="0.25">
      <c r="B289" s="11"/>
    </row>
    <row r="290" spans="2:2" ht="15.75" customHeight="1" x14ac:dyDescent="0.25">
      <c r="B290" s="11"/>
    </row>
    <row r="291" spans="2:2" ht="15.75" customHeight="1" x14ac:dyDescent="0.25">
      <c r="B291" s="11"/>
    </row>
    <row r="292" spans="2:2" ht="15.75" customHeight="1" x14ac:dyDescent="0.25">
      <c r="B292" s="11"/>
    </row>
    <row r="293" spans="2:2" ht="15.75" customHeight="1" x14ac:dyDescent="0.25">
      <c r="B293" s="11"/>
    </row>
    <row r="294" spans="2:2" ht="15.75" customHeight="1" x14ac:dyDescent="0.25">
      <c r="B294" s="11"/>
    </row>
    <row r="295" spans="2:2" ht="15.75" customHeight="1" x14ac:dyDescent="0.25">
      <c r="B295" s="11"/>
    </row>
    <row r="296" spans="2:2" ht="15.75" customHeight="1" x14ac:dyDescent="0.25">
      <c r="B296" s="11"/>
    </row>
    <row r="297" spans="2:2" ht="15.75" customHeight="1" x14ac:dyDescent="0.25">
      <c r="B297" s="11"/>
    </row>
    <row r="298" spans="2:2" ht="15.75" customHeight="1" x14ac:dyDescent="0.25">
      <c r="B298" s="11"/>
    </row>
    <row r="299" spans="2:2" ht="15.75" customHeight="1" x14ac:dyDescent="0.25">
      <c r="B299" s="11"/>
    </row>
    <row r="300" spans="2:2" ht="15.75" customHeight="1" x14ac:dyDescent="0.25">
      <c r="B300" s="11"/>
    </row>
    <row r="301" spans="2:2" ht="15.75" customHeight="1" x14ac:dyDescent="0.25">
      <c r="B301" s="11"/>
    </row>
    <row r="302" spans="2:2" ht="15.75" customHeight="1" x14ac:dyDescent="0.25">
      <c r="B302" s="11"/>
    </row>
    <row r="303" spans="2:2" ht="15.75" customHeight="1" x14ac:dyDescent="0.25">
      <c r="B303" s="11"/>
    </row>
    <row r="304" spans="2:2" ht="15.75" customHeight="1" x14ac:dyDescent="0.25">
      <c r="B304" s="11"/>
    </row>
    <row r="305" spans="2:2" ht="15.75" customHeight="1" x14ac:dyDescent="0.25">
      <c r="B305" s="11"/>
    </row>
    <row r="306" spans="2:2" ht="15.75" customHeight="1" x14ac:dyDescent="0.25">
      <c r="B306" s="11"/>
    </row>
    <row r="307" spans="2:2" ht="15.75" customHeight="1" x14ac:dyDescent="0.25">
      <c r="B307" s="11"/>
    </row>
    <row r="308" spans="2:2" ht="15.75" customHeight="1" x14ac:dyDescent="0.25">
      <c r="B308" s="11"/>
    </row>
    <row r="309" spans="2:2" ht="15.75" customHeight="1" x14ac:dyDescent="0.25">
      <c r="B309" s="11"/>
    </row>
    <row r="310" spans="2:2" ht="15.75" customHeight="1" x14ac:dyDescent="0.25">
      <c r="B310" s="11"/>
    </row>
    <row r="311" spans="2:2" ht="15.75" customHeight="1" x14ac:dyDescent="0.25">
      <c r="B311" s="11"/>
    </row>
    <row r="312" spans="2:2" ht="15.75" customHeight="1" x14ac:dyDescent="0.25">
      <c r="B312" s="11"/>
    </row>
    <row r="313" spans="2:2" ht="15.75" customHeight="1" x14ac:dyDescent="0.25">
      <c r="B313" s="11"/>
    </row>
    <row r="314" spans="2:2" ht="15.75" customHeight="1" x14ac:dyDescent="0.25">
      <c r="B314" s="11"/>
    </row>
    <row r="315" spans="2:2" ht="15.75" customHeight="1" x14ac:dyDescent="0.25">
      <c r="B315" s="11"/>
    </row>
    <row r="316" spans="2:2" ht="15.75" customHeight="1" x14ac:dyDescent="0.25">
      <c r="B316" s="11"/>
    </row>
    <row r="317" spans="2:2" ht="15.75" customHeight="1" x14ac:dyDescent="0.25">
      <c r="B317" s="11"/>
    </row>
    <row r="318" spans="2:2" ht="15.75" customHeight="1" x14ac:dyDescent="0.25">
      <c r="B318" s="11"/>
    </row>
    <row r="319" spans="2:2" ht="15.75" customHeight="1" x14ac:dyDescent="0.25">
      <c r="B319" s="11"/>
    </row>
    <row r="320" spans="2:2" ht="15.75" customHeight="1" x14ac:dyDescent="0.25">
      <c r="B320" s="11"/>
    </row>
    <row r="321" spans="2:2" ht="15.75" customHeight="1" x14ac:dyDescent="0.25">
      <c r="B321" s="11"/>
    </row>
    <row r="322" spans="2:2" ht="15.75" customHeight="1" x14ac:dyDescent="0.25">
      <c r="B322" s="11"/>
    </row>
    <row r="323" spans="2:2" ht="15.75" customHeight="1" x14ac:dyDescent="0.25">
      <c r="B323" s="11"/>
    </row>
    <row r="324" spans="2:2" ht="15.75" customHeight="1" x14ac:dyDescent="0.25">
      <c r="B324" s="11"/>
    </row>
    <row r="325" spans="2:2" ht="15.75" customHeight="1" x14ac:dyDescent="0.25">
      <c r="B325" s="11"/>
    </row>
    <row r="326" spans="2:2" ht="15.75" customHeight="1" x14ac:dyDescent="0.25">
      <c r="B326" s="11"/>
    </row>
    <row r="327" spans="2:2" ht="15.75" customHeight="1" x14ac:dyDescent="0.25">
      <c r="B327" s="11"/>
    </row>
    <row r="328" spans="2:2" ht="15.75" customHeight="1" x14ac:dyDescent="0.25">
      <c r="B328" s="11"/>
    </row>
    <row r="329" spans="2:2" ht="15.75" customHeight="1" x14ac:dyDescent="0.25">
      <c r="B329" s="11"/>
    </row>
    <row r="330" spans="2:2" ht="15.75" customHeight="1" x14ac:dyDescent="0.25">
      <c r="B330" s="11"/>
    </row>
    <row r="331" spans="2:2" ht="15.75" customHeight="1" x14ac:dyDescent="0.25">
      <c r="B331" s="11"/>
    </row>
    <row r="332" spans="2:2" ht="15.75" customHeight="1" x14ac:dyDescent="0.25">
      <c r="B332" s="11"/>
    </row>
    <row r="333" spans="2:2" ht="15.75" customHeight="1" x14ac:dyDescent="0.25">
      <c r="B333" s="11"/>
    </row>
    <row r="334" spans="2:2" ht="15.75" customHeight="1" x14ac:dyDescent="0.25">
      <c r="B334" s="11"/>
    </row>
    <row r="335" spans="2:2" ht="15.75" customHeight="1" x14ac:dyDescent="0.25">
      <c r="B335" s="11"/>
    </row>
    <row r="336" spans="2:2" ht="15.75" customHeight="1" x14ac:dyDescent="0.25">
      <c r="B336" s="11"/>
    </row>
    <row r="337" spans="2:2" ht="15.75" customHeight="1" x14ac:dyDescent="0.25">
      <c r="B337" s="11"/>
    </row>
    <row r="338" spans="2:2" ht="15.75" customHeight="1" x14ac:dyDescent="0.25">
      <c r="B338" s="11"/>
    </row>
    <row r="339" spans="2:2" ht="15.75" customHeight="1" x14ac:dyDescent="0.25">
      <c r="B339" s="11"/>
    </row>
    <row r="340" spans="2:2" ht="15.75" customHeight="1" x14ac:dyDescent="0.25">
      <c r="B340" s="11"/>
    </row>
    <row r="341" spans="2:2" ht="15.75" customHeight="1" x14ac:dyDescent="0.25">
      <c r="B341" s="11"/>
    </row>
    <row r="342" spans="2:2" ht="15.75" customHeight="1" x14ac:dyDescent="0.25">
      <c r="B342" s="11"/>
    </row>
    <row r="343" spans="2:2" ht="15.75" customHeight="1" x14ac:dyDescent="0.25">
      <c r="B343" s="11"/>
    </row>
    <row r="344" spans="2:2" ht="15.75" customHeight="1" x14ac:dyDescent="0.25">
      <c r="B344" s="11"/>
    </row>
    <row r="345" spans="2:2" ht="15.75" customHeight="1" x14ac:dyDescent="0.25">
      <c r="B345" s="11"/>
    </row>
    <row r="346" spans="2:2" ht="15.75" customHeight="1" x14ac:dyDescent="0.25">
      <c r="B346" s="11"/>
    </row>
    <row r="347" spans="2:2" ht="15.75" customHeight="1" x14ac:dyDescent="0.25">
      <c r="B347" s="11"/>
    </row>
    <row r="348" spans="2:2" ht="15.75" customHeight="1" x14ac:dyDescent="0.25">
      <c r="B348" s="11"/>
    </row>
    <row r="349" spans="2:2" ht="15.75" customHeight="1" x14ac:dyDescent="0.25">
      <c r="B349" s="11"/>
    </row>
    <row r="350" spans="2:2" ht="15.75" customHeight="1" x14ac:dyDescent="0.25">
      <c r="B350" s="11"/>
    </row>
    <row r="351" spans="2:2" ht="15.75" customHeight="1" x14ac:dyDescent="0.25">
      <c r="B351" s="11"/>
    </row>
    <row r="352" spans="2:2" ht="15.75" customHeight="1" x14ac:dyDescent="0.25">
      <c r="B352" s="11"/>
    </row>
    <row r="353" spans="2:2" ht="15.75" customHeight="1" x14ac:dyDescent="0.25">
      <c r="B353" s="11"/>
    </row>
    <row r="354" spans="2:2" ht="15.75" customHeight="1" x14ac:dyDescent="0.25">
      <c r="B354" s="11"/>
    </row>
    <row r="355" spans="2:2" ht="15.75" customHeight="1" x14ac:dyDescent="0.25">
      <c r="B355" s="11"/>
    </row>
    <row r="356" spans="2:2" ht="15.75" customHeight="1" x14ac:dyDescent="0.25">
      <c r="B356" s="11"/>
    </row>
    <row r="357" spans="2:2" ht="15.75" customHeight="1" x14ac:dyDescent="0.25">
      <c r="B357" s="11"/>
    </row>
    <row r="358" spans="2:2" ht="15.75" customHeight="1" x14ac:dyDescent="0.25">
      <c r="B358" s="11"/>
    </row>
    <row r="359" spans="2:2" ht="15.75" customHeight="1" x14ac:dyDescent="0.25">
      <c r="B359" s="11"/>
    </row>
    <row r="360" spans="2:2" ht="15.75" customHeight="1" x14ac:dyDescent="0.25">
      <c r="B360" s="11"/>
    </row>
    <row r="361" spans="2:2" ht="15.75" customHeight="1" x14ac:dyDescent="0.25">
      <c r="B361" s="11"/>
    </row>
    <row r="362" spans="2:2" ht="15.75" customHeight="1" x14ac:dyDescent="0.25">
      <c r="B362" s="11"/>
    </row>
    <row r="363" spans="2:2" ht="15.75" customHeight="1" x14ac:dyDescent="0.25">
      <c r="B363" s="11"/>
    </row>
    <row r="364" spans="2:2" ht="15.75" customHeight="1" x14ac:dyDescent="0.25">
      <c r="B364" s="11"/>
    </row>
    <row r="365" spans="2:2" ht="15.75" customHeight="1" x14ac:dyDescent="0.25">
      <c r="B365" s="11"/>
    </row>
    <row r="366" spans="2:2" ht="15.75" customHeight="1" x14ac:dyDescent="0.25">
      <c r="B366" s="11"/>
    </row>
    <row r="367" spans="2:2" ht="15.75" customHeight="1" x14ac:dyDescent="0.25">
      <c r="B367" s="11"/>
    </row>
    <row r="368" spans="2:2" ht="15.75" customHeight="1" x14ac:dyDescent="0.25">
      <c r="B368" s="11"/>
    </row>
    <row r="369" spans="2:2" ht="15.75" customHeight="1" x14ac:dyDescent="0.25">
      <c r="B369" s="11"/>
    </row>
    <row r="370" spans="2:2" ht="15.75" customHeight="1" x14ac:dyDescent="0.25">
      <c r="B370" s="11"/>
    </row>
    <row r="371" spans="2:2" ht="15.75" customHeight="1" x14ac:dyDescent="0.25">
      <c r="B371" s="11"/>
    </row>
    <row r="372" spans="2:2" ht="15.75" customHeight="1" x14ac:dyDescent="0.25">
      <c r="B372" s="11"/>
    </row>
    <row r="373" spans="2:2" ht="15.75" customHeight="1" x14ac:dyDescent="0.25">
      <c r="B373" s="11"/>
    </row>
    <row r="374" spans="2:2" ht="15.75" customHeight="1" x14ac:dyDescent="0.25">
      <c r="B374" s="11"/>
    </row>
    <row r="375" spans="2:2" ht="15.75" customHeight="1" x14ac:dyDescent="0.25">
      <c r="B375" s="11"/>
    </row>
    <row r="376" spans="2:2" ht="15.75" customHeight="1" x14ac:dyDescent="0.25">
      <c r="B376" s="11"/>
    </row>
    <row r="377" spans="2:2" ht="15.75" customHeight="1" x14ac:dyDescent="0.25">
      <c r="B377" s="11"/>
    </row>
    <row r="378" spans="2:2" ht="15.75" customHeight="1" x14ac:dyDescent="0.25">
      <c r="B378" s="11"/>
    </row>
    <row r="379" spans="2:2" ht="15.75" customHeight="1" x14ac:dyDescent="0.25">
      <c r="B379" s="11"/>
    </row>
    <row r="380" spans="2:2" ht="15.75" customHeight="1" x14ac:dyDescent="0.25">
      <c r="B380" s="11"/>
    </row>
    <row r="381" spans="2:2" ht="15.75" customHeight="1" x14ac:dyDescent="0.25">
      <c r="B381" s="11"/>
    </row>
    <row r="382" spans="2:2" ht="15.75" customHeight="1" x14ac:dyDescent="0.25">
      <c r="B382" s="11"/>
    </row>
    <row r="383" spans="2:2" ht="15.75" customHeight="1" x14ac:dyDescent="0.25">
      <c r="B383" s="11"/>
    </row>
    <row r="384" spans="2:2" ht="15.75" customHeight="1" x14ac:dyDescent="0.25">
      <c r="B384" s="11"/>
    </row>
    <row r="385" spans="2:2" ht="15.75" customHeight="1" x14ac:dyDescent="0.25">
      <c r="B385" s="11"/>
    </row>
    <row r="386" spans="2:2" ht="15.75" customHeight="1" x14ac:dyDescent="0.25">
      <c r="B386" s="11"/>
    </row>
    <row r="387" spans="2:2" ht="15.75" customHeight="1" x14ac:dyDescent="0.25">
      <c r="B387" s="11"/>
    </row>
    <row r="388" spans="2:2" ht="15.75" customHeight="1" x14ac:dyDescent="0.25">
      <c r="B388" s="11"/>
    </row>
    <row r="389" spans="2:2" ht="15.75" customHeight="1" x14ac:dyDescent="0.25">
      <c r="B389" s="11"/>
    </row>
    <row r="390" spans="2:2" ht="15.75" customHeight="1" x14ac:dyDescent="0.25">
      <c r="B390" s="11"/>
    </row>
    <row r="391" spans="2:2" ht="15.75" customHeight="1" x14ac:dyDescent="0.25">
      <c r="B391" s="11"/>
    </row>
    <row r="392" spans="2:2" ht="15.75" customHeight="1" x14ac:dyDescent="0.25">
      <c r="B392" s="11"/>
    </row>
    <row r="393" spans="2:2" ht="15.75" customHeight="1" x14ac:dyDescent="0.25">
      <c r="B393" s="11"/>
    </row>
    <row r="394" spans="2:2" ht="15.75" customHeight="1" x14ac:dyDescent="0.25">
      <c r="B394" s="11"/>
    </row>
    <row r="395" spans="2:2" ht="15.75" customHeight="1" x14ac:dyDescent="0.25">
      <c r="B395" s="11"/>
    </row>
    <row r="396" spans="2:2" ht="15.75" customHeight="1" x14ac:dyDescent="0.25">
      <c r="B396" s="11"/>
    </row>
    <row r="397" spans="2:2" ht="15.75" customHeight="1" x14ac:dyDescent="0.25">
      <c r="B397" s="11"/>
    </row>
    <row r="398" spans="2:2" ht="15.75" customHeight="1" x14ac:dyDescent="0.25">
      <c r="B398" s="11"/>
    </row>
    <row r="399" spans="2:2" ht="15.75" customHeight="1" x14ac:dyDescent="0.25">
      <c r="B399" s="11"/>
    </row>
    <row r="400" spans="2:2" ht="15.75" customHeight="1" x14ac:dyDescent="0.25">
      <c r="B400" s="11"/>
    </row>
    <row r="401" spans="2:2" ht="15.75" customHeight="1" x14ac:dyDescent="0.25">
      <c r="B401" s="11"/>
    </row>
    <row r="402" spans="2:2" ht="15.75" customHeight="1" x14ac:dyDescent="0.25">
      <c r="B402" s="11"/>
    </row>
    <row r="403" spans="2:2" ht="15.75" customHeight="1" x14ac:dyDescent="0.25">
      <c r="B403" s="11"/>
    </row>
    <row r="404" spans="2:2" ht="15.75" customHeight="1" x14ac:dyDescent="0.25">
      <c r="B404" s="11"/>
    </row>
    <row r="405" spans="2:2" ht="15.75" customHeight="1" x14ac:dyDescent="0.25">
      <c r="B405" s="11"/>
    </row>
    <row r="406" spans="2:2" ht="15.75" customHeight="1" x14ac:dyDescent="0.25">
      <c r="B406" s="11"/>
    </row>
    <row r="407" spans="2:2" ht="15.75" customHeight="1" x14ac:dyDescent="0.25">
      <c r="B407" s="11"/>
    </row>
    <row r="408" spans="2:2" ht="15.75" customHeight="1" x14ac:dyDescent="0.25">
      <c r="B408" s="11"/>
    </row>
    <row r="409" spans="2:2" ht="15.75" customHeight="1" x14ac:dyDescent="0.25">
      <c r="B409" s="11"/>
    </row>
    <row r="410" spans="2:2" ht="15.75" customHeight="1" x14ac:dyDescent="0.25">
      <c r="B410" s="11"/>
    </row>
    <row r="411" spans="2:2" ht="15.75" customHeight="1" x14ac:dyDescent="0.25">
      <c r="B411" s="11"/>
    </row>
    <row r="412" spans="2:2" ht="15.75" customHeight="1" x14ac:dyDescent="0.25">
      <c r="B412" s="11"/>
    </row>
    <row r="413" spans="2:2" ht="15.75" customHeight="1" x14ac:dyDescent="0.25">
      <c r="B413" s="11"/>
    </row>
    <row r="414" spans="2:2" ht="15.75" customHeight="1" x14ac:dyDescent="0.25">
      <c r="B414" s="11"/>
    </row>
    <row r="415" spans="2:2" ht="15.75" customHeight="1" x14ac:dyDescent="0.25">
      <c r="B415" s="11"/>
    </row>
    <row r="416" spans="2:2" ht="15.75" customHeight="1" x14ac:dyDescent="0.25">
      <c r="B416" s="11"/>
    </row>
    <row r="417" spans="2:2" ht="15.75" customHeight="1" x14ac:dyDescent="0.25">
      <c r="B417" s="11"/>
    </row>
    <row r="418" spans="2:2" ht="15.75" customHeight="1" x14ac:dyDescent="0.25">
      <c r="B418" s="11"/>
    </row>
    <row r="419" spans="2:2" ht="15.75" customHeight="1" x14ac:dyDescent="0.25">
      <c r="B419" s="11"/>
    </row>
    <row r="420" spans="2:2" ht="15.75" customHeight="1" x14ac:dyDescent="0.25">
      <c r="B420" s="11"/>
    </row>
    <row r="421" spans="2:2" ht="15.75" customHeight="1" x14ac:dyDescent="0.25">
      <c r="B421" s="11"/>
    </row>
    <row r="422" spans="2:2" ht="15.75" customHeight="1" x14ac:dyDescent="0.25">
      <c r="B422" s="11"/>
    </row>
    <row r="423" spans="2:2" ht="15.75" customHeight="1" x14ac:dyDescent="0.25">
      <c r="B423" s="11"/>
    </row>
    <row r="424" spans="2:2" ht="15.75" customHeight="1" x14ac:dyDescent="0.25">
      <c r="B424" s="11"/>
    </row>
    <row r="425" spans="2:2" ht="15.75" customHeight="1" x14ac:dyDescent="0.25">
      <c r="B425" s="11"/>
    </row>
    <row r="426" spans="2:2" ht="15.75" customHeight="1" x14ac:dyDescent="0.25">
      <c r="B426" s="11"/>
    </row>
    <row r="427" spans="2:2" ht="15.75" customHeight="1" x14ac:dyDescent="0.25">
      <c r="B427" s="11"/>
    </row>
    <row r="428" spans="2:2" ht="15.75" customHeight="1" x14ac:dyDescent="0.25">
      <c r="B428" s="11"/>
    </row>
    <row r="429" spans="2:2" ht="15.75" customHeight="1" x14ac:dyDescent="0.25">
      <c r="B429" s="11"/>
    </row>
    <row r="430" spans="2:2" ht="15.75" customHeight="1" x14ac:dyDescent="0.25">
      <c r="B430" s="11"/>
    </row>
    <row r="431" spans="2:2" ht="15.75" customHeight="1" x14ac:dyDescent="0.25">
      <c r="B431" s="11"/>
    </row>
    <row r="432" spans="2:2" ht="15.75" customHeight="1" x14ac:dyDescent="0.25">
      <c r="B432" s="11"/>
    </row>
    <row r="433" spans="2:2" ht="15.75" customHeight="1" x14ac:dyDescent="0.25">
      <c r="B433" s="11"/>
    </row>
    <row r="434" spans="2:2" ht="15.75" customHeight="1" x14ac:dyDescent="0.25">
      <c r="B434" s="11"/>
    </row>
    <row r="435" spans="2:2" ht="15.75" customHeight="1" x14ac:dyDescent="0.25">
      <c r="B435" s="11"/>
    </row>
    <row r="436" spans="2:2" ht="15.75" customHeight="1" x14ac:dyDescent="0.25">
      <c r="B436" s="11"/>
    </row>
    <row r="437" spans="2:2" ht="15.75" customHeight="1" x14ac:dyDescent="0.25">
      <c r="B437" s="11"/>
    </row>
    <row r="438" spans="2:2" ht="15.75" customHeight="1" x14ac:dyDescent="0.25">
      <c r="B438" s="11"/>
    </row>
    <row r="439" spans="2:2" ht="15.75" customHeight="1" x14ac:dyDescent="0.25">
      <c r="B439" s="11"/>
    </row>
    <row r="440" spans="2:2" ht="15.75" customHeight="1" x14ac:dyDescent="0.25">
      <c r="B440" s="11"/>
    </row>
    <row r="441" spans="2:2" ht="15.75" customHeight="1" x14ac:dyDescent="0.25">
      <c r="B441" s="11"/>
    </row>
    <row r="442" spans="2:2" ht="15.75" customHeight="1" x14ac:dyDescent="0.25">
      <c r="B442" s="11"/>
    </row>
    <row r="443" spans="2:2" ht="15.75" customHeight="1" x14ac:dyDescent="0.25">
      <c r="B443" s="11"/>
    </row>
    <row r="444" spans="2:2" ht="15.75" customHeight="1" x14ac:dyDescent="0.25">
      <c r="B444" s="11"/>
    </row>
    <row r="445" spans="2:2" ht="15.75" customHeight="1" x14ac:dyDescent="0.25">
      <c r="B445" s="11"/>
    </row>
    <row r="446" spans="2:2" ht="15.75" customHeight="1" x14ac:dyDescent="0.25">
      <c r="B446" s="11"/>
    </row>
    <row r="447" spans="2:2" ht="15.75" customHeight="1" x14ac:dyDescent="0.25">
      <c r="B447" s="11"/>
    </row>
    <row r="448" spans="2:2" ht="15.75" customHeight="1" x14ac:dyDescent="0.25">
      <c r="B448" s="11"/>
    </row>
    <row r="449" spans="2:2" ht="15.75" customHeight="1" x14ac:dyDescent="0.25">
      <c r="B449" s="11"/>
    </row>
    <row r="450" spans="2:2" ht="15.75" customHeight="1" x14ac:dyDescent="0.25">
      <c r="B450" s="11"/>
    </row>
    <row r="451" spans="2:2" ht="15.75" customHeight="1" x14ac:dyDescent="0.25">
      <c r="B451" s="11"/>
    </row>
    <row r="452" spans="2:2" ht="15.75" customHeight="1" x14ac:dyDescent="0.25">
      <c r="B452" s="11"/>
    </row>
    <row r="453" spans="2:2" ht="15.75" customHeight="1" x14ac:dyDescent="0.25">
      <c r="B453" s="11"/>
    </row>
    <row r="454" spans="2:2" ht="15.75" customHeight="1" x14ac:dyDescent="0.25">
      <c r="B454" s="11"/>
    </row>
    <row r="455" spans="2:2" ht="15.75" customHeight="1" x14ac:dyDescent="0.25">
      <c r="B455" s="11"/>
    </row>
    <row r="456" spans="2:2" ht="15.75" customHeight="1" x14ac:dyDescent="0.25">
      <c r="B456" s="11"/>
    </row>
    <row r="457" spans="2:2" ht="15.75" customHeight="1" x14ac:dyDescent="0.25">
      <c r="B457" s="11"/>
    </row>
    <row r="458" spans="2:2" ht="15.75" customHeight="1" x14ac:dyDescent="0.25">
      <c r="B458" s="11"/>
    </row>
    <row r="459" spans="2:2" ht="15.75" customHeight="1" x14ac:dyDescent="0.25">
      <c r="B459" s="11"/>
    </row>
    <row r="460" spans="2:2" ht="15.75" customHeight="1" x14ac:dyDescent="0.25">
      <c r="B460" s="11"/>
    </row>
    <row r="461" spans="2:2" ht="15.75" customHeight="1" x14ac:dyDescent="0.25">
      <c r="B461" s="11"/>
    </row>
    <row r="462" spans="2:2" ht="15.75" customHeight="1" x14ac:dyDescent="0.25">
      <c r="B462" s="11"/>
    </row>
    <row r="463" spans="2:2" ht="15.75" customHeight="1" x14ac:dyDescent="0.25">
      <c r="B463" s="11"/>
    </row>
    <row r="464" spans="2:2" ht="15.75" customHeight="1" x14ac:dyDescent="0.25">
      <c r="B464" s="11"/>
    </row>
    <row r="465" spans="2:2" ht="15.75" customHeight="1" x14ac:dyDescent="0.25">
      <c r="B465" s="11"/>
    </row>
    <row r="466" spans="2:2" ht="15.75" customHeight="1" x14ac:dyDescent="0.25">
      <c r="B466" s="11"/>
    </row>
    <row r="467" spans="2:2" ht="15.75" customHeight="1" x14ac:dyDescent="0.25">
      <c r="B467" s="11"/>
    </row>
    <row r="468" spans="2:2" ht="15.75" customHeight="1" x14ac:dyDescent="0.25">
      <c r="B468" s="11"/>
    </row>
    <row r="469" spans="2:2" ht="15.75" customHeight="1" x14ac:dyDescent="0.25">
      <c r="B469" s="11"/>
    </row>
    <row r="470" spans="2:2" ht="15.75" customHeight="1" x14ac:dyDescent="0.25">
      <c r="B470" s="11"/>
    </row>
    <row r="471" spans="2:2" ht="15.75" customHeight="1" x14ac:dyDescent="0.25">
      <c r="B471" s="11"/>
    </row>
    <row r="472" spans="2:2" ht="15.75" customHeight="1" x14ac:dyDescent="0.25">
      <c r="B472" s="11"/>
    </row>
    <row r="473" spans="2:2" ht="15.75" customHeight="1" x14ac:dyDescent="0.25">
      <c r="B473" s="11"/>
    </row>
    <row r="474" spans="2:2" ht="15.75" customHeight="1" x14ac:dyDescent="0.25">
      <c r="B474" s="11"/>
    </row>
    <row r="475" spans="2:2" ht="15.75" customHeight="1" x14ac:dyDescent="0.25">
      <c r="B475" s="11"/>
    </row>
    <row r="476" spans="2:2" ht="15.75" customHeight="1" x14ac:dyDescent="0.25">
      <c r="B476" s="11"/>
    </row>
    <row r="477" spans="2:2" ht="15.75" customHeight="1" x14ac:dyDescent="0.25">
      <c r="B477" s="11"/>
    </row>
    <row r="478" spans="2:2" ht="15.75" customHeight="1" x14ac:dyDescent="0.25">
      <c r="B478" s="11"/>
    </row>
    <row r="479" spans="2:2" ht="15.75" customHeight="1" x14ac:dyDescent="0.25">
      <c r="B479" s="11"/>
    </row>
    <row r="480" spans="2:2" ht="15.75" customHeight="1" x14ac:dyDescent="0.25">
      <c r="B480" s="11"/>
    </row>
    <row r="481" spans="2:2" ht="15.75" customHeight="1" x14ac:dyDescent="0.25">
      <c r="B481" s="11"/>
    </row>
    <row r="482" spans="2:2" ht="15.75" customHeight="1" x14ac:dyDescent="0.25">
      <c r="B482" s="11"/>
    </row>
    <row r="483" spans="2:2" ht="15.75" customHeight="1" x14ac:dyDescent="0.25">
      <c r="B483" s="11"/>
    </row>
    <row r="484" spans="2:2" ht="15.75" customHeight="1" x14ac:dyDescent="0.25">
      <c r="B484" s="11"/>
    </row>
    <row r="485" spans="2:2" ht="15.75" customHeight="1" x14ac:dyDescent="0.25">
      <c r="B485" s="11"/>
    </row>
    <row r="486" spans="2:2" ht="15.75" customHeight="1" x14ac:dyDescent="0.25">
      <c r="B486" s="11"/>
    </row>
    <row r="487" spans="2:2" ht="15.75" customHeight="1" x14ac:dyDescent="0.25">
      <c r="B487" s="11"/>
    </row>
    <row r="488" spans="2:2" ht="15.75" customHeight="1" x14ac:dyDescent="0.25">
      <c r="B488" s="11"/>
    </row>
    <row r="489" spans="2:2" ht="15.75" customHeight="1" x14ac:dyDescent="0.25">
      <c r="B489" s="11"/>
    </row>
    <row r="490" spans="2:2" ht="15.75" customHeight="1" x14ac:dyDescent="0.25">
      <c r="B490" s="11"/>
    </row>
    <row r="491" spans="2:2" ht="15.75" customHeight="1" x14ac:dyDescent="0.25">
      <c r="B491" s="11"/>
    </row>
    <row r="492" spans="2:2" ht="15.75" customHeight="1" x14ac:dyDescent="0.25">
      <c r="B492" s="11"/>
    </row>
    <row r="493" spans="2:2" ht="15.75" customHeight="1" x14ac:dyDescent="0.25">
      <c r="B493" s="11"/>
    </row>
    <row r="494" spans="2:2" ht="15.75" customHeight="1" x14ac:dyDescent="0.25">
      <c r="B494" s="11"/>
    </row>
    <row r="495" spans="2:2" ht="15.75" customHeight="1" x14ac:dyDescent="0.25">
      <c r="B495" s="11"/>
    </row>
    <row r="496" spans="2:2" ht="15.75" customHeight="1" x14ac:dyDescent="0.25">
      <c r="B496" s="11"/>
    </row>
    <row r="497" spans="2:2" ht="15.75" customHeight="1" x14ac:dyDescent="0.25">
      <c r="B497" s="11"/>
    </row>
    <row r="498" spans="2:2" ht="15.75" customHeight="1" x14ac:dyDescent="0.25">
      <c r="B498" s="11"/>
    </row>
    <row r="499" spans="2:2" ht="15.75" customHeight="1" x14ac:dyDescent="0.25">
      <c r="B499" s="11"/>
    </row>
    <row r="500" spans="2:2" ht="15.75" customHeight="1" x14ac:dyDescent="0.25">
      <c r="B500" s="11"/>
    </row>
    <row r="501" spans="2:2" ht="15.75" customHeight="1" x14ac:dyDescent="0.25">
      <c r="B501" s="11"/>
    </row>
    <row r="502" spans="2:2" ht="15.75" customHeight="1" x14ac:dyDescent="0.25">
      <c r="B502" s="11"/>
    </row>
    <row r="503" spans="2:2" ht="15.75" customHeight="1" x14ac:dyDescent="0.25">
      <c r="B503" s="11"/>
    </row>
    <row r="504" spans="2:2" ht="15.75" customHeight="1" x14ac:dyDescent="0.25">
      <c r="B504" s="11"/>
    </row>
    <row r="505" spans="2:2" ht="15.75" customHeight="1" x14ac:dyDescent="0.25">
      <c r="B505" s="11"/>
    </row>
    <row r="506" spans="2:2" ht="15.75" customHeight="1" x14ac:dyDescent="0.25">
      <c r="B506" s="11"/>
    </row>
    <row r="507" spans="2:2" ht="15.75" customHeight="1" x14ac:dyDescent="0.25">
      <c r="B507" s="11"/>
    </row>
    <row r="508" spans="2:2" ht="15.75" customHeight="1" x14ac:dyDescent="0.25">
      <c r="B508" s="11"/>
    </row>
    <row r="509" spans="2:2" ht="15.75" customHeight="1" x14ac:dyDescent="0.25">
      <c r="B509" s="11"/>
    </row>
    <row r="510" spans="2:2" ht="15.75" customHeight="1" x14ac:dyDescent="0.25">
      <c r="B510" s="11"/>
    </row>
    <row r="511" spans="2:2" ht="15.75" customHeight="1" x14ac:dyDescent="0.25">
      <c r="B511" s="11"/>
    </row>
    <row r="512" spans="2:2" ht="15.75" customHeight="1" x14ac:dyDescent="0.25">
      <c r="B512" s="11"/>
    </row>
    <row r="513" spans="2:2" ht="15.75" customHeight="1" x14ac:dyDescent="0.25">
      <c r="B513" s="11"/>
    </row>
    <row r="514" spans="2:2" ht="15.75" customHeight="1" x14ac:dyDescent="0.25">
      <c r="B514" s="11"/>
    </row>
    <row r="515" spans="2:2" ht="15.75" customHeight="1" x14ac:dyDescent="0.25">
      <c r="B515" s="11"/>
    </row>
    <row r="516" spans="2:2" ht="15.75" customHeight="1" x14ac:dyDescent="0.25">
      <c r="B516" s="11"/>
    </row>
    <row r="517" spans="2:2" ht="15.75" customHeight="1" x14ac:dyDescent="0.25">
      <c r="B517" s="11"/>
    </row>
    <row r="518" spans="2:2" ht="15.75" customHeight="1" x14ac:dyDescent="0.25">
      <c r="B518" s="11"/>
    </row>
    <row r="519" spans="2:2" ht="15.75" customHeight="1" x14ac:dyDescent="0.25">
      <c r="B519" s="11"/>
    </row>
    <row r="520" spans="2:2" ht="15.75" customHeight="1" x14ac:dyDescent="0.25">
      <c r="B520" s="11"/>
    </row>
    <row r="521" spans="2:2" ht="15.75" customHeight="1" x14ac:dyDescent="0.25">
      <c r="B521" s="11"/>
    </row>
    <row r="522" spans="2:2" ht="15.75" customHeight="1" x14ac:dyDescent="0.25">
      <c r="B522" s="11"/>
    </row>
    <row r="523" spans="2:2" ht="15.75" customHeight="1" x14ac:dyDescent="0.25">
      <c r="B523" s="11"/>
    </row>
    <row r="524" spans="2:2" ht="15.75" customHeight="1" x14ac:dyDescent="0.25">
      <c r="B524" s="11"/>
    </row>
    <row r="525" spans="2:2" ht="15.75" customHeight="1" x14ac:dyDescent="0.25">
      <c r="B525" s="11"/>
    </row>
    <row r="526" spans="2:2" ht="15.75" customHeight="1" x14ac:dyDescent="0.25">
      <c r="B526" s="11"/>
    </row>
    <row r="527" spans="2:2" ht="15.75" customHeight="1" x14ac:dyDescent="0.25">
      <c r="B527" s="11"/>
    </row>
    <row r="528" spans="2:2" ht="15.75" customHeight="1" x14ac:dyDescent="0.25">
      <c r="B528" s="11"/>
    </row>
    <row r="529" spans="2:2" ht="15.75" customHeight="1" x14ac:dyDescent="0.25">
      <c r="B529" s="11"/>
    </row>
    <row r="530" spans="2:2" ht="15.75" customHeight="1" x14ac:dyDescent="0.25">
      <c r="B530" s="11"/>
    </row>
    <row r="531" spans="2:2" ht="15.75" customHeight="1" x14ac:dyDescent="0.25">
      <c r="B531" s="11"/>
    </row>
    <row r="532" spans="2:2" ht="15.75" customHeight="1" x14ac:dyDescent="0.25">
      <c r="B532" s="11"/>
    </row>
    <row r="533" spans="2:2" ht="15.75" customHeight="1" x14ac:dyDescent="0.25">
      <c r="B533" s="11"/>
    </row>
    <row r="534" spans="2:2" ht="15.75" customHeight="1" x14ac:dyDescent="0.25">
      <c r="B534" s="11"/>
    </row>
    <row r="535" spans="2:2" ht="15.75" customHeight="1" x14ac:dyDescent="0.25">
      <c r="B535" s="11"/>
    </row>
    <row r="536" spans="2:2" ht="15.75" customHeight="1" x14ac:dyDescent="0.25">
      <c r="B536" s="11"/>
    </row>
    <row r="537" spans="2:2" ht="15.75" customHeight="1" x14ac:dyDescent="0.25">
      <c r="B537" s="11"/>
    </row>
    <row r="538" spans="2:2" ht="15.75" customHeight="1" x14ac:dyDescent="0.25">
      <c r="B538" s="11"/>
    </row>
    <row r="539" spans="2:2" ht="15.75" customHeight="1" x14ac:dyDescent="0.25">
      <c r="B539" s="11"/>
    </row>
    <row r="540" spans="2:2" ht="15.75" customHeight="1" x14ac:dyDescent="0.25">
      <c r="B540" s="11"/>
    </row>
    <row r="541" spans="2:2" ht="15.75" customHeight="1" x14ac:dyDescent="0.25">
      <c r="B541" s="11"/>
    </row>
    <row r="542" spans="2:2" ht="15.75" customHeight="1" x14ac:dyDescent="0.25">
      <c r="B542" s="11"/>
    </row>
    <row r="543" spans="2:2" ht="15.75" customHeight="1" x14ac:dyDescent="0.25">
      <c r="B543" s="11"/>
    </row>
    <row r="544" spans="2:2" ht="15.75" customHeight="1" x14ac:dyDescent="0.25">
      <c r="B544" s="11"/>
    </row>
    <row r="545" spans="2:2" ht="15.75" customHeight="1" x14ac:dyDescent="0.25">
      <c r="B545" s="11"/>
    </row>
    <row r="546" spans="2:2" ht="15.75" customHeight="1" x14ac:dyDescent="0.25">
      <c r="B546" s="11"/>
    </row>
    <row r="547" spans="2:2" ht="15.75" customHeight="1" x14ac:dyDescent="0.25">
      <c r="B547" s="11"/>
    </row>
    <row r="548" spans="2:2" ht="15.75" customHeight="1" x14ac:dyDescent="0.25">
      <c r="B548" s="11"/>
    </row>
    <row r="549" spans="2:2" ht="15.75" customHeight="1" x14ac:dyDescent="0.25">
      <c r="B549" s="11"/>
    </row>
    <row r="550" spans="2:2" ht="15.75" customHeight="1" x14ac:dyDescent="0.25">
      <c r="B550" s="11"/>
    </row>
    <row r="551" spans="2:2" ht="15.75" customHeight="1" x14ac:dyDescent="0.25">
      <c r="B551" s="11"/>
    </row>
    <row r="552" spans="2:2" ht="15.75" customHeight="1" x14ac:dyDescent="0.25">
      <c r="B552" s="11"/>
    </row>
    <row r="553" spans="2:2" ht="15.75" customHeight="1" x14ac:dyDescent="0.25">
      <c r="B553" s="11"/>
    </row>
    <row r="554" spans="2:2" ht="15.75" customHeight="1" x14ac:dyDescent="0.25">
      <c r="B554" s="11"/>
    </row>
    <row r="555" spans="2:2" ht="15.75" customHeight="1" x14ac:dyDescent="0.25">
      <c r="B555" s="11"/>
    </row>
    <row r="556" spans="2:2" ht="15.75" customHeight="1" x14ac:dyDescent="0.25">
      <c r="B556" s="11"/>
    </row>
    <row r="557" spans="2:2" ht="15.75" customHeight="1" x14ac:dyDescent="0.25">
      <c r="B557" s="11"/>
    </row>
    <row r="558" spans="2:2" ht="15.75" customHeight="1" x14ac:dyDescent="0.25">
      <c r="B558" s="11"/>
    </row>
    <row r="559" spans="2:2" ht="15.75" customHeight="1" x14ac:dyDescent="0.25">
      <c r="B559" s="11"/>
    </row>
    <row r="560" spans="2:2" ht="15.75" customHeight="1" x14ac:dyDescent="0.25">
      <c r="B560" s="11"/>
    </row>
    <row r="561" spans="2:2" ht="15.75" customHeight="1" x14ac:dyDescent="0.25">
      <c r="B561" s="11"/>
    </row>
    <row r="562" spans="2:2" ht="15.75" customHeight="1" x14ac:dyDescent="0.25">
      <c r="B562" s="11"/>
    </row>
    <row r="563" spans="2:2" ht="15.75" customHeight="1" x14ac:dyDescent="0.25">
      <c r="B563" s="11"/>
    </row>
    <row r="564" spans="2:2" ht="15.75" customHeight="1" x14ac:dyDescent="0.25">
      <c r="B564" s="11"/>
    </row>
    <row r="565" spans="2:2" ht="15.75" customHeight="1" x14ac:dyDescent="0.25">
      <c r="B565" s="11"/>
    </row>
    <row r="566" spans="2:2" ht="15.75" customHeight="1" x14ac:dyDescent="0.25">
      <c r="B566" s="11"/>
    </row>
    <row r="567" spans="2:2" ht="15.75" customHeight="1" x14ac:dyDescent="0.25">
      <c r="B567" s="11"/>
    </row>
    <row r="568" spans="2:2" ht="15.75" customHeight="1" x14ac:dyDescent="0.25">
      <c r="B568" s="11"/>
    </row>
    <row r="569" spans="2:2" ht="15.75" customHeight="1" x14ac:dyDescent="0.25">
      <c r="B569" s="11"/>
    </row>
    <row r="570" spans="2:2" ht="15.75" customHeight="1" x14ac:dyDescent="0.25">
      <c r="B570" s="11"/>
    </row>
    <row r="571" spans="2:2" ht="15.75" customHeight="1" x14ac:dyDescent="0.25">
      <c r="B571" s="11"/>
    </row>
    <row r="572" spans="2:2" ht="15.75" customHeight="1" x14ac:dyDescent="0.25">
      <c r="B572" s="11"/>
    </row>
    <row r="573" spans="2:2" ht="15.75" customHeight="1" x14ac:dyDescent="0.25">
      <c r="B573" s="11"/>
    </row>
    <row r="574" spans="2:2" ht="15.75" customHeight="1" x14ac:dyDescent="0.25">
      <c r="B574" s="11"/>
    </row>
    <row r="575" spans="2:2" ht="15.75" customHeight="1" x14ac:dyDescent="0.25">
      <c r="B575" s="11"/>
    </row>
    <row r="576" spans="2:2" ht="15.75" customHeight="1" x14ac:dyDescent="0.25">
      <c r="B576" s="11"/>
    </row>
    <row r="577" spans="2:2" ht="15.75" customHeight="1" x14ac:dyDescent="0.25">
      <c r="B577" s="11"/>
    </row>
    <row r="578" spans="2:2" ht="15.75" customHeight="1" x14ac:dyDescent="0.25">
      <c r="B578" s="11"/>
    </row>
    <row r="579" spans="2:2" ht="15.75" customHeight="1" x14ac:dyDescent="0.25">
      <c r="B579" s="11"/>
    </row>
    <row r="580" spans="2:2" ht="15.75" customHeight="1" x14ac:dyDescent="0.25">
      <c r="B580" s="11"/>
    </row>
    <row r="581" spans="2:2" ht="15.75" customHeight="1" x14ac:dyDescent="0.25">
      <c r="B581" s="11"/>
    </row>
    <row r="582" spans="2:2" ht="15.75" customHeight="1" x14ac:dyDescent="0.25">
      <c r="B582" s="11"/>
    </row>
    <row r="583" spans="2:2" ht="15.75" customHeight="1" x14ac:dyDescent="0.25">
      <c r="B583" s="11"/>
    </row>
    <row r="584" spans="2:2" ht="15.75" customHeight="1" x14ac:dyDescent="0.25">
      <c r="B584" s="11"/>
    </row>
    <row r="585" spans="2:2" ht="15.75" customHeight="1" x14ac:dyDescent="0.25">
      <c r="B585" s="11"/>
    </row>
    <row r="586" spans="2:2" ht="15.75" customHeight="1" x14ac:dyDescent="0.25">
      <c r="B586" s="11"/>
    </row>
    <row r="587" spans="2:2" ht="15.75" customHeight="1" x14ac:dyDescent="0.25">
      <c r="B587" s="11"/>
    </row>
    <row r="588" spans="2:2" ht="15.75" customHeight="1" x14ac:dyDescent="0.25">
      <c r="B588" s="11"/>
    </row>
    <row r="589" spans="2:2" ht="15.75" customHeight="1" x14ac:dyDescent="0.25">
      <c r="B589" s="11"/>
    </row>
    <row r="590" spans="2:2" ht="15.75" customHeight="1" x14ac:dyDescent="0.25">
      <c r="B590" s="11"/>
    </row>
    <row r="591" spans="2:2" ht="15.75" customHeight="1" x14ac:dyDescent="0.25">
      <c r="B591" s="11"/>
    </row>
    <row r="592" spans="2:2" ht="15.75" customHeight="1" x14ac:dyDescent="0.25">
      <c r="B592" s="11"/>
    </row>
    <row r="593" spans="2:2" ht="15.75" customHeight="1" x14ac:dyDescent="0.25">
      <c r="B593" s="11"/>
    </row>
    <row r="594" spans="2:2" ht="15.75" customHeight="1" x14ac:dyDescent="0.25">
      <c r="B594" s="11"/>
    </row>
    <row r="595" spans="2:2" ht="15.75" customHeight="1" x14ac:dyDescent="0.25">
      <c r="B595" s="11"/>
    </row>
    <row r="596" spans="2:2" ht="15.75" customHeight="1" x14ac:dyDescent="0.25">
      <c r="B596" s="11"/>
    </row>
    <row r="597" spans="2:2" ht="15.75" customHeight="1" x14ac:dyDescent="0.25">
      <c r="B597" s="11"/>
    </row>
    <row r="598" spans="2:2" ht="15.75" customHeight="1" x14ac:dyDescent="0.25">
      <c r="B598" s="11"/>
    </row>
    <row r="599" spans="2:2" ht="15.75" customHeight="1" x14ac:dyDescent="0.25">
      <c r="B599" s="11"/>
    </row>
    <row r="600" spans="2:2" ht="15.75" customHeight="1" x14ac:dyDescent="0.25">
      <c r="B600" s="11"/>
    </row>
    <row r="601" spans="2:2" ht="15.75" customHeight="1" x14ac:dyDescent="0.25">
      <c r="B601" s="11"/>
    </row>
    <row r="602" spans="2:2" ht="15.75" customHeight="1" x14ac:dyDescent="0.25">
      <c r="B602" s="11"/>
    </row>
    <row r="603" spans="2:2" ht="15.75" customHeight="1" x14ac:dyDescent="0.25">
      <c r="B603" s="11"/>
    </row>
    <row r="604" spans="2:2" ht="15.75" customHeight="1" x14ac:dyDescent="0.25">
      <c r="B604" s="11"/>
    </row>
    <row r="605" spans="2:2" ht="15.75" customHeight="1" x14ac:dyDescent="0.25">
      <c r="B605" s="11"/>
    </row>
    <row r="606" spans="2:2" ht="15.75" customHeight="1" x14ac:dyDescent="0.25">
      <c r="B606" s="11"/>
    </row>
    <row r="607" spans="2:2" ht="15.75" customHeight="1" x14ac:dyDescent="0.25">
      <c r="B607" s="11"/>
    </row>
    <row r="608" spans="2:2" ht="15.75" customHeight="1" x14ac:dyDescent="0.25">
      <c r="B608" s="11"/>
    </row>
    <row r="609" spans="2:2" ht="15.75" customHeight="1" x14ac:dyDescent="0.25">
      <c r="B609" s="11"/>
    </row>
    <row r="610" spans="2:2" ht="15.75" customHeight="1" x14ac:dyDescent="0.25">
      <c r="B610" s="11"/>
    </row>
    <row r="611" spans="2:2" ht="15.75" customHeight="1" x14ac:dyDescent="0.25">
      <c r="B611" s="11"/>
    </row>
    <row r="612" spans="2:2" ht="15.75" customHeight="1" x14ac:dyDescent="0.25">
      <c r="B612" s="11"/>
    </row>
    <row r="613" spans="2:2" ht="15.75" customHeight="1" x14ac:dyDescent="0.25">
      <c r="B613" s="11"/>
    </row>
    <row r="614" spans="2:2" ht="15.75" customHeight="1" x14ac:dyDescent="0.25">
      <c r="B614" s="11"/>
    </row>
    <row r="615" spans="2:2" ht="15.75" customHeight="1" x14ac:dyDescent="0.25">
      <c r="B615" s="11"/>
    </row>
    <row r="616" spans="2:2" ht="15.75" customHeight="1" x14ac:dyDescent="0.25">
      <c r="B616" s="11"/>
    </row>
    <row r="617" spans="2:2" ht="15.75" customHeight="1" x14ac:dyDescent="0.25">
      <c r="B617" s="11"/>
    </row>
    <row r="618" spans="2:2" ht="15.75" customHeight="1" x14ac:dyDescent="0.25">
      <c r="B618" s="11"/>
    </row>
    <row r="619" spans="2:2" ht="15.75" customHeight="1" x14ac:dyDescent="0.25">
      <c r="B619" s="11"/>
    </row>
    <row r="620" spans="2:2" ht="15.75" customHeight="1" x14ac:dyDescent="0.25">
      <c r="B620" s="11"/>
    </row>
    <row r="621" spans="2:2" ht="15.75" customHeight="1" x14ac:dyDescent="0.25">
      <c r="B621" s="11"/>
    </row>
    <row r="622" spans="2:2" ht="15.75" customHeight="1" x14ac:dyDescent="0.25">
      <c r="B622" s="11"/>
    </row>
    <row r="623" spans="2:2" ht="15.75" customHeight="1" x14ac:dyDescent="0.25">
      <c r="B623" s="11"/>
    </row>
    <row r="624" spans="2:2" ht="15.75" customHeight="1" x14ac:dyDescent="0.25">
      <c r="B624" s="11"/>
    </row>
    <row r="625" spans="2:2" ht="15.75" customHeight="1" x14ac:dyDescent="0.25">
      <c r="B625" s="11"/>
    </row>
    <row r="626" spans="2:2" ht="15.75" customHeight="1" x14ac:dyDescent="0.25">
      <c r="B626" s="11"/>
    </row>
    <row r="627" spans="2:2" ht="15.75" customHeight="1" x14ac:dyDescent="0.25">
      <c r="B627" s="11"/>
    </row>
    <row r="628" spans="2:2" ht="15.75" customHeight="1" x14ac:dyDescent="0.25">
      <c r="B628" s="11"/>
    </row>
    <row r="629" spans="2:2" ht="15.75" customHeight="1" x14ac:dyDescent="0.25">
      <c r="B629" s="11"/>
    </row>
    <row r="630" spans="2:2" ht="15.75" customHeight="1" x14ac:dyDescent="0.25">
      <c r="B630" s="11"/>
    </row>
    <row r="631" spans="2:2" ht="15.75" customHeight="1" x14ac:dyDescent="0.25">
      <c r="B631" s="11"/>
    </row>
    <row r="632" spans="2:2" ht="15.75" customHeight="1" x14ac:dyDescent="0.25">
      <c r="B632" s="11"/>
    </row>
    <row r="633" spans="2:2" ht="15.75" customHeight="1" x14ac:dyDescent="0.25">
      <c r="B633" s="11"/>
    </row>
    <row r="634" spans="2:2" ht="15.75" customHeight="1" x14ac:dyDescent="0.25">
      <c r="B634" s="11"/>
    </row>
    <row r="635" spans="2:2" ht="15.75" customHeight="1" x14ac:dyDescent="0.25">
      <c r="B635" s="11"/>
    </row>
    <row r="636" spans="2:2" ht="15.75" customHeight="1" x14ac:dyDescent="0.25">
      <c r="B636" s="11"/>
    </row>
    <row r="637" spans="2:2" ht="15.75" customHeight="1" x14ac:dyDescent="0.25">
      <c r="B637" s="11"/>
    </row>
    <row r="638" spans="2:2" ht="15.75" customHeight="1" x14ac:dyDescent="0.25">
      <c r="B638" s="11"/>
    </row>
    <row r="639" spans="2:2" ht="15.75" customHeight="1" x14ac:dyDescent="0.25">
      <c r="B639" s="11"/>
    </row>
    <row r="640" spans="2:2" ht="15.75" customHeight="1" x14ac:dyDescent="0.25">
      <c r="B640" s="11"/>
    </row>
    <row r="641" spans="2:2" ht="15.75" customHeight="1" x14ac:dyDescent="0.25">
      <c r="B641" s="11"/>
    </row>
    <row r="642" spans="2:2" ht="15.75" customHeight="1" x14ac:dyDescent="0.25">
      <c r="B642" s="11"/>
    </row>
    <row r="643" spans="2:2" ht="15.75" customHeight="1" x14ac:dyDescent="0.25">
      <c r="B643" s="11"/>
    </row>
    <row r="644" spans="2:2" ht="15.75" customHeight="1" x14ac:dyDescent="0.25">
      <c r="B644" s="11"/>
    </row>
    <row r="645" spans="2:2" ht="15.75" customHeight="1" x14ac:dyDescent="0.25">
      <c r="B645" s="11"/>
    </row>
    <row r="646" spans="2:2" ht="15.75" customHeight="1" x14ac:dyDescent="0.25">
      <c r="B646" s="11"/>
    </row>
    <row r="647" spans="2:2" ht="15.75" customHeight="1" x14ac:dyDescent="0.25">
      <c r="B647" s="11"/>
    </row>
    <row r="648" spans="2:2" ht="15.75" customHeight="1" x14ac:dyDescent="0.25">
      <c r="B648" s="11"/>
    </row>
    <row r="649" spans="2:2" ht="15.75" customHeight="1" x14ac:dyDescent="0.25">
      <c r="B649" s="11"/>
    </row>
    <row r="650" spans="2:2" ht="15.75" customHeight="1" x14ac:dyDescent="0.25">
      <c r="B650" s="11"/>
    </row>
    <row r="651" spans="2:2" ht="15.75" customHeight="1" x14ac:dyDescent="0.25">
      <c r="B651" s="11"/>
    </row>
    <row r="652" spans="2:2" ht="15.75" customHeight="1" x14ac:dyDescent="0.25">
      <c r="B652" s="11"/>
    </row>
    <row r="653" spans="2:2" ht="15.75" customHeight="1" x14ac:dyDescent="0.25">
      <c r="B653" s="11"/>
    </row>
    <row r="654" spans="2:2" ht="15.75" customHeight="1" x14ac:dyDescent="0.25">
      <c r="B654" s="11"/>
    </row>
    <row r="655" spans="2:2" ht="15.75" customHeight="1" x14ac:dyDescent="0.25">
      <c r="B655" s="11"/>
    </row>
    <row r="656" spans="2:2" ht="15.75" customHeight="1" x14ac:dyDescent="0.25">
      <c r="B656" s="11"/>
    </row>
    <row r="657" spans="2:2" ht="15.75" customHeight="1" x14ac:dyDescent="0.25">
      <c r="B657" s="11"/>
    </row>
    <row r="658" spans="2:2" ht="15.75" customHeight="1" x14ac:dyDescent="0.25">
      <c r="B658" s="11"/>
    </row>
    <row r="659" spans="2:2" ht="15.75" customHeight="1" x14ac:dyDescent="0.25">
      <c r="B659" s="11"/>
    </row>
    <row r="660" spans="2:2" ht="15.75" customHeight="1" x14ac:dyDescent="0.25">
      <c r="B660" s="11"/>
    </row>
    <row r="661" spans="2:2" ht="15.75" customHeight="1" x14ac:dyDescent="0.25">
      <c r="B661" s="11"/>
    </row>
    <row r="662" spans="2:2" ht="15.75" customHeight="1" x14ac:dyDescent="0.25">
      <c r="B662" s="11"/>
    </row>
    <row r="663" spans="2:2" ht="15.75" customHeight="1" x14ac:dyDescent="0.25">
      <c r="B663" s="11"/>
    </row>
    <row r="664" spans="2:2" ht="15.75" customHeight="1" x14ac:dyDescent="0.25">
      <c r="B664" s="11"/>
    </row>
    <row r="665" spans="2:2" ht="15.75" customHeight="1" x14ac:dyDescent="0.25">
      <c r="B665" s="11"/>
    </row>
    <row r="666" spans="2:2" ht="15.75" customHeight="1" x14ac:dyDescent="0.25">
      <c r="B666" s="11"/>
    </row>
    <row r="667" spans="2:2" ht="15.75" customHeight="1" x14ac:dyDescent="0.25">
      <c r="B667" s="11"/>
    </row>
    <row r="668" spans="2:2" ht="15.75" customHeight="1" x14ac:dyDescent="0.25">
      <c r="B668" s="11"/>
    </row>
    <row r="669" spans="2:2" ht="15.75" customHeight="1" x14ac:dyDescent="0.25">
      <c r="B669" s="11"/>
    </row>
    <row r="670" spans="2:2" ht="15.75" customHeight="1" x14ac:dyDescent="0.25">
      <c r="B670" s="11"/>
    </row>
    <row r="671" spans="2:2" ht="15.75" customHeight="1" x14ac:dyDescent="0.25">
      <c r="B671" s="11"/>
    </row>
    <row r="672" spans="2:2" ht="15.75" customHeight="1" x14ac:dyDescent="0.25">
      <c r="B672" s="11"/>
    </row>
    <row r="673" spans="2:2" ht="15.75" customHeight="1" x14ac:dyDescent="0.25">
      <c r="B673" s="11"/>
    </row>
    <row r="674" spans="2:2" ht="15.75" customHeight="1" x14ac:dyDescent="0.25">
      <c r="B674" s="11"/>
    </row>
    <row r="675" spans="2:2" ht="15.75" customHeight="1" x14ac:dyDescent="0.25">
      <c r="B675" s="11"/>
    </row>
    <row r="676" spans="2:2" ht="15.75" customHeight="1" x14ac:dyDescent="0.25">
      <c r="B676" s="11"/>
    </row>
    <row r="677" spans="2:2" ht="15.75" customHeight="1" x14ac:dyDescent="0.25">
      <c r="B677" s="11"/>
    </row>
    <row r="678" spans="2:2" ht="15.75" customHeight="1" x14ac:dyDescent="0.25">
      <c r="B678" s="11"/>
    </row>
    <row r="679" spans="2:2" ht="15.75" customHeight="1" x14ac:dyDescent="0.25">
      <c r="B679" s="11"/>
    </row>
    <row r="680" spans="2:2" ht="15.75" customHeight="1" x14ac:dyDescent="0.25">
      <c r="B680" s="11"/>
    </row>
    <row r="681" spans="2:2" ht="15.75" customHeight="1" x14ac:dyDescent="0.25">
      <c r="B681" s="11"/>
    </row>
    <row r="682" spans="2:2" ht="15.75" customHeight="1" x14ac:dyDescent="0.25">
      <c r="B682" s="11"/>
    </row>
    <row r="683" spans="2:2" ht="15.75" customHeight="1" x14ac:dyDescent="0.25">
      <c r="B683" s="11"/>
    </row>
    <row r="684" spans="2:2" ht="15.75" customHeight="1" x14ac:dyDescent="0.25">
      <c r="B684" s="11"/>
    </row>
    <row r="685" spans="2:2" ht="15.75" customHeight="1" x14ac:dyDescent="0.25">
      <c r="B685" s="11"/>
    </row>
    <row r="686" spans="2:2" ht="15.75" customHeight="1" x14ac:dyDescent="0.25">
      <c r="B686" s="11"/>
    </row>
    <row r="687" spans="2:2" ht="15.75" customHeight="1" x14ac:dyDescent="0.25">
      <c r="B687" s="11"/>
    </row>
    <row r="688" spans="2:2" ht="15.75" customHeight="1" x14ac:dyDescent="0.25">
      <c r="B688" s="11"/>
    </row>
    <row r="689" spans="2:2" ht="15.75" customHeight="1" x14ac:dyDescent="0.25">
      <c r="B689" s="11"/>
    </row>
    <row r="690" spans="2:2" ht="15.75" customHeight="1" x14ac:dyDescent="0.25">
      <c r="B690" s="11"/>
    </row>
    <row r="691" spans="2:2" ht="15.75" customHeight="1" x14ac:dyDescent="0.25">
      <c r="B691" s="11"/>
    </row>
    <row r="692" spans="2:2" ht="15.75" customHeight="1" x14ac:dyDescent="0.25">
      <c r="B692" s="11"/>
    </row>
    <row r="693" spans="2:2" ht="15.75" customHeight="1" x14ac:dyDescent="0.25">
      <c r="B693" s="11"/>
    </row>
    <row r="694" spans="2:2" ht="15.75" customHeight="1" x14ac:dyDescent="0.25">
      <c r="B694" s="11"/>
    </row>
    <row r="695" spans="2:2" ht="15.75" customHeight="1" x14ac:dyDescent="0.25">
      <c r="B695" s="11"/>
    </row>
    <row r="696" spans="2:2" ht="15.75" customHeight="1" x14ac:dyDescent="0.25">
      <c r="B696" s="11"/>
    </row>
    <row r="697" spans="2:2" ht="15.75" customHeight="1" x14ac:dyDescent="0.25">
      <c r="B697" s="11"/>
    </row>
    <row r="698" spans="2:2" ht="15.75" customHeight="1" x14ac:dyDescent="0.25">
      <c r="B698" s="11"/>
    </row>
    <row r="699" spans="2:2" ht="15.75" customHeight="1" x14ac:dyDescent="0.25">
      <c r="B699" s="11"/>
    </row>
    <row r="700" spans="2:2" ht="15.75" customHeight="1" x14ac:dyDescent="0.25">
      <c r="B700" s="11"/>
    </row>
    <row r="701" spans="2:2" ht="15.75" customHeight="1" x14ac:dyDescent="0.25">
      <c r="B701" s="11"/>
    </row>
    <row r="702" spans="2:2" ht="15.75" customHeight="1" x14ac:dyDescent="0.25">
      <c r="B702" s="11"/>
    </row>
    <row r="703" spans="2:2" ht="15.75" customHeight="1" x14ac:dyDescent="0.25">
      <c r="B703" s="11"/>
    </row>
    <row r="704" spans="2:2" ht="15.75" customHeight="1" x14ac:dyDescent="0.25">
      <c r="B704" s="11"/>
    </row>
    <row r="705" spans="2:2" ht="15.75" customHeight="1" x14ac:dyDescent="0.25">
      <c r="B705" s="11"/>
    </row>
    <row r="706" spans="2:2" ht="15.75" customHeight="1" x14ac:dyDescent="0.25">
      <c r="B706" s="11"/>
    </row>
    <row r="707" spans="2:2" ht="15.75" customHeight="1" x14ac:dyDescent="0.25">
      <c r="B707" s="11"/>
    </row>
    <row r="708" spans="2:2" ht="15.75" customHeight="1" x14ac:dyDescent="0.25">
      <c r="B708" s="11"/>
    </row>
    <row r="709" spans="2:2" ht="15.75" customHeight="1" x14ac:dyDescent="0.25">
      <c r="B709" s="11"/>
    </row>
    <row r="710" spans="2:2" ht="15.75" customHeight="1" x14ac:dyDescent="0.25">
      <c r="B710" s="11"/>
    </row>
    <row r="711" spans="2:2" ht="15.75" customHeight="1" x14ac:dyDescent="0.25">
      <c r="B711" s="11"/>
    </row>
    <row r="712" spans="2:2" ht="15.75" customHeight="1" x14ac:dyDescent="0.25">
      <c r="B712" s="11"/>
    </row>
    <row r="713" spans="2:2" ht="15.75" customHeight="1" x14ac:dyDescent="0.25">
      <c r="B713" s="11"/>
    </row>
    <row r="714" spans="2:2" ht="15.75" customHeight="1" x14ac:dyDescent="0.25">
      <c r="B714" s="11"/>
    </row>
    <row r="715" spans="2:2" ht="15.75" customHeight="1" x14ac:dyDescent="0.25">
      <c r="B715" s="11"/>
    </row>
    <row r="716" spans="2:2" ht="15.75" customHeight="1" x14ac:dyDescent="0.25">
      <c r="B716" s="11"/>
    </row>
    <row r="717" spans="2:2" ht="15.75" customHeight="1" x14ac:dyDescent="0.25">
      <c r="B717" s="11"/>
    </row>
    <row r="718" spans="2:2" ht="15.75" customHeight="1" x14ac:dyDescent="0.25">
      <c r="B718" s="11"/>
    </row>
    <row r="719" spans="2:2" ht="15.75" customHeight="1" x14ac:dyDescent="0.25">
      <c r="B719" s="11"/>
    </row>
    <row r="720" spans="2:2" ht="15.75" customHeight="1" x14ac:dyDescent="0.25">
      <c r="B720" s="11"/>
    </row>
    <row r="721" spans="2:2" ht="15.75" customHeight="1" x14ac:dyDescent="0.25">
      <c r="B721" s="11"/>
    </row>
    <row r="722" spans="2:2" ht="15.75" customHeight="1" x14ac:dyDescent="0.25">
      <c r="B722" s="11"/>
    </row>
    <row r="723" spans="2:2" ht="15.75" customHeight="1" x14ac:dyDescent="0.25">
      <c r="B723" s="11"/>
    </row>
    <row r="724" spans="2:2" ht="15.75" customHeight="1" x14ac:dyDescent="0.25">
      <c r="B724" s="11"/>
    </row>
    <row r="725" spans="2:2" ht="15.75" customHeight="1" x14ac:dyDescent="0.25">
      <c r="B725" s="11"/>
    </row>
    <row r="726" spans="2:2" ht="15.75" customHeight="1" x14ac:dyDescent="0.25">
      <c r="B726" s="11"/>
    </row>
    <row r="727" spans="2:2" ht="15.75" customHeight="1" x14ac:dyDescent="0.25">
      <c r="B727" s="11"/>
    </row>
    <row r="728" spans="2:2" ht="15.75" customHeight="1" x14ac:dyDescent="0.25">
      <c r="B728" s="11"/>
    </row>
    <row r="729" spans="2:2" ht="15.75" customHeight="1" x14ac:dyDescent="0.25">
      <c r="B729" s="11"/>
    </row>
    <row r="730" spans="2:2" ht="15.75" customHeight="1" x14ac:dyDescent="0.25">
      <c r="B730" s="11"/>
    </row>
    <row r="731" spans="2:2" ht="15.75" customHeight="1" x14ac:dyDescent="0.25">
      <c r="B731" s="11"/>
    </row>
    <row r="732" spans="2:2" ht="15.75" customHeight="1" x14ac:dyDescent="0.25">
      <c r="B732" s="11"/>
    </row>
    <row r="733" spans="2:2" ht="15.75" customHeight="1" x14ac:dyDescent="0.25">
      <c r="B733" s="11"/>
    </row>
    <row r="734" spans="2:2" ht="15.75" customHeight="1" x14ac:dyDescent="0.25">
      <c r="B734" s="11"/>
    </row>
    <row r="735" spans="2:2" ht="15.75" customHeight="1" x14ac:dyDescent="0.25">
      <c r="B735" s="11"/>
    </row>
    <row r="736" spans="2:2" ht="15.75" customHeight="1" x14ac:dyDescent="0.25">
      <c r="B736" s="11"/>
    </row>
    <row r="737" spans="2:2" ht="15.75" customHeight="1" x14ac:dyDescent="0.25">
      <c r="B737" s="11"/>
    </row>
    <row r="738" spans="2:2" ht="15.75" customHeight="1" x14ac:dyDescent="0.25">
      <c r="B738" s="11"/>
    </row>
    <row r="739" spans="2:2" ht="15.75" customHeight="1" x14ac:dyDescent="0.25">
      <c r="B739" s="11"/>
    </row>
    <row r="740" spans="2:2" ht="15.75" customHeight="1" x14ac:dyDescent="0.25">
      <c r="B740" s="11"/>
    </row>
    <row r="741" spans="2:2" ht="15.75" customHeight="1" x14ac:dyDescent="0.25">
      <c r="B741" s="11"/>
    </row>
    <row r="742" spans="2:2" ht="15.75" customHeight="1" x14ac:dyDescent="0.25">
      <c r="B742" s="11"/>
    </row>
    <row r="743" spans="2:2" ht="15.75" customHeight="1" x14ac:dyDescent="0.25">
      <c r="B743" s="11"/>
    </row>
    <row r="744" spans="2:2" ht="15.75" customHeight="1" x14ac:dyDescent="0.25">
      <c r="B744" s="11"/>
    </row>
    <row r="745" spans="2:2" ht="15.75" customHeight="1" x14ac:dyDescent="0.25">
      <c r="B745" s="11"/>
    </row>
    <row r="746" spans="2:2" ht="15.75" customHeight="1" x14ac:dyDescent="0.25">
      <c r="B746" s="11"/>
    </row>
    <row r="747" spans="2:2" ht="15.75" customHeight="1" x14ac:dyDescent="0.25">
      <c r="B747" s="11"/>
    </row>
    <row r="748" spans="2:2" ht="15.75" customHeight="1" x14ac:dyDescent="0.25">
      <c r="B748" s="11"/>
    </row>
    <row r="749" spans="2:2" ht="15.75" customHeight="1" x14ac:dyDescent="0.25">
      <c r="B749" s="11"/>
    </row>
    <row r="750" spans="2:2" ht="15.75" customHeight="1" x14ac:dyDescent="0.25">
      <c r="B750" s="11"/>
    </row>
    <row r="751" spans="2:2" ht="15.75" customHeight="1" x14ac:dyDescent="0.25">
      <c r="B751" s="11"/>
    </row>
    <row r="752" spans="2:2" ht="15.75" customHeight="1" x14ac:dyDescent="0.25">
      <c r="B752" s="11"/>
    </row>
    <row r="753" spans="2:2" ht="15.75" customHeight="1" x14ac:dyDescent="0.25">
      <c r="B753" s="11"/>
    </row>
    <row r="754" spans="2:2" ht="15.75" customHeight="1" x14ac:dyDescent="0.25">
      <c r="B754" s="11"/>
    </row>
    <row r="755" spans="2:2" ht="15.75" customHeight="1" x14ac:dyDescent="0.25">
      <c r="B755" s="11"/>
    </row>
    <row r="756" spans="2:2" ht="15.75" customHeight="1" x14ac:dyDescent="0.25">
      <c r="B756" s="11"/>
    </row>
    <row r="757" spans="2:2" ht="15.75" customHeight="1" x14ac:dyDescent="0.25">
      <c r="B757" s="11"/>
    </row>
    <row r="758" spans="2:2" ht="15.75" customHeight="1" x14ac:dyDescent="0.25">
      <c r="B758" s="11"/>
    </row>
    <row r="759" spans="2:2" ht="15.75" customHeight="1" x14ac:dyDescent="0.25">
      <c r="B759" s="11"/>
    </row>
    <row r="760" spans="2:2" ht="15.75" customHeight="1" x14ac:dyDescent="0.25">
      <c r="B760" s="11"/>
    </row>
    <row r="761" spans="2:2" ht="15.75" customHeight="1" x14ac:dyDescent="0.25">
      <c r="B761" s="11"/>
    </row>
    <row r="762" spans="2:2" ht="15.75" customHeight="1" x14ac:dyDescent="0.25">
      <c r="B762" s="11"/>
    </row>
    <row r="763" spans="2:2" ht="15.75" customHeight="1" x14ac:dyDescent="0.25">
      <c r="B763" s="11"/>
    </row>
    <row r="764" spans="2:2" ht="15.75" customHeight="1" x14ac:dyDescent="0.25">
      <c r="B764" s="11"/>
    </row>
    <row r="765" spans="2:2" ht="15.75" customHeight="1" x14ac:dyDescent="0.25">
      <c r="B765" s="11"/>
    </row>
    <row r="766" spans="2:2" ht="15.75" customHeight="1" x14ac:dyDescent="0.25">
      <c r="B766" s="11"/>
    </row>
    <row r="767" spans="2:2" ht="15.75" customHeight="1" x14ac:dyDescent="0.25">
      <c r="B767" s="11"/>
    </row>
    <row r="768" spans="2:2" ht="15.75" customHeight="1" x14ac:dyDescent="0.25">
      <c r="B768" s="11"/>
    </row>
    <row r="769" spans="2:2" ht="15.75" customHeight="1" x14ac:dyDescent="0.25">
      <c r="B769" s="11"/>
    </row>
    <row r="770" spans="2:2" ht="15.75" customHeight="1" x14ac:dyDescent="0.25">
      <c r="B770" s="11"/>
    </row>
    <row r="771" spans="2:2" ht="15.75" customHeight="1" x14ac:dyDescent="0.25">
      <c r="B771" s="11"/>
    </row>
    <row r="772" spans="2:2" ht="15.75" customHeight="1" x14ac:dyDescent="0.25">
      <c r="B772" s="11"/>
    </row>
    <row r="773" spans="2:2" ht="15.75" customHeight="1" x14ac:dyDescent="0.25">
      <c r="B773" s="11"/>
    </row>
    <row r="774" spans="2:2" ht="15.75" customHeight="1" x14ac:dyDescent="0.25">
      <c r="B774" s="11"/>
    </row>
    <row r="775" spans="2:2" ht="15.75" customHeight="1" x14ac:dyDescent="0.25">
      <c r="B775" s="11"/>
    </row>
    <row r="776" spans="2:2" ht="15.75" customHeight="1" x14ac:dyDescent="0.25">
      <c r="B776" s="11"/>
    </row>
    <row r="777" spans="2:2" ht="15.75" customHeight="1" x14ac:dyDescent="0.25">
      <c r="B777" s="11"/>
    </row>
    <row r="778" spans="2:2" ht="15.75" customHeight="1" x14ac:dyDescent="0.25">
      <c r="B778" s="11"/>
    </row>
    <row r="779" spans="2:2" ht="15.75" customHeight="1" x14ac:dyDescent="0.25">
      <c r="B779" s="11"/>
    </row>
    <row r="780" spans="2:2" ht="15.75" customHeight="1" x14ac:dyDescent="0.25">
      <c r="B780" s="11"/>
    </row>
    <row r="781" spans="2:2" ht="15.75" customHeight="1" x14ac:dyDescent="0.25">
      <c r="B781" s="11"/>
    </row>
    <row r="782" spans="2:2" ht="15.75" customHeight="1" x14ac:dyDescent="0.25">
      <c r="B782" s="11"/>
    </row>
    <row r="783" spans="2:2" ht="15.75" customHeight="1" x14ac:dyDescent="0.25">
      <c r="B783" s="11"/>
    </row>
    <row r="784" spans="2:2" ht="15.75" customHeight="1" x14ac:dyDescent="0.25">
      <c r="B784" s="11"/>
    </row>
    <row r="785" spans="2:2" ht="15.75" customHeight="1" x14ac:dyDescent="0.25">
      <c r="B785" s="11"/>
    </row>
    <row r="786" spans="2:2" ht="15.75" customHeight="1" x14ac:dyDescent="0.25">
      <c r="B786" s="11"/>
    </row>
    <row r="787" spans="2:2" ht="15.75" customHeight="1" x14ac:dyDescent="0.25">
      <c r="B787" s="11"/>
    </row>
    <row r="788" spans="2:2" ht="15.75" customHeight="1" x14ac:dyDescent="0.25">
      <c r="B788" s="11"/>
    </row>
    <row r="789" spans="2:2" ht="15.75" customHeight="1" x14ac:dyDescent="0.25">
      <c r="B789" s="11"/>
    </row>
    <row r="790" spans="2:2" ht="15.75" customHeight="1" x14ac:dyDescent="0.25">
      <c r="B790" s="11"/>
    </row>
    <row r="791" spans="2:2" ht="15.75" customHeight="1" x14ac:dyDescent="0.25">
      <c r="B791" s="11"/>
    </row>
    <row r="792" spans="2:2" ht="15.75" customHeight="1" x14ac:dyDescent="0.25">
      <c r="B792" s="11"/>
    </row>
    <row r="793" spans="2:2" ht="15.75" customHeight="1" x14ac:dyDescent="0.25">
      <c r="B793" s="11"/>
    </row>
    <row r="794" spans="2:2" ht="15.75" customHeight="1" x14ac:dyDescent="0.25">
      <c r="B794" s="11"/>
    </row>
    <row r="795" spans="2:2" ht="15.75" customHeight="1" x14ac:dyDescent="0.25">
      <c r="B795" s="11"/>
    </row>
    <row r="796" spans="2:2" ht="15.75" customHeight="1" x14ac:dyDescent="0.25">
      <c r="B796" s="11"/>
    </row>
    <row r="797" spans="2:2" ht="15.75" customHeight="1" x14ac:dyDescent="0.25">
      <c r="B797" s="11"/>
    </row>
    <row r="798" spans="2:2" ht="15.75" customHeight="1" x14ac:dyDescent="0.25">
      <c r="B798" s="11"/>
    </row>
    <row r="799" spans="2:2" ht="15.75" customHeight="1" x14ac:dyDescent="0.25">
      <c r="B799" s="11"/>
    </row>
    <row r="800" spans="2:2" ht="15.75" customHeight="1" x14ac:dyDescent="0.25">
      <c r="B800" s="11"/>
    </row>
    <row r="801" spans="2:2" ht="15.75" customHeight="1" x14ac:dyDescent="0.25">
      <c r="B801" s="11"/>
    </row>
    <row r="802" spans="2:2" ht="15.75" customHeight="1" x14ac:dyDescent="0.25">
      <c r="B802" s="11"/>
    </row>
    <row r="803" spans="2:2" ht="15.75" customHeight="1" x14ac:dyDescent="0.25">
      <c r="B803" s="11"/>
    </row>
    <row r="804" spans="2:2" ht="15.75" customHeight="1" x14ac:dyDescent="0.25">
      <c r="B804" s="11"/>
    </row>
    <row r="805" spans="2:2" ht="15.75" customHeight="1" x14ac:dyDescent="0.25">
      <c r="B805" s="11"/>
    </row>
    <row r="806" spans="2:2" ht="15.75" customHeight="1" x14ac:dyDescent="0.25">
      <c r="B806" s="11"/>
    </row>
    <row r="807" spans="2:2" ht="15.75" customHeight="1" x14ac:dyDescent="0.25">
      <c r="B807" s="11"/>
    </row>
    <row r="808" spans="2:2" ht="15.75" customHeight="1" x14ac:dyDescent="0.25">
      <c r="B808" s="11"/>
    </row>
    <row r="809" spans="2:2" ht="15.75" customHeight="1" x14ac:dyDescent="0.25">
      <c r="B809" s="11"/>
    </row>
    <row r="810" spans="2:2" ht="15.75" customHeight="1" x14ac:dyDescent="0.25">
      <c r="B810" s="11"/>
    </row>
    <row r="811" spans="2:2" ht="15.75" customHeight="1" x14ac:dyDescent="0.25">
      <c r="B811" s="11"/>
    </row>
    <row r="812" spans="2:2" ht="15.75" customHeight="1" x14ac:dyDescent="0.25">
      <c r="B812" s="11"/>
    </row>
    <row r="813" spans="2:2" ht="15.75" customHeight="1" x14ac:dyDescent="0.25">
      <c r="B813" s="11"/>
    </row>
    <row r="814" spans="2:2" ht="15.75" customHeight="1" x14ac:dyDescent="0.25">
      <c r="B814" s="11"/>
    </row>
    <row r="815" spans="2:2" ht="15.75" customHeight="1" x14ac:dyDescent="0.25">
      <c r="B815" s="11"/>
    </row>
    <row r="816" spans="2:2" ht="15.75" customHeight="1" x14ac:dyDescent="0.25">
      <c r="B816" s="11"/>
    </row>
    <row r="817" spans="2:2" ht="15.75" customHeight="1" x14ac:dyDescent="0.25">
      <c r="B817" s="11"/>
    </row>
    <row r="818" spans="2:2" ht="15.75" customHeight="1" x14ac:dyDescent="0.25">
      <c r="B818" s="11"/>
    </row>
    <row r="819" spans="2:2" ht="15.75" customHeight="1" x14ac:dyDescent="0.25">
      <c r="B819" s="11"/>
    </row>
    <row r="820" spans="2:2" ht="15.75" customHeight="1" x14ac:dyDescent="0.25">
      <c r="B820" s="11"/>
    </row>
    <row r="821" spans="2:2" ht="15.75" customHeight="1" x14ac:dyDescent="0.25">
      <c r="B821" s="11"/>
    </row>
    <row r="822" spans="2:2" ht="15.75" customHeight="1" x14ac:dyDescent="0.25">
      <c r="B822" s="11"/>
    </row>
    <row r="823" spans="2:2" ht="15.75" customHeight="1" x14ac:dyDescent="0.25">
      <c r="B823" s="11"/>
    </row>
    <row r="824" spans="2:2" ht="15.75" customHeight="1" x14ac:dyDescent="0.25">
      <c r="B824" s="11"/>
    </row>
    <row r="825" spans="2:2" ht="15.75" customHeight="1" x14ac:dyDescent="0.25">
      <c r="B825" s="11"/>
    </row>
    <row r="826" spans="2:2" ht="15.75" customHeight="1" x14ac:dyDescent="0.25">
      <c r="B826" s="11"/>
    </row>
    <row r="827" spans="2:2" ht="15.75" customHeight="1" x14ac:dyDescent="0.25">
      <c r="B827" s="11"/>
    </row>
    <row r="828" spans="2:2" ht="15.75" customHeight="1" x14ac:dyDescent="0.25">
      <c r="B828" s="11"/>
    </row>
    <row r="829" spans="2:2" ht="15.75" customHeight="1" x14ac:dyDescent="0.25">
      <c r="B829" s="11"/>
    </row>
    <row r="830" spans="2:2" ht="15.75" customHeight="1" x14ac:dyDescent="0.25">
      <c r="B830" s="11"/>
    </row>
    <row r="831" spans="2:2" ht="15.75" customHeight="1" x14ac:dyDescent="0.25">
      <c r="B831" s="11"/>
    </row>
    <row r="832" spans="2:2" ht="15.75" customHeight="1" x14ac:dyDescent="0.25">
      <c r="B832" s="11"/>
    </row>
    <row r="833" spans="2:2" ht="15.75" customHeight="1" x14ac:dyDescent="0.25">
      <c r="B833" s="11"/>
    </row>
    <row r="834" spans="2:2" ht="15.75" customHeight="1" x14ac:dyDescent="0.25">
      <c r="B834" s="11"/>
    </row>
    <row r="835" spans="2:2" ht="15.75" customHeight="1" x14ac:dyDescent="0.25">
      <c r="B835" s="11"/>
    </row>
    <row r="836" spans="2:2" ht="15.75" customHeight="1" x14ac:dyDescent="0.25">
      <c r="B836" s="11"/>
    </row>
    <row r="837" spans="2:2" ht="15.75" customHeight="1" x14ac:dyDescent="0.25">
      <c r="B837" s="11"/>
    </row>
    <row r="838" spans="2:2" ht="15.75" customHeight="1" x14ac:dyDescent="0.25">
      <c r="B838" s="11"/>
    </row>
    <row r="839" spans="2:2" ht="15.75" customHeight="1" x14ac:dyDescent="0.25">
      <c r="B839" s="11"/>
    </row>
    <row r="840" spans="2:2" ht="15.75" customHeight="1" x14ac:dyDescent="0.25">
      <c r="B840" s="11"/>
    </row>
    <row r="841" spans="2:2" ht="15.75" customHeight="1" x14ac:dyDescent="0.25">
      <c r="B841" s="11"/>
    </row>
    <row r="842" spans="2:2" ht="15.75" customHeight="1" x14ac:dyDescent="0.25">
      <c r="B842" s="11"/>
    </row>
    <row r="843" spans="2:2" ht="15.75" customHeight="1" x14ac:dyDescent="0.25">
      <c r="B843" s="11"/>
    </row>
    <row r="844" spans="2:2" ht="15.75" customHeight="1" x14ac:dyDescent="0.25">
      <c r="B844" s="11"/>
    </row>
    <row r="845" spans="2:2" ht="15.75" customHeight="1" x14ac:dyDescent="0.25">
      <c r="B845" s="11"/>
    </row>
    <row r="846" spans="2:2" ht="15.75" customHeight="1" x14ac:dyDescent="0.25">
      <c r="B846" s="11"/>
    </row>
    <row r="847" spans="2:2" ht="15.75" customHeight="1" x14ac:dyDescent="0.25">
      <c r="B847" s="11"/>
    </row>
    <row r="848" spans="2:2" ht="15.75" customHeight="1" x14ac:dyDescent="0.25">
      <c r="B848" s="11"/>
    </row>
    <row r="849" spans="2:2" ht="15.75" customHeight="1" x14ac:dyDescent="0.25">
      <c r="B849" s="11"/>
    </row>
    <row r="850" spans="2:2" ht="15.75" customHeight="1" x14ac:dyDescent="0.25">
      <c r="B850" s="11"/>
    </row>
    <row r="851" spans="2:2" ht="15.75" customHeight="1" x14ac:dyDescent="0.25">
      <c r="B851" s="11"/>
    </row>
    <row r="852" spans="2:2" ht="15.75" customHeight="1" x14ac:dyDescent="0.25">
      <c r="B852" s="11"/>
    </row>
    <row r="853" spans="2:2" ht="15.75" customHeight="1" x14ac:dyDescent="0.25">
      <c r="B853" s="11"/>
    </row>
    <row r="854" spans="2:2" ht="15.75" customHeight="1" x14ac:dyDescent="0.25">
      <c r="B854" s="11"/>
    </row>
    <row r="855" spans="2:2" ht="15.75" customHeight="1" x14ac:dyDescent="0.25">
      <c r="B855" s="11"/>
    </row>
    <row r="856" spans="2:2" ht="15.75" customHeight="1" x14ac:dyDescent="0.25">
      <c r="B856" s="11"/>
    </row>
    <row r="857" spans="2:2" ht="15.75" customHeight="1" x14ac:dyDescent="0.25">
      <c r="B857" s="11"/>
    </row>
    <row r="858" spans="2:2" ht="15.75" customHeight="1" x14ac:dyDescent="0.25">
      <c r="B858" s="11"/>
    </row>
    <row r="859" spans="2:2" ht="15.75" customHeight="1" x14ac:dyDescent="0.25">
      <c r="B859" s="11"/>
    </row>
    <row r="860" spans="2:2" ht="15.75" customHeight="1" x14ac:dyDescent="0.25">
      <c r="B860" s="11"/>
    </row>
    <row r="861" spans="2:2" ht="15.75" customHeight="1" x14ac:dyDescent="0.25">
      <c r="B861" s="11"/>
    </row>
    <row r="862" spans="2:2" ht="15.75" customHeight="1" x14ac:dyDescent="0.25">
      <c r="B862" s="11"/>
    </row>
    <row r="863" spans="2:2" ht="15.75" customHeight="1" x14ac:dyDescent="0.25">
      <c r="B863" s="11"/>
    </row>
    <row r="864" spans="2:2" ht="15.75" customHeight="1" x14ac:dyDescent="0.25">
      <c r="B864" s="11"/>
    </row>
    <row r="865" spans="2:2" ht="15.75" customHeight="1" x14ac:dyDescent="0.25">
      <c r="B865" s="11"/>
    </row>
    <row r="866" spans="2:2" ht="15.75" customHeight="1" x14ac:dyDescent="0.25">
      <c r="B866" s="11"/>
    </row>
    <row r="867" spans="2:2" ht="15.75" customHeight="1" x14ac:dyDescent="0.25">
      <c r="B867" s="11"/>
    </row>
    <row r="868" spans="2:2" ht="15.75" customHeight="1" x14ac:dyDescent="0.25">
      <c r="B868" s="11"/>
    </row>
    <row r="869" spans="2:2" ht="15.75" customHeight="1" x14ac:dyDescent="0.25">
      <c r="B869" s="11"/>
    </row>
    <row r="870" spans="2:2" ht="15.75" customHeight="1" x14ac:dyDescent="0.25">
      <c r="B870" s="11"/>
    </row>
    <row r="871" spans="2:2" ht="15.75" customHeight="1" x14ac:dyDescent="0.25">
      <c r="B871" s="11"/>
    </row>
    <row r="872" spans="2:2" ht="15.75" customHeight="1" x14ac:dyDescent="0.25">
      <c r="B872" s="11"/>
    </row>
    <row r="873" spans="2:2" ht="15.75" customHeight="1" x14ac:dyDescent="0.25">
      <c r="B873" s="11"/>
    </row>
    <row r="874" spans="2:2" ht="15.75" customHeight="1" x14ac:dyDescent="0.25">
      <c r="B874" s="11"/>
    </row>
    <row r="875" spans="2:2" ht="15.75" customHeight="1" x14ac:dyDescent="0.25">
      <c r="B875" s="11"/>
    </row>
    <row r="876" spans="2:2" ht="15.75" customHeight="1" x14ac:dyDescent="0.25">
      <c r="B876" s="11"/>
    </row>
    <row r="877" spans="2:2" ht="15.75" customHeight="1" x14ac:dyDescent="0.25">
      <c r="B877" s="11"/>
    </row>
    <row r="878" spans="2:2" ht="15.75" customHeight="1" x14ac:dyDescent="0.25">
      <c r="B878" s="11"/>
    </row>
    <row r="879" spans="2:2" ht="15.75" customHeight="1" x14ac:dyDescent="0.25">
      <c r="B879" s="11"/>
    </row>
    <row r="880" spans="2:2" ht="15.75" customHeight="1" x14ac:dyDescent="0.25">
      <c r="B880" s="11"/>
    </row>
    <row r="881" spans="2:2" ht="15.75" customHeight="1" x14ac:dyDescent="0.25">
      <c r="B881" s="11"/>
    </row>
    <row r="882" spans="2:2" ht="15.75" customHeight="1" x14ac:dyDescent="0.25">
      <c r="B882" s="11"/>
    </row>
    <row r="883" spans="2:2" ht="15.75" customHeight="1" x14ac:dyDescent="0.25">
      <c r="B883" s="11"/>
    </row>
    <row r="884" spans="2:2" ht="15.75" customHeight="1" x14ac:dyDescent="0.25">
      <c r="B884" s="11"/>
    </row>
    <row r="885" spans="2:2" ht="15.75" customHeight="1" x14ac:dyDescent="0.25">
      <c r="B885" s="11"/>
    </row>
    <row r="886" spans="2:2" ht="15.75" customHeight="1" x14ac:dyDescent="0.25">
      <c r="B886" s="11"/>
    </row>
    <row r="887" spans="2:2" ht="15.75" customHeight="1" x14ac:dyDescent="0.25">
      <c r="B887" s="11"/>
    </row>
    <row r="888" spans="2:2" ht="15.75" customHeight="1" x14ac:dyDescent="0.25">
      <c r="B888" s="11"/>
    </row>
    <row r="889" spans="2:2" ht="15.75" customHeight="1" x14ac:dyDescent="0.25">
      <c r="B889" s="11"/>
    </row>
    <row r="890" spans="2:2" ht="15.75" customHeight="1" x14ac:dyDescent="0.25">
      <c r="B890" s="11"/>
    </row>
    <row r="891" spans="2:2" ht="15.75" customHeight="1" x14ac:dyDescent="0.25">
      <c r="B891" s="11"/>
    </row>
    <row r="892" spans="2:2" ht="15.75" customHeight="1" x14ac:dyDescent="0.25">
      <c r="B892" s="11"/>
    </row>
    <row r="893" spans="2:2" ht="15.75" customHeight="1" x14ac:dyDescent="0.25">
      <c r="B893" s="11"/>
    </row>
    <row r="894" spans="2:2" ht="15.75" customHeight="1" x14ac:dyDescent="0.25">
      <c r="B894" s="11"/>
    </row>
    <row r="895" spans="2:2" ht="15.75" customHeight="1" x14ac:dyDescent="0.25">
      <c r="B895" s="11"/>
    </row>
    <row r="896" spans="2:2" ht="15.75" customHeight="1" x14ac:dyDescent="0.25">
      <c r="B896" s="11"/>
    </row>
    <row r="897" spans="2:2" ht="15.75" customHeight="1" x14ac:dyDescent="0.25">
      <c r="B897" s="11"/>
    </row>
    <row r="898" spans="2:2" ht="15.75" customHeight="1" x14ac:dyDescent="0.25">
      <c r="B898" s="11"/>
    </row>
    <row r="899" spans="2:2" ht="15.75" customHeight="1" x14ac:dyDescent="0.25">
      <c r="B899" s="11"/>
    </row>
    <row r="900" spans="2:2" ht="15.75" customHeight="1" x14ac:dyDescent="0.25">
      <c r="B900" s="11"/>
    </row>
    <row r="901" spans="2:2" ht="15.75" customHeight="1" x14ac:dyDescent="0.25">
      <c r="B901" s="11"/>
    </row>
    <row r="902" spans="2:2" ht="15.75" customHeight="1" x14ac:dyDescent="0.25">
      <c r="B902" s="11"/>
    </row>
    <row r="903" spans="2:2" ht="15.75" customHeight="1" x14ac:dyDescent="0.25">
      <c r="B903" s="11"/>
    </row>
    <row r="904" spans="2:2" ht="15.75" customHeight="1" x14ac:dyDescent="0.25">
      <c r="B904" s="11"/>
    </row>
    <row r="905" spans="2:2" ht="15.75" customHeight="1" x14ac:dyDescent="0.25">
      <c r="B905" s="11"/>
    </row>
    <row r="906" spans="2:2" ht="15.75" customHeight="1" x14ac:dyDescent="0.25">
      <c r="B906" s="11"/>
    </row>
    <row r="907" spans="2:2" ht="15.75" customHeight="1" x14ac:dyDescent="0.25">
      <c r="B907" s="11"/>
    </row>
    <row r="908" spans="2:2" ht="15.75" customHeight="1" x14ac:dyDescent="0.25">
      <c r="B908" s="11"/>
    </row>
    <row r="909" spans="2:2" ht="15.75" customHeight="1" x14ac:dyDescent="0.25">
      <c r="B909" s="11"/>
    </row>
    <row r="910" spans="2:2" ht="15.75" customHeight="1" x14ac:dyDescent="0.25">
      <c r="B910" s="11"/>
    </row>
    <row r="911" spans="2:2" ht="15.75" customHeight="1" x14ac:dyDescent="0.25">
      <c r="B911" s="11"/>
    </row>
    <row r="912" spans="2:2" ht="15.75" customHeight="1" x14ac:dyDescent="0.25">
      <c r="B912" s="11"/>
    </row>
    <row r="913" spans="2:2" ht="15.75" customHeight="1" x14ac:dyDescent="0.25">
      <c r="B913" s="11"/>
    </row>
    <row r="914" spans="2:2" ht="15.75" customHeight="1" x14ac:dyDescent="0.25">
      <c r="B914" s="11"/>
    </row>
    <row r="915" spans="2:2" ht="15.75" customHeight="1" x14ac:dyDescent="0.25">
      <c r="B915" s="11"/>
    </row>
    <row r="916" spans="2:2" ht="15.75" customHeight="1" x14ac:dyDescent="0.25">
      <c r="B916" s="11"/>
    </row>
    <row r="917" spans="2:2" ht="15.75" customHeight="1" x14ac:dyDescent="0.25">
      <c r="B917" s="11"/>
    </row>
    <row r="918" spans="2:2" ht="15.75" customHeight="1" x14ac:dyDescent="0.25">
      <c r="B918" s="11"/>
    </row>
    <row r="919" spans="2:2" ht="15.75" customHeight="1" x14ac:dyDescent="0.25">
      <c r="B919" s="11"/>
    </row>
    <row r="920" spans="2:2" ht="15.75" customHeight="1" x14ac:dyDescent="0.25">
      <c r="B920" s="11"/>
    </row>
    <row r="921" spans="2:2" ht="15.75" customHeight="1" x14ac:dyDescent="0.25">
      <c r="B921" s="11"/>
    </row>
    <row r="922" spans="2:2" ht="15.75" customHeight="1" x14ac:dyDescent="0.25">
      <c r="B922" s="11"/>
    </row>
    <row r="923" spans="2:2" ht="15.75" customHeight="1" x14ac:dyDescent="0.25">
      <c r="B923" s="11"/>
    </row>
    <row r="924" spans="2:2" ht="15.75" customHeight="1" x14ac:dyDescent="0.25">
      <c r="B924" s="11"/>
    </row>
    <row r="925" spans="2:2" ht="15.75" customHeight="1" x14ac:dyDescent="0.25">
      <c r="B925" s="11"/>
    </row>
    <row r="926" spans="2:2" ht="15.75" customHeight="1" x14ac:dyDescent="0.25">
      <c r="B926" s="11"/>
    </row>
    <row r="927" spans="2:2" ht="15.75" customHeight="1" x14ac:dyDescent="0.25">
      <c r="B927" s="11"/>
    </row>
    <row r="928" spans="2:2" ht="15.75" customHeight="1" x14ac:dyDescent="0.25">
      <c r="B928" s="11"/>
    </row>
    <row r="929" spans="2:2" ht="15.75" customHeight="1" x14ac:dyDescent="0.25">
      <c r="B929" s="11"/>
    </row>
    <row r="930" spans="2:2" ht="15.75" customHeight="1" x14ac:dyDescent="0.25">
      <c r="B930" s="11"/>
    </row>
    <row r="931" spans="2:2" ht="15.75" customHeight="1" x14ac:dyDescent="0.25">
      <c r="B931" s="11"/>
    </row>
    <row r="932" spans="2:2" ht="15.75" customHeight="1" x14ac:dyDescent="0.25">
      <c r="B932" s="11"/>
    </row>
    <row r="933" spans="2:2" ht="15.75" customHeight="1" x14ac:dyDescent="0.25">
      <c r="B933" s="11"/>
    </row>
    <row r="934" spans="2:2" ht="15.75" customHeight="1" x14ac:dyDescent="0.25">
      <c r="B934" s="11"/>
    </row>
    <row r="935" spans="2:2" ht="15.75" customHeight="1" x14ac:dyDescent="0.25">
      <c r="B935" s="11"/>
    </row>
    <row r="936" spans="2:2" ht="15.75" customHeight="1" x14ac:dyDescent="0.25">
      <c r="B936" s="11"/>
    </row>
    <row r="937" spans="2:2" ht="15.75" customHeight="1" x14ac:dyDescent="0.25">
      <c r="B937" s="11"/>
    </row>
    <row r="938" spans="2:2" ht="15.75" customHeight="1" x14ac:dyDescent="0.25">
      <c r="B938" s="11"/>
    </row>
    <row r="939" spans="2:2" ht="15.75" customHeight="1" x14ac:dyDescent="0.25">
      <c r="B939" s="11"/>
    </row>
    <row r="940" spans="2:2" ht="15.75" customHeight="1" x14ac:dyDescent="0.25">
      <c r="B940" s="11"/>
    </row>
    <row r="941" spans="2:2" ht="15.75" customHeight="1" x14ac:dyDescent="0.25">
      <c r="B941" s="11"/>
    </row>
    <row r="942" spans="2:2" ht="15.75" customHeight="1" x14ac:dyDescent="0.25">
      <c r="B942" s="11"/>
    </row>
    <row r="943" spans="2:2" ht="15.75" customHeight="1" x14ac:dyDescent="0.25">
      <c r="B943" s="11"/>
    </row>
    <row r="944" spans="2:2" ht="15.75" customHeight="1" x14ac:dyDescent="0.25">
      <c r="B944" s="11"/>
    </row>
    <row r="945" spans="2:2" ht="15.75" customHeight="1" x14ac:dyDescent="0.25">
      <c r="B945" s="11"/>
    </row>
    <row r="946" spans="2:2" ht="15.75" customHeight="1" x14ac:dyDescent="0.25">
      <c r="B946" s="11"/>
    </row>
    <row r="947" spans="2:2" ht="15.75" customHeight="1" x14ac:dyDescent="0.25">
      <c r="B947" s="11"/>
    </row>
    <row r="948" spans="2:2" ht="15.75" customHeight="1" x14ac:dyDescent="0.25">
      <c r="B948" s="11"/>
    </row>
    <row r="949" spans="2:2" ht="15.75" customHeight="1" x14ac:dyDescent="0.25">
      <c r="B949" s="11"/>
    </row>
    <row r="950" spans="2:2" ht="15.75" customHeight="1" x14ac:dyDescent="0.25">
      <c r="B950" s="11"/>
    </row>
    <row r="951" spans="2:2" ht="15.75" customHeight="1" x14ac:dyDescent="0.25">
      <c r="B951" s="11"/>
    </row>
    <row r="952" spans="2:2" ht="15.75" customHeight="1" x14ac:dyDescent="0.25">
      <c r="B952" s="11"/>
    </row>
    <row r="953" spans="2:2" ht="15.75" customHeight="1" x14ac:dyDescent="0.25">
      <c r="B953" s="11"/>
    </row>
    <row r="954" spans="2:2" ht="15.75" customHeight="1" x14ac:dyDescent="0.25">
      <c r="B954" s="11"/>
    </row>
    <row r="955" spans="2:2" ht="15.75" customHeight="1" x14ac:dyDescent="0.25">
      <c r="B955" s="11"/>
    </row>
    <row r="956" spans="2:2" ht="15.75" customHeight="1" x14ac:dyDescent="0.25">
      <c r="B956" s="11"/>
    </row>
    <row r="957" spans="2:2" ht="15.75" customHeight="1" x14ac:dyDescent="0.25">
      <c r="B957" s="11"/>
    </row>
    <row r="958" spans="2:2" ht="15.75" customHeight="1" x14ac:dyDescent="0.25">
      <c r="B958" s="11"/>
    </row>
    <row r="959" spans="2:2" ht="15.75" customHeight="1" x14ac:dyDescent="0.25">
      <c r="B959" s="11"/>
    </row>
    <row r="960" spans="2:2" ht="15.75" customHeight="1" x14ac:dyDescent="0.25">
      <c r="B960" s="11"/>
    </row>
    <row r="961" spans="2:2" ht="15.75" customHeight="1" x14ac:dyDescent="0.25">
      <c r="B961" s="11"/>
    </row>
    <row r="962" spans="2:2" ht="15.75" customHeight="1" x14ac:dyDescent="0.25">
      <c r="B962" s="11"/>
    </row>
    <row r="963" spans="2:2" ht="15.75" customHeight="1" x14ac:dyDescent="0.25">
      <c r="B963" s="11"/>
    </row>
    <row r="964" spans="2:2" ht="15.75" customHeight="1" x14ac:dyDescent="0.25">
      <c r="B964" s="11"/>
    </row>
    <row r="965" spans="2:2" ht="15.75" customHeight="1" x14ac:dyDescent="0.25">
      <c r="B965" s="11"/>
    </row>
    <row r="966" spans="2:2" ht="15.75" customHeight="1" x14ac:dyDescent="0.25">
      <c r="B966" s="11"/>
    </row>
    <row r="967" spans="2:2" ht="15.75" customHeight="1" x14ac:dyDescent="0.25">
      <c r="B967" s="11"/>
    </row>
    <row r="968" spans="2:2" ht="15.75" customHeight="1" x14ac:dyDescent="0.25">
      <c r="B968" s="11"/>
    </row>
    <row r="969" spans="2:2" ht="15.75" customHeight="1" x14ac:dyDescent="0.25">
      <c r="B969" s="11"/>
    </row>
    <row r="970" spans="2:2" ht="15.75" customHeight="1" x14ac:dyDescent="0.25">
      <c r="B970" s="11"/>
    </row>
    <row r="971" spans="2:2" ht="15.75" customHeight="1" x14ac:dyDescent="0.25">
      <c r="B971" s="11"/>
    </row>
    <row r="972" spans="2:2" ht="15.75" customHeight="1" x14ac:dyDescent="0.25">
      <c r="B972" s="11"/>
    </row>
    <row r="973" spans="2:2" ht="15.75" customHeight="1" x14ac:dyDescent="0.25">
      <c r="B973" s="11"/>
    </row>
    <row r="974" spans="2:2" ht="15.75" customHeight="1" x14ac:dyDescent="0.25">
      <c r="B974" s="11"/>
    </row>
    <row r="975" spans="2:2" ht="15.75" customHeight="1" x14ac:dyDescent="0.25">
      <c r="B975" s="11"/>
    </row>
    <row r="976" spans="2:2" ht="15.75" customHeight="1" x14ac:dyDescent="0.25">
      <c r="B976" s="11"/>
    </row>
    <row r="977" spans="2:2" ht="15.75" customHeight="1" x14ac:dyDescent="0.25">
      <c r="B977" s="11"/>
    </row>
    <row r="978" spans="2:2" ht="15.75" customHeight="1" x14ac:dyDescent="0.25">
      <c r="B978" s="11"/>
    </row>
    <row r="979" spans="2:2" ht="15.75" customHeight="1" x14ac:dyDescent="0.25">
      <c r="B979" s="11"/>
    </row>
    <row r="980" spans="2:2" ht="15.75" customHeight="1" x14ac:dyDescent="0.25">
      <c r="B980" s="11"/>
    </row>
    <row r="981" spans="2:2" ht="15.75" customHeight="1" x14ac:dyDescent="0.25">
      <c r="B981" s="11"/>
    </row>
    <row r="982" spans="2:2" ht="15.75" customHeight="1" x14ac:dyDescent="0.25">
      <c r="B982" s="11"/>
    </row>
    <row r="983" spans="2:2" ht="15.75" customHeight="1" x14ac:dyDescent="0.25">
      <c r="B983" s="11"/>
    </row>
    <row r="984" spans="2:2" ht="15.75" customHeight="1" x14ac:dyDescent="0.25">
      <c r="B984" s="11"/>
    </row>
    <row r="985" spans="2:2" ht="15.75" customHeight="1" x14ac:dyDescent="0.25">
      <c r="B985" s="11"/>
    </row>
    <row r="986" spans="2:2" ht="15.75" customHeight="1" x14ac:dyDescent="0.25">
      <c r="B986" s="11"/>
    </row>
    <row r="987" spans="2:2" ht="15.75" customHeight="1" x14ac:dyDescent="0.25">
      <c r="B987" s="11"/>
    </row>
    <row r="988" spans="2:2" ht="15.75" customHeight="1" x14ac:dyDescent="0.25">
      <c r="B988" s="11"/>
    </row>
    <row r="989" spans="2:2" ht="15.75" customHeight="1" x14ac:dyDescent="0.25">
      <c r="B989" s="11"/>
    </row>
    <row r="990" spans="2:2" ht="15.75" customHeight="1" x14ac:dyDescent="0.25">
      <c r="B990" s="11"/>
    </row>
    <row r="991" spans="2:2" ht="15.75" customHeight="1" x14ac:dyDescent="0.25">
      <c r="B991" s="11"/>
    </row>
    <row r="992" spans="2:2" ht="15.75" customHeight="1" x14ac:dyDescent="0.25">
      <c r="B992" s="11"/>
    </row>
    <row r="993" spans="2:2" ht="15.75" customHeight="1" x14ac:dyDescent="0.25">
      <c r="B993" s="11"/>
    </row>
    <row r="994" spans="2:2" ht="15.75" customHeight="1" x14ac:dyDescent="0.25">
      <c r="B994" s="11"/>
    </row>
    <row r="995" spans="2:2" ht="15.75" customHeight="1" x14ac:dyDescent="0.25">
      <c r="B995" s="11"/>
    </row>
    <row r="996" spans="2:2" ht="15.75" customHeight="1" x14ac:dyDescent="0.25">
      <c r="B996" s="11"/>
    </row>
    <row r="997" spans="2:2" ht="15.75" customHeight="1" x14ac:dyDescent="0.25">
      <c r="B997" s="11"/>
    </row>
    <row r="998" spans="2:2" ht="15.75" customHeight="1" x14ac:dyDescent="0.25">
      <c r="B998" s="11"/>
    </row>
    <row r="999" spans="2:2" ht="15.75" customHeight="1" x14ac:dyDescent="0.25">
      <c r="B999" s="11"/>
    </row>
    <row r="1000" spans="2:2" ht="15.75" customHeight="1" x14ac:dyDescent="0.25">
      <c r="B1000" s="11"/>
    </row>
  </sheetData>
  <mergeCells count="7">
    <mergeCell ref="A28:A32"/>
    <mergeCell ref="A33:J35"/>
    <mergeCell ref="G3:I3"/>
    <mergeCell ref="A4:A8"/>
    <mergeCell ref="A10:A14"/>
    <mergeCell ref="A16:A20"/>
    <mergeCell ref="A22:A26"/>
  </mergeCells>
  <conditionalFormatting sqref="I32">
    <cfRule type="expression" dxfId="0" priority="1">
      <formula>$I32&gt;$J32</formula>
    </cfRule>
  </conditionalFormatting>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66"/>
  </sheetPr>
  <dimension ref="B1:P1000"/>
  <sheetViews>
    <sheetView workbookViewId="0"/>
  </sheetViews>
  <sheetFormatPr defaultColWidth="14.42578125" defaultRowHeight="15" customHeight="1" x14ac:dyDescent="0.25"/>
  <cols>
    <col min="1" max="26" width="8.7109375" customWidth="1"/>
  </cols>
  <sheetData>
    <row r="1" spans="2:16" x14ac:dyDescent="0.25">
      <c r="P1" s="8"/>
    </row>
    <row r="2" spans="2:16" x14ac:dyDescent="0.25">
      <c r="B2" s="43"/>
      <c r="C2" s="43"/>
      <c r="D2" s="43"/>
      <c r="E2" s="43"/>
      <c r="F2" s="43"/>
      <c r="G2" s="43"/>
      <c r="H2" s="43"/>
      <c r="I2" s="43"/>
      <c r="J2" s="43"/>
      <c r="K2" s="43"/>
      <c r="L2" s="43"/>
      <c r="M2" s="43"/>
      <c r="N2" s="43"/>
      <c r="O2" s="43"/>
      <c r="P2" s="8"/>
    </row>
    <row r="3" spans="2:16" x14ac:dyDescent="0.25">
      <c r="B3" s="43"/>
      <c r="C3" s="43"/>
      <c r="D3" s="43"/>
      <c r="E3" s="225" t="s">
        <v>76</v>
      </c>
      <c r="F3" s="226"/>
      <c r="G3" s="226"/>
      <c r="H3" s="226"/>
      <c r="I3" s="226"/>
      <c r="J3" s="226"/>
      <c r="K3" s="226"/>
      <c r="L3" s="43"/>
      <c r="M3" s="43"/>
      <c r="N3" s="43"/>
      <c r="O3" s="43"/>
      <c r="P3" s="8"/>
    </row>
    <row r="4" spans="2:16" x14ac:dyDescent="0.25">
      <c r="B4" s="43"/>
      <c r="C4" s="43"/>
      <c r="D4" s="43"/>
      <c r="E4" s="227"/>
      <c r="F4" s="209"/>
      <c r="G4" s="209"/>
      <c r="H4" s="209"/>
      <c r="I4" s="209"/>
      <c r="J4" s="209"/>
      <c r="K4" s="209"/>
      <c r="L4" s="43"/>
      <c r="M4" s="43"/>
      <c r="N4" s="43"/>
      <c r="O4" s="43"/>
      <c r="P4" s="8"/>
    </row>
    <row r="5" spans="2:16" ht="15.75" x14ac:dyDescent="0.25">
      <c r="B5" s="43"/>
      <c r="C5" s="43"/>
      <c r="D5" s="43"/>
      <c r="E5" s="228" t="s">
        <v>180</v>
      </c>
      <c r="F5" s="229"/>
      <c r="G5" s="229"/>
      <c r="H5" s="229"/>
      <c r="I5" s="229"/>
      <c r="J5" s="229"/>
      <c r="K5" s="229"/>
      <c r="L5" s="229"/>
      <c r="M5" s="43"/>
      <c r="N5" s="43"/>
      <c r="O5" s="43"/>
      <c r="P5" s="8"/>
    </row>
    <row r="6" spans="2:16" ht="15.75" x14ac:dyDescent="0.25">
      <c r="B6" s="43"/>
      <c r="C6" s="43"/>
      <c r="D6" s="43"/>
      <c r="E6" s="228" t="s">
        <v>77</v>
      </c>
      <c r="F6" s="229"/>
      <c r="G6" s="229"/>
      <c r="H6" s="229"/>
      <c r="I6" s="229"/>
      <c r="J6" s="229"/>
      <c r="K6" s="229"/>
      <c r="L6" s="229"/>
      <c r="M6" s="43"/>
      <c r="N6" s="43"/>
      <c r="O6" s="43"/>
      <c r="P6" s="8"/>
    </row>
    <row r="7" spans="2:16" x14ac:dyDescent="0.25">
      <c r="B7" s="43"/>
      <c r="C7" s="43"/>
      <c r="D7" s="43"/>
      <c r="E7" s="43"/>
      <c r="F7" s="43"/>
      <c r="G7" s="43"/>
      <c r="H7" s="43"/>
      <c r="I7" s="43"/>
      <c r="J7" s="43"/>
      <c r="K7" s="43"/>
      <c r="L7" s="43"/>
      <c r="M7" s="43"/>
      <c r="N7" s="43"/>
      <c r="O7" s="43"/>
      <c r="P7" s="8"/>
    </row>
    <row r="8" spans="2:16" x14ac:dyDescent="0.25">
      <c r="B8" s="43"/>
      <c r="C8" s="43"/>
      <c r="D8" s="43"/>
      <c r="E8" s="43"/>
      <c r="F8" s="43"/>
      <c r="G8" s="43"/>
      <c r="H8" s="43"/>
      <c r="I8" s="43"/>
      <c r="J8" s="43"/>
      <c r="K8" s="43"/>
      <c r="L8" s="43"/>
      <c r="M8" s="43"/>
      <c r="N8" s="43"/>
      <c r="O8" s="43"/>
      <c r="P8" s="8"/>
    </row>
    <row r="9" spans="2:16" x14ac:dyDescent="0.25">
      <c r="B9" s="230" t="s">
        <v>181</v>
      </c>
      <c r="C9" s="231"/>
      <c r="D9" s="231"/>
      <c r="E9" s="231"/>
      <c r="F9" s="231"/>
      <c r="G9" s="231"/>
      <c r="H9" s="231"/>
      <c r="I9" s="231"/>
      <c r="J9" s="231"/>
      <c r="K9" s="231"/>
      <c r="L9" s="231"/>
      <c r="M9" s="231"/>
      <c r="N9" s="231"/>
      <c r="O9" s="232"/>
      <c r="P9" s="8"/>
    </row>
    <row r="10" spans="2:16" x14ac:dyDescent="0.25">
      <c r="B10" s="233"/>
      <c r="C10" s="209"/>
      <c r="D10" s="209"/>
      <c r="E10" s="209"/>
      <c r="F10" s="209"/>
      <c r="G10" s="209"/>
      <c r="H10" s="209"/>
      <c r="I10" s="209"/>
      <c r="J10" s="209"/>
      <c r="K10" s="209"/>
      <c r="L10" s="209"/>
      <c r="M10" s="209"/>
      <c r="N10" s="209"/>
      <c r="O10" s="234"/>
    </row>
    <row r="11" spans="2:16" x14ac:dyDescent="0.25">
      <c r="B11" s="233"/>
      <c r="C11" s="209"/>
      <c r="D11" s="209"/>
      <c r="E11" s="209"/>
      <c r="F11" s="209"/>
      <c r="G11" s="209"/>
      <c r="H11" s="209"/>
      <c r="I11" s="209"/>
      <c r="J11" s="209"/>
      <c r="K11" s="209"/>
      <c r="L11" s="209"/>
      <c r="M11" s="209"/>
      <c r="N11" s="209"/>
      <c r="O11" s="234"/>
    </row>
    <row r="12" spans="2:16" x14ac:dyDescent="0.25">
      <c r="B12" s="233"/>
      <c r="C12" s="209"/>
      <c r="D12" s="209"/>
      <c r="E12" s="209"/>
      <c r="F12" s="209"/>
      <c r="G12" s="209"/>
      <c r="H12" s="209"/>
      <c r="I12" s="209"/>
      <c r="J12" s="209"/>
      <c r="K12" s="209"/>
      <c r="L12" s="209"/>
      <c r="M12" s="209"/>
      <c r="N12" s="209"/>
      <c r="O12" s="234"/>
    </row>
    <row r="13" spans="2:16" x14ac:dyDescent="0.25">
      <c r="B13" s="233"/>
      <c r="C13" s="209"/>
      <c r="D13" s="209"/>
      <c r="E13" s="209"/>
      <c r="F13" s="209"/>
      <c r="G13" s="209"/>
      <c r="H13" s="209"/>
      <c r="I13" s="209"/>
      <c r="J13" s="209"/>
      <c r="K13" s="209"/>
      <c r="L13" s="209"/>
      <c r="M13" s="209"/>
      <c r="N13" s="209"/>
      <c r="O13" s="234"/>
    </row>
    <row r="14" spans="2:16" x14ac:dyDescent="0.25">
      <c r="B14" s="233"/>
      <c r="C14" s="209"/>
      <c r="D14" s="209"/>
      <c r="E14" s="209"/>
      <c r="F14" s="209"/>
      <c r="G14" s="209"/>
      <c r="H14" s="209"/>
      <c r="I14" s="209"/>
      <c r="J14" s="209"/>
      <c r="K14" s="209"/>
      <c r="L14" s="209"/>
      <c r="M14" s="209"/>
      <c r="N14" s="209"/>
      <c r="O14" s="234"/>
    </row>
    <row r="15" spans="2:16" x14ac:dyDescent="0.25">
      <c r="B15" s="233"/>
      <c r="C15" s="209"/>
      <c r="D15" s="209"/>
      <c r="E15" s="209"/>
      <c r="F15" s="209"/>
      <c r="G15" s="209"/>
      <c r="H15" s="209"/>
      <c r="I15" s="209"/>
      <c r="J15" s="209"/>
      <c r="K15" s="209"/>
      <c r="L15" s="209"/>
      <c r="M15" s="209"/>
      <c r="N15" s="209"/>
      <c r="O15" s="234"/>
    </row>
    <row r="16" spans="2:16" x14ac:dyDescent="0.25">
      <c r="B16" s="233"/>
      <c r="C16" s="209"/>
      <c r="D16" s="209"/>
      <c r="E16" s="209"/>
      <c r="F16" s="209"/>
      <c r="G16" s="209"/>
      <c r="H16" s="209"/>
      <c r="I16" s="209"/>
      <c r="J16" s="209"/>
      <c r="K16" s="209"/>
      <c r="L16" s="209"/>
      <c r="M16" s="209"/>
      <c r="N16" s="209"/>
      <c r="O16" s="234"/>
    </row>
    <row r="17" spans="2:15" x14ac:dyDescent="0.25">
      <c r="B17" s="233"/>
      <c r="C17" s="209"/>
      <c r="D17" s="209"/>
      <c r="E17" s="209"/>
      <c r="F17" s="209"/>
      <c r="G17" s="209"/>
      <c r="H17" s="209"/>
      <c r="I17" s="209"/>
      <c r="J17" s="209"/>
      <c r="K17" s="209"/>
      <c r="L17" s="209"/>
      <c r="M17" s="209"/>
      <c r="N17" s="209"/>
      <c r="O17" s="234"/>
    </row>
    <row r="18" spans="2:15" x14ac:dyDescent="0.25">
      <c r="B18" s="233"/>
      <c r="C18" s="209"/>
      <c r="D18" s="209"/>
      <c r="E18" s="209"/>
      <c r="F18" s="209"/>
      <c r="G18" s="209"/>
      <c r="H18" s="209"/>
      <c r="I18" s="209"/>
      <c r="J18" s="209"/>
      <c r="K18" s="209"/>
      <c r="L18" s="209"/>
      <c r="M18" s="209"/>
      <c r="N18" s="209"/>
      <c r="O18" s="234"/>
    </row>
    <row r="19" spans="2:15" x14ac:dyDescent="0.25">
      <c r="B19" s="233"/>
      <c r="C19" s="209"/>
      <c r="D19" s="209"/>
      <c r="E19" s="209"/>
      <c r="F19" s="209"/>
      <c r="G19" s="209"/>
      <c r="H19" s="209"/>
      <c r="I19" s="209"/>
      <c r="J19" s="209"/>
      <c r="K19" s="209"/>
      <c r="L19" s="209"/>
      <c r="M19" s="209"/>
      <c r="N19" s="209"/>
      <c r="O19" s="234"/>
    </row>
    <row r="20" spans="2:15" x14ac:dyDescent="0.25">
      <c r="B20" s="233"/>
      <c r="C20" s="209"/>
      <c r="D20" s="209"/>
      <c r="E20" s="209"/>
      <c r="F20" s="209"/>
      <c r="G20" s="209"/>
      <c r="H20" s="209"/>
      <c r="I20" s="209"/>
      <c r="J20" s="209"/>
      <c r="K20" s="209"/>
      <c r="L20" s="209"/>
      <c r="M20" s="209"/>
      <c r="N20" s="209"/>
      <c r="O20" s="234"/>
    </row>
    <row r="21" spans="2:15" ht="15.75" customHeight="1" x14ac:dyDescent="0.25">
      <c r="B21" s="233"/>
      <c r="C21" s="209"/>
      <c r="D21" s="209"/>
      <c r="E21" s="209"/>
      <c r="F21" s="209"/>
      <c r="G21" s="209"/>
      <c r="H21" s="209"/>
      <c r="I21" s="209"/>
      <c r="J21" s="209"/>
      <c r="K21" s="209"/>
      <c r="L21" s="209"/>
      <c r="M21" s="209"/>
      <c r="N21" s="209"/>
      <c r="O21" s="234"/>
    </row>
    <row r="22" spans="2:15" ht="15.75" customHeight="1" x14ac:dyDescent="0.25">
      <c r="B22" s="233"/>
      <c r="C22" s="209"/>
      <c r="D22" s="209"/>
      <c r="E22" s="209"/>
      <c r="F22" s="209"/>
      <c r="G22" s="209"/>
      <c r="H22" s="209"/>
      <c r="I22" s="209"/>
      <c r="J22" s="209"/>
      <c r="K22" s="209"/>
      <c r="L22" s="209"/>
      <c r="M22" s="209"/>
      <c r="N22" s="209"/>
      <c r="O22" s="234"/>
    </row>
    <row r="23" spans="2:15" ht="15.75" customHeight="1" x14ac:dyDescent="0.25">
      <c r="B23" s="233"/>
      <c r="C23" s="209"/>
      <c r="D23" s="209"/>
      <c r="E23" s="209"/>
      <c r="F23" s="209"/>
      <c r="G23" s="209"/>
      <c r="H23" s="209"/>
      <c r="I23" s="209"/>
      <c r="J23" s="209"/>
      <c r="K23" s="209"/>
      <c r="L23" s="209"/>
      <c r="M23" s="209"/>
      <c r="N23" s="209"/>
      <c r="O23" s="234"/>
    </row>
    <row r="24" spans="2:15" ht="15.75" customHeight="1" x14ac:dyDescent="0.25">
      <c r="B24" s="233"/>
      <c r="C24" s="209"/>
      <c r="D24" s="209"/>
      <c r="E24" s="209"/>
      <c r="F24" s="209"/>
      <c r="G24" s="209"/>
      <c r="H24" s="209"/>
      <c r="I24" s="209"/>
      <c r="J24" s="209"/>
      <c r="K24" s="209"/>
      <c r="L24" s="209"/>
      <c r="M24" s="209"/>
      <c r="N24" s="209"/>
      <c r="O24" s="234"/>
    </row>
    <row r="25" spans="2:15" ht="15.75" customHeight="1" x14ac:dyDescent="0.25">
      <c r="B25" s="233"/>
      <c r="C25" s="209"/>
      <c r="D25" s="209"/>
      <c r="E25" s="209"/>
      <c r="F25" s="209"/>
      <c r="G25" s="209"/>
      <c r="H25" s="209"/>
      <c r="I25" s="209"/>
      <c r="J25" s="209"/>
      <c r="K25" s="209"/>
      <c r="L25" s="209"/>
      <c r="M25" s="209"/>
      <c r="N25" s="209"/>
      <c r="O25" s="234"/>
    </row>
    <row r="26" spans="2:15" ht="15.75" customHeight="1" x14ac:dyDescent="0.25">
      <c r="B26" s="233"/>
      <c r="C26" s="209"/>
      <c r="D26" s="209"/>
      <c r="E26" s="209"/>
      <c r="F26" s="209"/>
      <c r="G26" s="209"/>
      <c r="H26" s="209"/>
      <c r="I26" s="209"/>
      <c r="J26" s="209"/>
      <c r="K26" s="209"/>
      <c r="L26" s="209"/>
      <c r="M26" s="209"/>
      <c r="N26" s="209"/>
      <c r="O26" s="234"/>
    </row>
    <row r="27" spans="2:15" ht="15.75" customHeight="1" x14ac:dyDescent="0.25">
      <c r="B27" s="233"/>
      <c r="C27" s="209"/>
      <c r="D27" s="209"/>
      <c r="E27" s="209"/>
      <c r="F27" s="209"/>
      <c r="G27" s="209"/>
      <c r="H27" s="209"/>
      <c r="I27" s="209"/>
      <c r="J27" s="209"/>
      <c r="K27" s="209"/>
      <c r="L27" s="209"/>
      <c r="M27" s="209"/>
      <c r="N27" s="209"/>
      <c r="O27" s="234"/>
    </row>
    <row r="28" spans="2:15" ht="15.75" customHeight="1" x14ac:dyDescent="0.25">
      <c r="B28" s="233"/>
      <c r="C28" s="209"/>
      <c r="D28" s="209"/>
      <c r="E28" s="209"/>
      <c r="F28" s="209"/>
      <c r="G28" s="209"/>
      <c r="H28" s="209"/>
      <c r="I28" s="209"/>
      <c r="J28" s="209"/>
      <c r="K28" s="209"/>
      <c r="L28" s="209"/>
      <c r="M28" s="209"/>
      <c r="N28" s="209"/>
      <c r="O28" s="234"/>
    </row>
    <row r="29" spans="2:15" ht="15.75" customHeight="1" x14ac:dyDescent="0.25">
      <c r="B29" s="233"/>
      <c r="C29" s="209"/>
      <c r="D29" s="209"/>
      <c r="E29" s="209"/>
      <c r="F29" s="209"/>
      <c r="G29" s="209"/>
      <c r="H29" s="209"/>
      <c r="I29" s="209"/>
      <c r="J29" s="209"/>
      <c r="K29" s="209"/>
      <c r="L29" s="209"/>
      <c r="M29" s="209"/>
      <c r="N29" s="209"/>
      <c r="O29" s="234"/>
    </row>
    <row r="30" spans="2:15" ht="15.75" customHeight="1" x14ac:dyDescent="0.25">
      <c r="B30" s="233"/>
      <c r="C30" s="209"/>
      <c r="D30" s="209"/>
      <c r="E30" s="209"/>
      <c r="F30" s="209"/>
      <c r="G30" s="209"/>
      <c r="H30" s="209"/>
      <c r="I30" s="209"/>
      <c r="J30" s="209"/>
      <c r="K30" s="209"/>
      <c r="L30" s="209"/>
      <c r="M30" s="209"/>
      <c r="N30" s="209"/>
      <c r="O30" s="234"/>
    </row>
    <row r="31" spans="2:15" ht="15.75" customHeight="1" x14ac:dyDescent="0.25">
      <c r="B31" s="233"/>
      <c r="C31" s="209"/>
      <c r="D31" s="209"/>
      <c r="E31" s="209"/>
      <c r="F31" s="209"/>
      <c r="G31" s="209"/>
      <c r="H31" s="209"/>
      <c r="I31" s="209"/>
      <c r="J31" s="209"/>
      <c r="K31" s="209"/>
      <c r="L31" s="209"/>
      <c r="M31" s="209"/>
      <c r="N31" s="209"/>
      <c r="O31" s="234"/>
    </row>
    <row r="32" spans="2:15" ht="15.75" customHeight="1" x14ac:dyDescent="0.25">
      <c r="B32" s="233"/>
      <c r="C32" s="209"/>
      <c r="D32" s="209"/>
      <c r="E32" s="209"/>
      <c r="F32" s="209"/>
      <c r="G32" s="209"/>
      <c r="H32" s="209"/>
      <c r="I32" s="209"/>
      <c r="J32" s="209"/>
      <c r="K32" s="209"/>
      <c r="L32" s="209"/>
      <c r="M32" s="209"/>
      <c r="N32" s="209"/>
      <c r="O32" s="234"/>
    </row>
    <row r="33" spans="2:15" ht="15.75" customHeight="1" x14ac:dyDescent="0.25">
      <c r="B33" s="233"/>
      <c r="C33" s="209"/>
      <c r="D33" s="209"/>
      <c r="E33" s="209"/>
      <c r="F33" s="209"/>
      <c r="G33" s="209"/>
      <c r="H33" s="209"/>
      <c r="I33" s="209"/>
      <c r="J33" s="209"/>
      <c r="K33" s="209"/>
      <c r="L33" s="209"/>
      <c r="M33" s="209"/>
      <c r="N33" s="209"/>
      <c r="O33" s="234"/>
    </row>
    <row r="34" spans="2:15" ht="15.75" customHeight="1" x14ac:dyDescent="0.25">
      <c r="B34" s="233"/>
      <c r="C34" s="209"/>
      <c r="D34" s="209"/>
      <c r="E34" s="209"/>
      <c r="F34" s="209"/>
      <c r="G34" s="209"/>
      <c r="H34" s="209"/>
      <c r="I34" s="209"/>
      <c r="J34" s="209"/>
      <c r="K34" s="209"/>
      <c r="L34" s="209"/>
      <c r="M34" s="209"/>
      <c r="N34" s="209"/>
      <c r="O34" s="234"/>
    </row>
    <row r="35" spans="2:15" ht="15.75" customHeight="1" x14ac:dyDescent="0.25">
      <c r="B35" s="233"/>
      <c r="C35" s="209"/>
      <c r="D35" s="209"/>
      <c r="E35" s="209"/>
      <c r="F35" s="209"/>
      <c r="G35" s="209"/>
      <c r="H35" s="209"/>
      <c r="I35" s="209"/>
      <c r="J35" s="209"/>
      <c r="K35" s="209"/>
      <c r="L35" s="209"/>
      <c r="M35" s="209"/>
      <c r="N35" s="209"/>
      <c r="O35" s="234"/>
    </row>
    <row r="36" spans="2:15" ht="15.75" customHeight="1" x14ac:dyDescent="0.25">
      <c r="B36" s="233"/>
      <c r="C36" s="209"/>
      <c r="D36" s="209"/>
      <c r="E36" s="209"/>
      <c r="F36" s="209"/>
      <c r="G36" s="209"/>
      <c r="H36" s="209"/>
      <c r="I36" s="209"/>
      <c r="J36" s="209"/>
      <c r="K36" s="209"/>
      <c r="L36" s="209"/>
      <c r="M36" s="209"/>
      <c r="N36" s="209"/>
      <c r="O36" s="234"/>
    </row>
    <row r="37" spans="2:15" ht="15.75" customHeight="1" x14ac:dyDescent="0.25">
      <c r="B37" s="233"/>
      <c r="C37" s="209"/>
      <c r="D37" s="209"/>
      <c r="E37" s="209"/>
      <c r="F37" s="209"/>
      <c r="G37" s="209"/>
      <c r="H37" s="209"/>
      <c r="I37" s="209"/>
      <c r="J37" s="209"/>
      <c r="K37" s="209"/>
      <c r="L37" s="209"/>
      <c r="M37" s="209"/>
      <c r="N37" s="209"/>
      <c r="O37" s="234"/>
    </row>
    <row r="38" spans="2:15" ht="15.75" customHeight="1" x14ac:dyDescent="0.25">
      <c r="B38" s="233"/>
      <c r="C38" s="209"/>
      <c r="D38" s="209"/>
      <c r="E38" s="209"/>
      <c r="F38" s="209"/>
      <c r="G38" s="209"/>
      <c r="H38" s="209"/>
      <c r="I38" s="209"/>
      <c r="J38" s="209"/>
      <c r="K38" s="209"/>
      <c r="L38" s="209"/>
      <c r="M38" s="209"/>
      <c r="N38" s="209"/>
      <c r="O38" s="234"/>
    </row>
    <row r="39" spans="2:15" ht="15.75" customHeight="1" x14ac:dyDescent="0.25">
      <c r="B39" s="233"/>
      <c r="C39" s="209"/>
      <c r="D39" s="209"/>
      <c r="E39" s="209"/>
      <c r="F39" s="209"/>
      <c r="G39" s="209"/>
      <c r="H39" s="209"/>
      <c r="I39" s="209"/>
      <c r="J39" s="209"/>
      <c r="K39" s="209"/>
      <c r="L39" s="209"/>
      <c r="M39" s="209"/>
      <c r="N39" s="209"/>
      <c r="O39" s="234"/>
    </row>
    <row r="40" spans="2:15" ht="15.75" customHeight="1" x14ac:dyDescent="0.25">
      <c r="B40" s="233"/>
      <c r="C40" s="209"/>
      <c r="D40" s="209"/>
      <c r="E40" s="209"/>
      <c r="F40" s="209"/>
      <c r="G40" s="209"/>
      <c r="H40" s="209"/>
      <c r="I40" s="209"/>
      <c r="J40" s="209"/>
      <c r="K40" s="209"/>
      <c r="L40" s="209"/>
      <c r="M40" s="209"/>
      <c r="N40" s="209"/>
      <c r="O40" s="234"/>
    </row>
    <row r="41" spans="2:15" ht="15.75" customHeight="1" x14ac:dyDescent="0.25">
      <c r="B41" s="233"/>
      <c r="C41" s="209"/>
      <c r="D41" s="209"/>
      <c r="E41" s="209"/>
      <c r="F41" s="209"/>
      <c r="G41" s="209"/>
      <c r="H41" s="209"/>
      <c r="I41" s="209"/>
      <c r="J41" s="209"/>
      <c r="K41" s="209"/>
      <c r="L41" s="209"/>
      <c r="M41" s="209"/>
      <c r="N41" s="209"/>
      <c r="O41" s="234"/>
    </row>
    <row r="42" spans="2:15" ht="15.75" customHeight="1" x14ac:dyDescent="0.25">
      <c r="B42" s="233"/>
      <c r="C42" s="209"/>
      <c r="D42" s="209"/>
      <c r="E42" s="209"/>
      <c r="F42" s="209"/>
      <c r="G42" s="209"/>
      <c r="H42" s="209"/>
      <c r="I42" s="209"/>
      <c r="J42" s="209"/>
      <c r="K42" s="209"/>
      <c r="L42" s="209"/>
      <c r="M42" s="209"/>
      <c r="N42" s="209"/>
      <c r="O42" s="234"/>
    </row>
    <row r="43" spans="2:15" ht="15.75" customHeight="1" x14ac:dyDescent="0.25">
      <c r="B43" s="233"/>
      <c r="C43" s="209"/>
      <c r="D43" s="209"/>
      <c r="E43" s="209"/>
      <c r="F43" s="209"/>
      <c r="G43" s="209"/>
      <c r="H43" s="209"/>
      <c r="I43" s="209"/>
      <c r="J43" s="209"/>
      <c r="K43" s="209"/>
      <c r="L43" s="209"/>
      <c r="M43" s="209"/>
      <c r="N43" s="209"/>
      <c r="O43" s="234"/>
    </row>
    <row r="44" spans="2:15" ht="15.75" customHeight="1" x14ac:dyDescent="0.25">
      <c r="B44" s="233"/>
      <c r="C44" s="209"/>
      <c r="D44" s="209"/>
      <c r="E44" s="209"/>
      <c r="F44" s="209"/>
      <c r="G44" s="209"/>
      <c r="H44" s="209"/>
      <c r="I44" s="209"/>
      <c r="J44" s="209"/>
      <c r="K44" s="209"/>
      <c r="L44" s="209"/>
      <c r="M44" s="209"/>
      <c r="N44" s="209"/>
      <c r="O44" s="234"/>
    </row>
    <row r="45" spans="2:15" ht="15.75" customHeight="1" x14ac:dyDescent="0.25">
      <c r="B45" s="233"/>
      <c r="C45" s="209"/>
      <c r="D45" s="209"/>
      <c r="E45" s="209"/>
      <c r="F45" s="209"/>
      <c r="G45" s="209"/>
      <c r="H45" s="209"/>
      <c r="I45" s="209"/>
      <c r="J45" s="209"/>
      <c r="K45" s="209"/>
      <c r="L45" s="209"/>
      <c r="M45" s="209"/>
      <c r="N45" s="209"/>
      <c r="O45" s="234"/>
    </row>
    <row r="46" spans="2:15" ht="15.75" customHeight="1" x14ac:dyDescent="0.25">
      <c r="B46" s="233"/>
      <c r="C46" s="209"/>
      <c r="D46" s="209"/>
      <c r="E46" s="209"/>
      <c r="F46" s="209"/>
      <c r="G46" s="209"/>
      <c r="H46" s="209"/>
      <c r="I46" s="209"/>
      <c r="J46" s="209"/>
      <c r="K46" s="209"/>
      <c r="L46" s="209"/>
      <c r="M46" s="209"/>
      <c r="N46" s="209"/>
      <c r="O46" s="234"/>
    </row>
    <row r="47" spans="2:15" ht="15.75" customHeight="1" x14ac:dyDescent="0.25">
      <c r="B47" s="233"/>
      <c r="C47" s="209"/>
      <c r="D47" s="209"/>
      <c r="E47" s="209"/>
      <c r="F47" s="209"/>
      <c r="G47" s="209"/>
      <c r="H47" s="209"/>
      <c r="I47" s="209"/>
      <c r="J47" s="209"/>
      <c r="K47" s="209"/>
      <c r="L47" s="209"/>
      <c r="M47" s="209"/>
      <c r="N47" s="209"/>
      <c r="O47" s="234"/>
    </row>
    <row r="48" spans="2:15" ht="15.75" customHeight="1" x14ac:dyDescent="0.25">
      <c r="B48" s="233"/>
      <c r="C48" s="209"/>
      <c r="D48" s="209"/>
      <c r="E48" s="209"/>
      <c r="F48" s="209"/>
      <c r="G48" s="209"/>
      <c r="H48" s="209"/>
      <c r="I48" s="209"/>
      <c r="J48" s="209"/>
      <c r="K48" s="209"/>
      <c r="L48" s="209"/>
      <c r="M48" s="209"/>
      <c r="N48" s="209"/>
      <c r="O48" s="234"/>
    </row>
    <row r="49" spans="2:15" ht="15.75" customHeight="1" x14ac:dyDescent="0.25">
      <c r="B49" s="233"/>
      <c r="C49" s="209"/>
      <c r="D49" s="209"/>
      <c r="E49" s="209"/>
      <c r="F49" s="209"/>
      <c r="G49" s="209"/>
      <c r="H49" s="209"/>
      <c r="I49" s="209"/>
      <c r="J49" s="209"/>
      <c r="K49" s="209"/>
      <c r="L49" s="209"/>
      <c r="M49" s="209"/>
      <c r="N49" s="209"/>
      <c r="O49" s="234"/>
    </row>
    <row r="50" spans="2:15" ht="15.75" customHeight="1" x14ac:dyDescent="0.25">
      <c r="B50" s="233"/>
      <c r="C50" s="209"/>
      <c r="D50" s="209"/>
      <c r="E50" s="209"/>
      <c r="F50" s="209"/>
      <c r="G50" s="209"/>
      <c r="H50" s="209"/>
      <c r="I50" s="209"/>
      <c r="J50" s="209"/>
      <c r="K50" s="209"/>
      <c r="L50" s="209"/>
      <c r="M50" s="209"/>
      <c r="N50" s="209"/>
      <c r="O50" s="234"/>
    </row>
    <row r="51" spans="2:15" ht="15.75" customHeight="1" x14ac:dyDescent="0.25">
      <c r="B51" s="233"/>
      <c r="C51" s="209"/>
      <c r="D51" s="209"/>
      <c r="E51" s="209"/>
      <c r="F51" s="209"/>
      <c r="G51" s="209"/>
      <c r="H51" s="209"/>
      <c r="I51" s="209"/>
      <c r="J51" s="209"/>
      <c r="K51" s="209"/>
      <c r="L51" s="209"/>
      <c r="M51" s="209"/>
      <c r="N51" s="209"/>
      <c r="O51" s="234"/>
    </row>
    <row r="52" spans="2:15" ht="15.75" customHeight="1" x14ac:dyDescent="0.25">
      <c r="B52" s="233"/>
      <c r="C52" s="209"/>
      <c r="D52" s="209"/>
      <c r="E52" s="209"/>
      <c r="F52" s="209"/>
      <c r="G52" s="209"/>
      <c r="H52" s="209"/>
      <c r="I52" s="209"/>
      <c r="J52" s="209"/>
      <c r="K52" s="209"/>
      <c r="L52" s="209"/>
      <c r="M52" s="209"/>
      <c r="N52" s="209"/>
      <c r="O52" s="234"/>
    </row>
    <row r="53" spans="2:15" ht="15.75" customHeight="1" x14ac:dyDescent="0.25">
      <c r="B53" s="233"/>
      <c r="C53" s="209"/>
      <c r="D53" s="209"/>
      <c r="E53" s="209"/>
      <c r="F53" s="209"/>
      <c r="G53" s="209"/>
      <c r="H53" s="209"/>
      <c r="I53" s="209"/>
      <c r="J53" s="209"/>
      <c r="K53" s="209"/>
      <c r="L53" s="209"/>
      <c r="M53" s="209"/>
      <c r="N53" s="209"/>
      <c r="O53" s="234"/>
    </row>
    <row r="54" spans="2:15" ht="15.75" customHeight="1" x14ac:dyDescent="0.25">
      <c r="B54" s="233"/>
      <c r="C54" s="209"/>
      <c r="D54" s="209"/>
      <c r="E54" s="209"/>
      <c r="F54" s="209"/>
      <c r="G54" s="209"/>
      <c r="H54" s="209"/>
      <c r="I54" s="209"/>
      <c r="J54" s="209"/>
      <c r="K54" s="209"/>
      <c r="L54" s="209"/>
      <c r="M54" s="209"/>
      <c r="N54" s="209"/>
      <c r="O54" s="234"/>
    </row>
    <row r="55" spans="2:15" ht="15.75" customHeight="1" x14ac:dyDescent="0.25">
      <c r="B55" s="235"/>
      <c r="C55" s="236"/>
      <c r="D55" s="236"/>
      <c r="E55" s="236"/>
      <c r="F55" s="236"/>
      <c r="G55" s="236"/>
      <c r="H55" s="236"/>
      <c r="I55" s="236"/>
      <c r="J55" s="236"/>
      <c r="K55" s="236"/>
      <c r="L55" s="236"/>
      <c r="M55" s="236"/>
      <c r="N55" s="236"/>
      <c r="O55" s="237"/>
    </row>
    <row r="56" spans="2:15" ht="15.75" customHeight="1" x14ac:dyDescent="0.25"/>
    <row r="57" spans="2:15" ht="15.75" customHeight="1" x14ac:dyDescent="0.25"/>
    <row r="58" spans="2:15" ht="15.75" customHeight="1" x14ac:dyDescent="0.25"/>
    <row r="59" spans="2:15" ht="15.75" customHeight="1" x14ac:dyDescent="0.25"/>
    <row r="60" spans="2:15" ht="15.75" customHeight="1" x14ac:dyDescent="0.25"/>
    <row r="61" spans="2:15" ht="15.75" customHeight="1" x14ac:dyDescent="0.25"/>
    <row r="62" spans="2:15" ht="15.75" customHeight="1" x14ac:dyDescent="0.25"/>
    <row r="63" spans="2:15" ht="15.75" customHeight="1" x14ac:dyDescent="0.25"/>
    <row r="64" spans="2:15"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E3:K4"/>
    <mergeCell ref="E5:L5"/>
    <mergeCell ref="E6:L6"/>
    <mergeCell ref="B9:O55"/>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Teamsters Template</vt:lpstr>
      <vt:lpstr>FJCC Template</vt:lpstr>
      <vt:lpstr>SCA Template</vt:lpstr>
      <vt:lpstr>Exempt Employee Template</vt:lpstr>
      <vt:lpstr>Buildup</vt:lpstr>
      <vt:lpstr>ProTech LCats &amp; Base Rates</vt:lpstr>
      <vt:lpstr>Source 1, SciTech Blended</vt:lpstr>
      <vt:lpstr>Source 2, GSA CALC Blended</vt:lpstr>
      <vt:lpstr>Source 3, OASIS Blended</vt:lpstr>
      <vt:lpstr>Source 4, ProTech Awarded (tbd)</vt:lpstr>
      <vt:lpstr>Rate Development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Terrell</dc:creator>
  <cp:lastModifiedBy>Jame Chang</cp:lastModifiedBy>
  <dcterms:created xsi:type="dcterms:W3CDTF">2006-09-16T00:00:00Z</dcterms:created>
  <dcterms:modified xsi:type="dcterms:W3CDTF">2026-02-18T14:47:29Z</dcterms:modified>
</cp:coreProperties>
</file>