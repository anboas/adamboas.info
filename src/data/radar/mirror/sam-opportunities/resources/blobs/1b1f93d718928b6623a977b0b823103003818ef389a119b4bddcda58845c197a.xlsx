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DISPO_SVS\dladsdata\Data\DispSvcs_P\DispSvcs_PS_Only\PSR Requirements Branch\HW Requirements Team\HW Disposal Contracts\Iwakuni Renewal 2025\04. PR Docs Submitted\"/>
    </mc:Choice>
  </mc:AlternateContent>
  <xr:revisionPtr revIDLastSave="0" documentId="13_ncr:1_{D92FE2A2-3A2C-42A3-92B8-00FD9DFE522B}" xr6:coauthVersionLast="47" xr6:coauthVersionMax="47" xr10:uidLastSave="{00000000-0000-0000-0000-000000000000}"/>
  <bookViews>
    <workbookView xWindow="885" yWindow="960" windowWidth="27105" windowHeight="14595" tabRatio="697" xr2:uid="{4F3D509A-FBD1-4CAD-B85E-C6BE70717200}"/>
  </bookViews>
  <sheets>
    <sheet name="Price Schedule" sheetId="9" r:id="rId1"/>
    <sheet name="CLIN Suffixes Table" sheetId="3" r:id="rId2"/>
    <sheet name="Table of Compressed Gases" sheetId="11" r:id="rId3"/>
  </sheets>
  <definedNames>
    <definedName name="_xlnm._FilterDatabase" localSheetId="0" hidden="1">'Price Schedule'!$D$1:$D$142</definedName>
    <definedName name="_xlnm._FilterDatabase" localSheetId="2" hidden="1">'Table of Compressed Gases'!$A$1:$B$1</definedName>
    <definedName name="_xlnm.Print_Area" localSheetId="1">'CLIN Suffixes Table'!$A$1:$H$18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9" l="1"/>
  <c r="I15" i="9"/>
  <c r="J15" i="9" s="1"/>
  <c r="I97" i="9" l="1"/>
  <c r="J97" i="9" s="1"/>
  <c r="I96" i="9"/>
  <c r="J96" i="9" s="1"/>
  <c r="I77" i="9"/>
  <c r="J77" i="9" s="1"/>
  <c r="I26" i="9" l="1"/>
  <c r="J26" i="9" s="1"/>
  <c r="I25" i="9"/>
  <c r="J25" i="9" s="1"/>
  <c r="I24" i="9"/>
  <c r="J24" i="9" s="1"/>
  <c r="I23" i="9"/>
  <c r="J23" i="9" s="1"/>
  <c r="I22" i="9"/>
  <c r="J22" i="9" s="1"/>
  <c r="I21" i="9"/>
  <c r="J21" i="9" s="1"/>
  <c r="I87" i="9"/>
  <c r="J87" i="9" s="1"/>
  <c r="I86" i="9"/>
  <c r="J86" i="9" s="1"/>
  <c r="I85" i="9"/>
  <c r="J85" i="9" s="1"/>
  <c r="I84" i="9"/>
  <c r="J84" i="9" s="1"/>
  <c r="I83" i="9"/>
  <c r="J83" i="9" s="1"/>
  <c r="I82" i="9"/>
  <c r="J82" i="9" s="1"/>
  <c r="I81" i="9"/>
  <c r="J81" i="9" s="1"/>
  <c r="I89" i="9"/>
  <c r="J89" i="9" s="1"/>
  <c r="I80" i="9"/>
  <c r="J80" i="9" s="1"/>
  <c r="J142" i="9"/>
  <c r="I141" i="9"/>
  <c r="J141" i="9" s="1"/>
  <c r="I140" i="9"/>
  <c r="J140" i="9" s="1"/>
  <c r="I139" i="9"/>
  <c r="J139" i="9" s="1"/>
  <c r="I138" i="9"/>
  <c r="J138" i="9" s="1"/>
  <c r="I137" i="9"/>
  <c r="J137" i="9" s="1"/>
  <c r="I136" i="9"/>
  <c r="J136" i="9" s="1"/>
  <c r="I135" i="9"/>
  <c r="J135" i="9" s="1"/>
  <c r="I133" i="9"/>
  <c r="J133" i="9" s="1"/>
  <c r="I132" i="9"/>
  <c r="J132" i="9" s="1"/>
  <c r="I131" i="9"/>
  <c r="J131" i="9" s="1"/>
  <c r="I130" i="9"/>
  <c r="J130" i="9" s="1"/>
  <c r="I129" i="9"/>
  <c r="J129" i="9" s="1"/>
  <c r="I128" i="9"/>
  <c r="J128" i="9" s="1"/>
  <c r="I127" i="9"/>
  <c r="J127" i="9" s="1"/>
  <c r="I126" i="9"/>
  <c r="J126" i="9" s="1"/>
  <c r="I125" i="9"/>
  <c r="J125" i="9" s="1"/>
  <c r="I123" i="9"/>
  <c r="J123" i="9" s="1"/>
  <c r="I122" i="9"/>
  <c r="J122" i="9" s="1"/>
  <c r="I121" i="9"/>
  <c r="J121" i="9" s="1"/>
  <c r="I119" i="9"/>
  <c r="J119" i="9" s="1"/>
  <c r="I118" i="9"/>
  <c r="J118" i="9" s="1"/>
  <c r="I117" i="9"/>
  <c r="J117" i="9" s="1"/>
  <c r="I116" i="9"/>
  <c r="J116" i="9" s="1"/>
  <c r="I115" i="9"/>
  <c r="J115" i="9" s="1"/>
  <c r="I114" i="9"/>
  <c r="J114" i="9" s="1"/>
  <c r="I113" i="9"/>
  <c r="J113" i="9" s="1"/>
  <c r="I112" i="9"/>
  <c r="J112" i="9" s="1"/>
  <c r="I111" i="9"/>
  <c r="J111" i="9" s="1"/>
  <c r="I110" i="9"/>
  <c r="J110" i="9" s="1"/>
  <c r="I109" i="9"/>
  <c r="J109" i="9" s="1"/>
  <c r="I108" i="9"/>
  <c r="J108" i="9" s="1"/>
  <c r="I106" i="9"/>
  <c r="J106" i="9" s="1"/>
  <c r="I105" i="9"/>
  <c r="J105" i="9" s="1"/>
  <c r="I104" i="9"/>
  <c r="J104" i="9" s="1"/>
  <c r="I103" i="9"/>
  <c r="J103" i="9" s="1"/>
  <c r="I102" i="9"/>
  <c r="J102" i="9" s="1"/>
  <c r="I100" i="9"/>
  <c r="J100" i="9" s="1"/>
  <c r="I99" i="9"/>
  <c r="J99" i="9" s="1"/>
  <c r="I98" i="9"/>
  <c r="J98" i="9" s="1"/>
  <c r="I95" i="9"/>
  <c r="J95" i="9" s="1"/>
  <c r="I94" i="9"/>
  <c r="J94" i="9" s="1"/>
  <c r="I93" i="9"/>
  <c r="J93" i="9" s="1"/>
  <c r="I92" i="9"/>
  <c r="J92" i="9" s="1"/>
  <c r="I90" i="9"/>
  <c r="J90" i="9" s="1"/>
  <c r="I88" i="9"/>
  <c r="J88" i="9" s="1"/>
  <c r="I78" i="9"/>
  <c r="J78" i="9" s="1"/>
  <c r="I76" i="9"/>
  <c r="J76" i="9" s="1"/>
  <c r="I75" i="9"/>
  <c r="J75" i="9" s="1"/>
  <c r="I74" i="9"/>
  <c r="J74" i="9" s="1"/>
  <c r="I73" i="9"/>
  <c r="J73" i="9" s="1"/>
  <c r="I72" i="9"/>
  <c r="J72" i="9" s="1"/>
  <c r="I71" i="9"/>
  <c r="J71" i="9" s="1"/>
  <c r="I70" i="9"/>
  <c r="J70" i="9" s="1"/>
  <c r="I69" i="9"/>
  <c r="J69" i="9" s="1"/>
  <c r="I68" i="9"/>
  <c r="J68" i="9" s="1"/>
  <c r="I67" i="9"/>
  <c r="J67" i="9" s="1"/>
  <c r="I65" i="9"/>
  <c r="J65" i="9" s="1"/>
  <c r="I64" i="9"/>
  <c r="J64" i="9" s="1"/>
  <c r="I63" i="9"/>
  <c r="J63" i="9" s="1"/>
  <c r="I62" i="9"/>
  <c r="J62" i="9" s="1"/>
  <c r="I61" i="9"/>
  <c r="J61" i="9" s="1"/>
  <c r="I60" i="9"/>
  <c r="J60" i="9" s="1"/>
  <c r="I59" i="9"/>
  <c r="J59" i="9" s="1"/>
  <c r="I58" i="9"/>
  <c r="J58" i="9" s="1"/>
  <c r="I56" i="9"/>
  <c r="J56" i="9" s="1"/>
  <c r="I55" i="9"/>
  <c r="J55" i="9" s="1"/>
  <c r="I54" i="9"/>
  <c r="J54" i="9" s="1"/>
  <c r="I53" i="9"/>
  <c r="J53" i="9" s="1"/>
  <c r="I52" i="9"/>
  <c r="J52" i="9" s="1"/>
  <c r="I51" i="9"/>
  <c r="J51" i="9" s="1"/>
  <c r="I50" i="9"/>
  <c r="J50" i="9" s="1"/>
  <c r="I49" i="9"/>
  <c r="J49" i="9" s="1"/>
  <c r="I48" i="9"/>
  <c r="J48" i="9" s="1"/>
  <c r="I47" i="9"/>
  <c r="J47" i="9" s="1"/>
  <c r="I45" i="9"/>
  <c r="J45" i="9" s="1"/>
  <c r="I44" i="9"/>
  <c r="J44" i="9" s="1"/>
  <c r="I43" i="9"/>
  <c r="J43" i="9" s="1"/>
  <c r="I42" i="9"/>
  <c r="J42" i="9" s="1"/>
  <c r="I41" i="9"/>
  <c r="J41" i="9" s="1"/>
  <c r="I40" i="9"/>
  <c r="J40" i="9" s="1"/>
  <c r="I39" i="9"/>
  <c r="J39" i="9" s="1"/>
  <c r="I38" i="9"/>
  <c r="J38" i="9" s="1"/>
  <c r="I37" i="9"/>
  <c r="J37" i="9" s="1"/>
  <c r="I36" i="9"/>
  <c r="J36" i="9" s="1"/>
  <c r="I35" i="9"/>
  <c r="J35" i="9" s="1"/>
  <c r="I34" i="9"/>
  <c r="J34" i="9" s="1"/>
  <c r="I33" i="9"/>
  <c r="J33" i="9" s="1"/>
  <c r="I32" i="9"/>
  <c r="J32" i="9" s="1"/>
  <c r="I31" i="9"/>
  <c r="J31" i="9" s="1"/>
  <c r="I30" i="9"/>
  <c r="J30" i="9" s="1"/>
  <c r="I28" i="9"/>
  <c r="J28" i="9" s="1"/>
  <c r="I27" i="9"/>
  <c r="J27" i="9" s="1"/>
  <c r="I20" i="9"/>
  <c r="J20" i="9" s="1"/>
  <c r="I19" i="9"/>
  <c r="J19" i="9" s="1"/>
  <c r="I18" i="9"/>
  <c r="J18" i="9" s="1"/>
  <c r="I17" i="9"/>
  <c r="J17" i="9" s="1"/>
  <c r="I16" i="9"/>
  <c r="J16" i="9" s="1"/>
  <c r="I14" i="9"/>
  <c r="J14" i="9" s="1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I7" i="9"/>
  <c r="J7" i="9" s="1"/>
  <c r="I6" i="9"/>
  <c r="J6" i="9" s="1"/>
  <c r="I5" i="9"/>
  <c r="J5" i="9" s="1"/>
  <c r="I4" i="9"/>
  <c r="J4" i="9" s="1"/>
  <c r="I3" i="9"/>
  <c r="I143" i="9" l="1"/>
  <c r="J3" i="9"/>
  <c r="J143" i="9" s="1"/>
  <c r="I14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tc={B1FD8082-9275-4D52-8A35-097AF3F7911F}</author>
  </authors>
  <commentList>
    <comment ref="F21" authorId="0" shapeId="0" xr:uid="{B1FD8082-9275-4D52-8A35-097AF3F7911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for MDA Rocket Fuel &amp; Propellants Disposal Contract Jan 2021 (Schneider)</t>
      </text>
    </comment>
  </commentList>
</comments>
</file>

<file path=xl/sharedStrings.xml><?xml version="1.0" encoding="utf-8"?>
<sst xmlns="http://schemas.openxmlformats.org/spreadsheetml/2006/main" count="2469" uniqueCount="1415">
  <si>
    <t xml:space="preserve"> CLIN</t>
  </si>
  <si>
    <t>V-Code</t>
  </si>
  <si>
    <t>Description</t>
  </si>
  <si>
    <t>Base Est. Qty</t>
  </si>
  <si>
    <t>Option Est. Qty</t>
  </si>
  <si>
    <t>U/M</t>
  </si>
  <si>
    <t>Price-Base</t>
  </si>
  <si>
    <t>Price-Option</t>
  </si>
  <si>
    <t>Extended Cost-Base</t>
  </si>
  <si>
    <t>Extended Cost-Option</t>
  </si>
  <si>
    <t>EA</t>
  </si>
  <si>
    <t>V00013702</t>
  </si>
  <si>
    <t>1001SA</t>
  </si>
  <si>
    <t>1002SV</t>
  </si>
  <si>
    <t>V00013111</t>
  </si>
  <si>
    <t>1003SV</t>
  </si>
  <si>
    <t>V00013112</t>
  </si>
  <si>
    <t>1007SV</t>
  </si>
  <si>
    <t>V00013114</t>
  </si>
  <si>
    <t>1008SV</t>
  </si>
  <si>
    <t>V00013115</t>
  </si>
  <si>
    <t>1095SV</t>
  </si>
  <si>
    <t>V00013163</t>
  </si>
  <si>
    <t>1096SV</t>
  </si>
  <si>
    <t>V00013164</t>
  </si>
  <si>
    <t>1097SV</t>
  </si>
  <si>
    <t>V00013165</t>
  </si>
  <si>
    <t>1098SV</t>
  </si>
  <si>
    <t>V00013166</t>
  </si>
  <si>
    <t>1099SV</t>
  </si>
  <si>
    <t>V00013122</t>
  </si>
  <si>
    <t>1300SV</t>
  </si>
  <si>
    <t>V00015222</t>
  </si>
  <si>
    <t>Batteries for Recycle • Disposal</t>
  </si>
  <si>
    <t>BA01C7</t>
  </si>
  <si>
    <t>V00010727</t>
  </si>
  <si>
    <t>LB</t>
  </si>
  <si>
    <t>BA03C7</t>
  </si>
  <si>
    <t>V00011041</t>
  </si>
  <si>
    <t>BA04C7</t>
  </si>
  <si>
    <t>BA05C7</t>
  </si>
  <si>
    <t>V00010716</t>
  </si>
  <si>
    <t>BA10C7</t>
  </si>
  <si>
    <t>V00010729</t>
  </si>
  <si>
    <t>BA11C7</t>
  </si>
  <si>
    <t>V00010730</t>
  </si>
  <si>
    <t>BA12C7</t>
  </si>
  <si>
    <t>V00010731</t>
  </si>
  <si>
    <t>BA13C7</t>
  </si>
  <si>
    <t>V00010720</t>
  </si>
  <si>
    <t>BA14C7</t>
  </si>
  <si>
    <t>V00010732</t>
  </si>
  <si>
    <t>BA15C7</t>
  </si>
  <si>
    <t>V00011043</t>
  </si>
  <si>
    <t>Corrosives</t>
  </si>
  <si>
    <t>Compressed Gas Cylinders (CGC) • Cartridges • Canisters • Vessels
Lecture (ME) = 3"x 12" • Small (M1) = 4"x 24" • Medium (M2) = 12"x 36" • Large (M3) = 16"x 56"</t>
  </si>
  <si>
    <t>Flammables • Combustibles • Ignitables</t>
  </si>
  <si>
    <t>FL01C7</t>
  </si>
  <si>
    <t>V00012019</t>
  </si>
  <si>
    <t>FL04C7</t>
  </si>
  <si>
    <t>V00012831</t>
  </si>
  <si>
    <t>FL05B5</t>
  </si>
  <si>
    <t>V00011057</t>
  </si>
  <si>
    <t>GL</t>
  </si>
  <si>
    <t>Lab Packs • Loose Packs</t>
  </si>
  <si>
    <t>NR03B5</t>
  </si>
  <si>
    <t>V00011187</t>
  </si>
  <si>
    <t>KG</t>
  </si>
  <si>
    <t>Mandatory Recycling • Recovery</t>
  </si>
  <si>
    <t>RE01C7</t>
  </si>
  <si>
    <t>V00012635</t>
  </si>
  <si>
    <t>RE03C7</t>
  </si>
  <si>
    <t>V00012573</t>
  </si>
  <si>
    <t>RE04C7</t>
  </si>
  <si>
    <t>V00012574</t>
  </si>
  <si>
    <t>RE05C7</t>
  </si>
  <si>
    <t>V00012575</t>
  </si>
  <si>
    <t>RX01C7</t>
  </si>
  <si>
    <t>RX98C7</t>
  </si>
  <si>
    <t>V00012580</t>
  </si>
  <si>
    <t xml:space="preserve">Sludge, Alkaline Batteries, may be managed as IW/Regulated, for Recycling or Destruction &amp; Disposal.                                                                     </t>
  </si>
  <si>
    <t>V00011040</t>
  </si>
  <si>
    <t>BA02C7</t>
  </si>
  <si>
    <t xml:space="preserve">Sludge, Calcium Chromate (CaCrO4) Thermal Batteries, Deactivated, may be managed as IW/Regulated, for Recycling or Destruction &amp; Disposal.                                                                                                                                                              </t>
  </si>
  <si>
    <t xml:space="preserve">Sludge, Carbon-Zinc (CZn) Batteries, Zinc Air, may be managed as IW/Regulated, for Recycling or Disposal.                                                                             </t>
  </si>
  <si>
    <t>V00011042</t>
  </si>
  <si>
    <t xml:space="preserve">Sludge, Lead Acid Batteries, Wet, Dry or Gel Pack may be managed as IW/Regulated, for Recycling/Recovery. </t>
  </si>
  <si>
    <t xml:space="preserve">Sludge, Lithium Ion (Li-Ion) Batteries, may be managed as IW/Regulated, for Recycling or Destruction &amp; Disposal.                                            </t>
  </si>
  <si>
    <t>V00010717</t>
  </si>
  <si>
    <t>BA07C7</t>
  </si>
  <si>
    <t xml:space="preserve">Sludge, Lithium Manganese (LiMn and Oxides thereof) Batteries, may be managed as IW/Regulated, for Recycling or Destruction &amp; Disposal.                                                                                                                                 </t>
  </si>
  <si>
    <t>V00010718</t>
  </si>
  <si>
    <t>BA08C7</t>
  </si>
  <si>
    <t xml:space="preserve">Sludge, Lithium Sulfur Dioxide (LiSO2) Batteries, may be managed as IW/Regulated, for Recycling or Destruction &amp; Disposal. *Minimum 400 lbs*     </t>
  </si>
  <si>
    <t>V00010719</t>
  </si>
  <si>
    <t>BA09C7</t>
  </si>
  <si>
    <t xml:space="preserve">Sludge, Lithium Thionyl Chloride (LiSCl) Batteries, may be managed as IW/Regulated, for Recycling or Destruction &amp; Disposal.       </t>
  </si>
  <si>
    <t xml:space="preserve">Sludge, Lithium Batteries, Mixed Types, Deactivated if Applicable, may be managed as IW/Regulated, for Recycling or Destruction &amp; Disposal.                                                                                                                        </t>
  </si>
  <si>
    <t xml:space="preserve">Sludge, Magnesium (Mg) Batteries, may be managed as IW/Regulated, for Recycling or Destruction and Disposal.                               </t>
  </si>
  <si>
    <t xml:space="preserve">Sludge, Mercury (Hg) Batteries, may be managed as Regulated, for Recycling or Destruction &amp; Disposal.                                                                         </t>
  </si>
  <si>
    <t xml:space="preserve">Sludge, Nickel Metal Hydride (NiMh) Batteries, Wet and Dry may be managed as IW/regulated, for Recycling/Recovery Only.     </t>
  </si>
  <si>
    <t xml:space="preserve">Sludge, Nickel-Cadmium (NiCd) Batteries, Wet and Dry, may be managed as IW/regulated, for Recycling/Recovery Only.                                      </t>
  </si>
  <si>
    <t xml:space="preserve">Sludge, Silver-Zinc (AgZn) and Zinc Silver Oxide (ZnAgO) Batteries, may be managed as IW/Regulated, for Recycling or Destruction &amp; Disposal.                                                                                                                                </t>
  </si>
  <si>
    <t>V00013817</t>
  </si>
  <si>
    <t>BA75C7</t>
  </si>
  <si>
    <t>V00013818</t>
  </si>
  <si>
    <t>BA76C7</t>
  </si>
  <si>
    <t>V00012811</t>
  </si>
  <si>
    <t>CS01C7</t>
  </si>
  <si>
    <t xml:space="preserve">Waste Acids, Organic or Inorganic,  pH 2.1 - 6.9, No Heavy Metals, Managed as IW.                                                                                                  </t>
  </si>
  <si>
    <t>V00012813</t>
  </si>
  <si>
    <t>CS03C7</t>
  </si>
  <si>
    <t xml:space="preserve">Waste Acids, Organic or Inorganic,  pH≤2.0, JEGS or GOJ Regulated                                                                                  </t>
  </si>
  <si>
    <t>V00012814</t>
  </si>
  <si>
    <t>CS04C7</t>
  </si>
  <si>
    <t>Waste Acids, Chromic (H2Cr04 ), &lt;1% Cr+6, Characteristic Liquids, Solids, Sludges, Debris.  Managed as IW.</t>
  </si>
  <si>
    <t>V00012815</t>
  </si>
  <si>
    <t>CS08C7</t>
  </si>
  <si>
    <t>Waste Acids,  Non-Fuming, Hydrofluoric (HF) &lt;40% and/or Nitric (HNO3), &lt;25% in Water. Managed as IW.</t>
  </si>
  <si>
    <t>V00011328</t>
  </si>
  <si>
    <t>CS10B5</t>
  </si>
  <si>
    <t xml:space="preserve">Waste Alkaline, Organic or Inorganic,  pH 7.1 - 12.4, No heavy metals, Managed as IW.                                                                                                        </t>
  </si>
  <si>
    <t>V00012816</t>
  </si>
  <si>
    <t>CS10C7</t>
  </si>
  <si>
    <t>V00012817</t>
  </si>
  <si>
    <t>CS11C7</t>
  </si>
  <si>
    <t>V00012818</t>
  </si>
  <si>
    <t>CS12C7</t>
  </si>
  <si>
    <t>V00012819</t>
  </si>
  <si>
    <t>CS13C7</t>
  </si>
  <si>
    <t>Waste Organic Acids or Bases, Liquids/Sludges/Solids/Debris, FLP ≥158◦F, pH 2.1 - 12.4, May contain JEGS or GOJ waste codes, Managed as Regulated.</t>
  </si>
  <si>
    <t>V00012161</t>
  </si>
  <si>
    <t>CS99C7</t>
  </si>
  <si>
    <t>V00012820</t>
  </si>
  <si>
    <t>CY08C7</t>
  </si>
  <si>
    <t>V00012822</t>
  </si>
  <si>
    <t>CY09C7</t>
  </si>
  <si>
    <t>Cylinders, Acetylene, Empty, Containing Asbestos.</t>
  </si>
  <si>
    <t>V00012823</t>
  </si>
  <si>
    <t>CY12C7</t>
  </si>
  <si>
    <t>V00012824</t>
  </si>
  <si>
    <t>CY40C7</t>
  </si>
  <si>
    <t>V00012825</t>
  </si>
  <si>
    <t>CY41C7</t>
  </si>
  <si>
    <t>Compressed gas cylinders, Flammable gases, Managed as Regulated.</t>
  </si>
  <si>
    <t>V00012826</t>
  </si>
  <si>
    <t>CY42C7</t>
  </si>
  <si>
    <t xml:space="preserve">Compressed gas cylinders, Corrosive gases, Managed as Regulated. </t>
  </si>
  <si>
    <t>V00012827</t>
  </si>
  <si>
    <t>CY43C7</t>
  </si>
  <si>
    <t xml:space="preserve">Compressed gas cylinders, Toxic gases, Managed as Regulated. </t>
  </si>
  <si>
    <t>V00012828</t>
  </si>
  <si>
    <t>CY44C7</t>
  </si>
  <si>
    <t>Ozone Depleting Substances, JEGS or GOJ designated hazardous substances, Halon. Managed as Regulated.</t>
  </si>
  <si>
    <t>Waste Oil / Non-Foaming, Flammable, Combustible, Corrosive,  Aerosols; may include JEGS or GOJ designated hazardous substances. Managed as IW/Regulated</t>
  </si>
  <si>
    <t>V00012829</t>
  </si>
  <si>
    <t>FL02C7</t>
  </si>
  <si>
    <t>Sludge, Industrial Waste, Flammable Debris, Contaminated with Common Solvents, Shreddable, e.g., absorbents, rags, PCP wood. No Free Liquids, No large metal, rock, or masonry components; Managed as IW/Regulated</t>
  </si>
  <si>
    <t>V00012830</t>
  </si>
  <si>
    <t>FL03C7</t>
  </si>
  <si>
    <t>V00012589</t>
  </si>
  <si>
    <t>FL05C7</t>
  </si>
  <si>
    <t>V00013076</t>
  </si>
  <si>
    <t>FL06C7</t>
  </si>
  <si>
    <t>Waste Oil, Flammable Liquids Only, Pumpable for  waste to energy or fuels blending, No heavy metals, May include JEGS or GOJ designated hazardous substances. Managed as Regulated.</t>
  </si>
  <si>
    <t>V00011372</t>
  </si>
  <si>
    <t>FL11B5</t>
  </si>
  <si>
    <t>V00014102</t>
  </si>
  <si>
    <t>FL11C7</t>
  </si>
  <si>
    <t>V00012833</t>
  </si>
  <si>
    <t>FL13C7</t>
  </si>
  <si>
    <t>Sludge, Oxidizers, Non-Reactive, other than chromic acid (see Corrosives), Liquids/Sludges/Solids/Debris.</t>
  </si>
  <si>
    <t>V00012168</t>
  </si>
  <si>
    <t>FL99C7</t>
  </si>
  <si>
    <t>Military Items, Demil-Required, Flammable Solids/Liquids/Debris, i.e. CDE Kits, Vials, Filters, PPE, etc. for Treatment and Disposal.  Certificate of Disposal/Destruction Required.</t>
  </si>
  <si>
    <t>V00014143</t>
  </si>
  <si>
    <t>LP14C7</t>
  </si>
  <si>
    <t>V00014144</t>
  </si>
  <si>
    <t>LP15C7</t>
  </si>
  <si>
    <t>Non-Regulated Liquids, Aqueous (Water based). Wastewater treatment and discharge.</t>
  </si>
  <si>
    <t>V00012839</t>
  </si>
  <si>
    <t>NR03C7</t>
  </si>
  <si>
    <t>V00011191</t>
  </si>
  <si>
    <t>NR04B5</t>
  </si>
  <si>
    <t>Non-Regulated Liquids, Pumpable, Organic-Based, i.e., primarily consisting of compound(s) containing hydrocarbons.</t>
  </si>
  <si>
    <t>V00013314</t>
  </si>
  <si>
    <t>NR04C7</t>
  </si>
  <si>
    <t>V00012940</t>
  </si>
  <si>
    <t>NR40C7</t>
  </si>
  <si>
    <t>V00011784</t>
  </si>
  <si>
    <t>NR97C7</t>
  </si>
  <si>
    <t>V00011663</t>
  </si>
  <si>
    <t>NR98C7</t>
  </si>
  <si>
    <t>AFFF and Other PFAS-Related Wastes</t>
  </si>
  <si>
    <t>V00015385</t>
  </si>
  <si>
    <t>PF20C7</t>
  </si>
  <si>
    <t>V00015375</t>
  </si>
  <si>
    <t>PF21B5</t>
  </si>
  <si>
    <t>V00015386</t>
  </si>
  <si>
    <t>PF21C7</t>
  </si>
  <si>
    <t>V00015384</t>
  </si>
  <si>
    <t>PF22B5</t>
  </si>
  <si>
    <t>V00015387</t>
  </si>
  <si>
    <t>PF22C7</t>
  </si>
  <si>
    <t>Sludge, Lamps, Fluorescent, Intact, Linear, CFLs, U-Bent, and Circulars. Intact.  Managed as Regulated.</t>
  </si>
  <si>
    <t>V00012843</t>
  </si>
  <si>
    <t>RE02C7</t>
  </si>
  <si>
    <t>Sludge, Crushed/Broken Lamps, Fluorescent, with Filters and debris.</t>
  </si>
  <si>
    <t>Sludge, Lamps, Halogen (May include broken lamps)</t>
  </si>
  <si>
    <t>Sludge, Lamps, High Intensity Discharge (HID), Light Emitting Diode (LED) (May include broken lamps)</t>
  </si>
  <si>
    <t>Sludge, Lamps, Mercury/Mercury Vapor (May include broken lamps)</t>
  </si>
  <si>
    <t>V00012576</t>
  </si>
  <si>
    <t>RE06C7</t>
  </si>
  <si>
    <t>Sludge, Lamps, Metal Halide and Metal Hydride, including Sodium           (May include broken lamps)</t>
  </si>
  <si>
    <t>V00012844</t>
  </si>
  <si>
    <t>RE07C7</t>
  </si>
  <si>
    <t>Sludge, Mercury, High, COD Vials, Nessler's Reagent, Chemicals and Residues, Hg&gt;15 mg/Kg  Hg&lt;1000 mg/kg</t>
  </si>
  <si>
    <t>V00012845</t>
  </si>
  <si>
    <t>RE08C7</t>
  </si>
  <si>
    <t xml:space="preserve">Sludge, Mercury, High, Unused Dental Amalgams, Debris &amp; Residues, Hg &gt;15 mg/Kg.  Managed as Regulated. May contain some Silver. </t>
  </si>
  <si>
    <t>V00012846</t>
  </si>
  <si>
    <t>RE09C7</t>
  </si>
  <si>
    <t>Sludge, Mercury, High, Liquid Mercury/Devices, Debris &amp; Residues, Hg&gt;1000 mg/Kg. i.e. Elemental Mercury Only.</t>
  </si>
  <si>
    <t>V00012847</t>
  </si>
  <si>
    <t>RE10C7</t>
  </si>
  <si>
    <t>V00012848</t>
  </si>
  <si>
    <t>RE13C7</t>
  </si>
  <si>
    <t>V00014103</t>
  </si>
  <si>
    <t>RE14C7</t>
  </si>
  <si>
    <t>Lead Articles for Lead Recovery/Recycling. (no spent ammunition or Range debris).</t>
  </si>
  <si>
    <t>GOJ Regulated Wastes</t>
  </si>
  <si>
    <t>V00012849</t>
  </si>
  <si>
    <t>RG01C7</t>
  </si>
  <si>
    <t>V00012850</t>
  </si>
  <si>
    <t>RG02C7</t>
  </si>
  <si>
    <t>V00012851</t>
  </si>
  <si>
    <t>RG03C7</t>
  </si>
  <si>
    <t>Reactive</t>
  </si>
  <si>
    <t>V00012018</t>
  </si>
  <si>
    <t>Sludge, Aerosols, Foaming, Isocyanates or other reactives</t>
  </si>
  <si>
    <t>V00012853</t>
  </si>
  <si>
    <t>RX06C7</t>
  </si>
  <si>
    <t>Sludge, Reactive Oxidizers, e.g., Nitrates, Nitrites, Persulfates, Inorganic Peroxides, No Organic Peroxides</t>
  </si>
  <si>
    <t>V00012938</t>
  </si>
  <si>
    <t>RX07C7</t>
  </si>
  <si>
    <t>Sludge, Polymerizing Materials, e.g, Styrene, Isocyanates, Acrylates</t>
  </si>
  <si>
    <t>V00012854</t>
  </si>
  <si>
    <t>RX08C7</t>
  </si>
  <si>
    <t>Sludge, Reactive Metals, e.g., Powders, Dusts, Fines. Air/Water Reactive. Shipped Under Oil and/or Special Packaging May Be required.</t>
  </si>
  <si>
    <t>V00012939</t>
  </si>
  <si>
    <t>RX09C7</t>
  </si>
  <si>
    <t>Reactive Metals, Debris. Air/Water Reactive. Shipped Under Oil and/or Special Packaging May Be Required.</t>
  </si>
  <si>
    <t>V00012855</t>
  </si>
  <si>
    <t>RX10C7</t>
  </si>
  <si>
    <t>Sludge, Reactive Non-Metals, e.g., P-Coded, Temperature Sensitive, PIHs, Air/Water Reactive.</t>
  </si>
  <si>
    <t>V00012856</t>
  </si>
  <si>
    <t>RX40C7</t>
  </si>
  <si>
    <t>Sludge, Liquids, Organic/Inorganic Peroxides.  Managed as Regulated.</t>
  </si>
  <si>
    <t>Sludge, OBA Cannisters, EEBD and Oxygen Candles, Potentially Reactive, Spent and/or Unspent.  Special packaging may be required.</t>
  </si>
  <si>
    <t>V00012429</t>
  </si>
  <si>
    <t>RX99C7</t>
  </si>
  <si>
    <t>Toxic</t>
  </si>
  <si>
    <t>V00012859</t>
  </si>
  <si>
    <t>TX01C7</t>
  </si>
  <si>
    <t>V00014104</t>
  </si>
  <si>
    <t>TX09C7</t>
  </si>
  <si>
    <t xml:space="preserve">Sludge, High Halogen Liquids/Sludges/Solids/Debris, Non-Flammable, Includes Solvents, Herbicides and Pesticides, Characteristic/Listed. </t>
  </si>
  <si>
    <t>V00012861</t>
  </si>
  <si>
    <t>TX12C7</t>
  </si>
  <si>
    <t>Sludge, Metals-Bearing Liquids, Low, &lt;1% TCLP Sludge, Metals, Total Cr+6 &lt;100 ppm, Total Hg &lt;260 ppm, Pumpable if Bulk, Characteristic</t>
  </si>
  <si>
    <t>V00014105</t>
  </si>
  <si>
    <t>TX18C7</t>
  </si>
  <si>
    <t>Sludge, Metals-Bearing Solids/Sludges/Some Free Liquids, High (&gt;1%) TCLP Metals, Total Cr+6 &lt;100 ppm, Total Hg &lt;260 ppm, Characteristic</t>
  </si>
  <si>
    <t>V00012862</t>
  </si>
  <si>
    <t>TX20C7</t>
  </si>
  <si>
    <t>Sludge, Metals-Bearing Debris/Solids/Sludges with Free Liquids, Total Cr+6 &lt;100 ppm, Total Hg &lt;260 ppm, Contains JEGS/GOJ Characteristic/Listed</t>
  </si>
  <si>
    <t>V00012863</t>
  </si>
  <si>
    <t>TX22C7</t>
  </si>
  <si>
    <t xml:space="preserve">Organics or Inorganics in Solids/Sludges/Debris, i.e. Tank &amp; Still Bottoms, Filtercake.  Not more toxic than common solvents.                                                                 </t>
  </si>
  <si>
    <t>V00012163</t>
  </si>
  <si>
    <t>TX97C7</t>
  </si>
  <si>
    <t>V00012100</t>
  </si>
  <si>
    <t>TX98C7</t>
  </si>
  <si>
    <t>Totals</t>
  </si>
  <si>
    <t>Grand Total</t>
  </si>
  <si>
    <t>Industrial Cleaning Services, Daily, Crew of Two (2) (See 3.1).</t>
  </si>
  <si>
    <t>Industrial Cleaning Services, Weekly, Crew of Two (2) (See 3.2).</t>
  </si>
  <si>
    <t>V00013113</t>
  </si>
  <si>
    <t>1004SV</t>
  </si>
  <si>
    <t>Industrial Cleaning Services, Monthly, Crew of Two (2) (See 3.3).</t>
  </si>
  <si>
    <t>Industrial Cleaning Services, Daily, Crew of Three (3) (See 3.4).</t>
  </si>
  <si>
    <t>Industrial Cleaning Services, Weekly, Crew of Three (3) (See 3.5).</t>
  </si>
  <si>
    <t>V00013116</t>
  </si>
  <si>
    <t>1009SV</t>
  </si>
  <si>
    <t>Industrial Cleaning Services, Monthly, Crew of Three (3) (See 3.6).</t>
  </si>
  <si>
    <t>V00013117</t>
  </si>
  <si>
    <t>1080SV</t>
  </si>
  <si>
    <t>Surcharge for Weekend Work, Daily, Crew of Two (2) (See 3.7).</t>
  </si>
  <si>
    <t>V00013118</t>
  </si>
  <si>
    <t>1081SV</t>
  </si>
  <si>
    <t>Surcharge for Weekend Work, Daily, Crew of Three (3) (See 3.8).</t>
  </si>
  <si>
    <t>V00013119</t>
  </si>
  <si>
    <t>1082SV</t>
  </si>
  <si>
    <t xml:space="preserve">Surcharge for Hydro/Water Blasting Work, Daily, Crew of Three (3) (See 3.9). </t>
  </si>
  <si>
    <t>V00013120</t>
  </si>
  <si>
    <t>1083SV</t>
  </si>
  <si>
    <t>Surcharge for Permit - Required Confined Space Work, Daily, Crew of Three (3) (See 3.10).</t>
  </si>
  <si>
    <t>V00013121</t>
  </si>
  <si>
    <t>1084SV</t>
  </si>
  <si>
    <t>Surcharge for Super Vacuum Truck Work, Daily, Crew of Three (3) (See 3.11).</t>
  </si>
  <si>
    <t>1-Business Day Expedite/Performance (See 1.2.11).</t>
  </si>
  <si>
    <t>3-Business Day Expedite/Performance (See 1.2.11).</t>
  </si>
  <si>
    <t>5-Business Day Expedite/Performance (See 1.2.11).</t>
  </si>
  <si>
    <t>10-Business Day Expedite/Performance (See 1.2.11).</t>
  </si>
  <si>
    <t xml:space="preserve">Surcharge for Expedited Commencement of ICS Work, Crew of Two-Three (2-3) (See 3.22). </t>
  </si>
  <si>
    <t>Provide Certificate of Destruction/Disposal/Recycling. (See 2.1).</t>
  </si>
  <si>
    <t>V00015223</t>
  </si>
  <si>
    <t>1301SV</t>
  </si>
  <si>
    <t>Provide Haz Waste Profile Sheet (HWPS). (See 3.19).</t>
  </si>
  <si>
    <t>CLIN Suffix Table</t>
  </si>
  <si>
    <t>Containerized Wastes</t>
  </si>
  <si>
    <r>
      <t>CLIN Suffix</t>
    </r>
    <r>
      <rPr>
        <b/>
        <sz val="12"/>
        <color theme="1"/>
        <rFont val="Calibri"/>
        <family val="2"/>
      </rPr>
      <t>→</t>
    </r>
  </si>
  <si>
    <t>C1</t>
  </si>
  <si>
    <t>C2</t>
  </si>
  <si>
    <t>C3</t>
  </si>
  <si>
    <t>C4</t>
  </si>
  <si>
    <t>Container Size/Type:</t>
  </si>
  <si>
    <t>Up to 5 Gal
(DM/DF)</t>
  </si>
  <si>
    <t>Up to 15 Gal
(DM/DF)</t>
  </si>
  <si>
    <t>Up to 30 Gal
(DM/DF)</t>
  </si>
  <si>
    <t>Up to 55 Gal
(DM/DF)</t>
  </si>
  <si>
    <t>Unit of Issue:</t>
  </si>
  <si>
    <t>C5</t>
  </si>
  <si>
    <t>C6</t>
  </si>
  <si>
    <t>C7</t>
  </si>
  <si>
    <t>C8</t>
  </si>
  <si>
    <t>Up to 110 Gal
(DM/DF)</t>
  </si>
  <si>
    <t>CYB, TRIWALL  or PALLET</t>
  </si>
  <si>
    <t>Containerized Pounds</t>
  </si>
  <si>
    <t>Containerized Kilograms</t>
  </si>
  <si>
    <t>Pumpable Liquid Wastes Removed in Totes / IBCs</t>
  </si>
  <si>
    <t>T1</t>
  </si>
  <si>
    <t>T2</t>
  </si>
  <si>
    <t>T3</t>
  </si>
  <si>
    <t>Container Size:
Type:</t>
  </si>
  <si>
    <t>Up to 220 GL
850 Liters
(TP)</t>
  </si>
  <si>
    <t>Up to 275 GL
1,050 Liters
(TP)</t>
  </si>
  <si>
    <t>Up to 330 GL
1,250 Liters
(TP)</t>
  </si>
  <si>
    <t>Bulk Solid &amp; Liquid Wastes</t>
  </si>
  <si>
    <t>B1</t>
  </si>
  <si>
    <t>B2</t>
  </si>
  <si>
    <t>B3</t>
  </si>
  <si>
    <t>B4</t>
  </si>
  <si>
    <t>Bulk Load Description:</t>
  </si>
  <si>
    <r>
      <t>Bulk Heavy Solids (&gt;600 Lbs/Yd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)
Priced per Lb, Based on Bulk Loads that are…</t>
    </r>
  </si>
  <si>
    <t>&lt;10,000 Lbs</t>
  </si>
  <si>
    <t>10K-20K Lbs</t>
  </si>
  <si>
    <t>20K-30K Lbs</t>
  </si>
  <si>
    <t>&gt;30,000 Lbs</t>
  </si>
  <si>
    <t>Notes:</t>
  </si>
  <si>
    <r>
      <t>Weights shown above are net weights of actual waste per bulk load.
Not to be used for lightweight solids weighing less than 600 Lbs/yd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.</t>
    </r>
  </si>
  <si>
    <t>B5</t>
  </si>
  <si>
    <t>B6</t>
  </si>
  <si>
    <t>B7</t>
  </si>
  <si>
    <t>B8</t>
  </si>
  <si>
    <t>B9</t>
  </si>
  <si>
    <t>Bulk Pumpable Liquids
Removed via Vac Truck or Tanker</t>
  </si>
  <si>
    <r>
      <t>Bulk Solids
Lightweight
(&lt;600 Lbs/Yd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)
Removed via Rolloff Box</t>
    </r>
  </si>
  <si>
    <r>
      <t>Bulk Heavy Solids
(&gt;600 Lbs/Yd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)
(&gt;350 Kg/M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)</t>
    </r>
  </si>
  <si>
    <t>Bulk Pumpable Liquids
Removed via
Vac Truck
or Tanker</t>
  </si>
  <si>
    <t>Gallons
(GL)</t>
  </si>
  <si>
    <t>Cubic Yards
(CD)</t>
  </si>
  <si>
    <t>Liters
(L)</t>
  </si>
  <si>
    <t>Kilograms
(KG)</t>
  </si>
  <si>
    <t>Minimum Load Ordered:</t>
  </si>
  <si>
    <t>1,500-Gallons</t>
  </si>
  <si>
    <t>75% of
ROB Capacity</t>
  </si>
  <si>
    <t xml:space="preserve">5,000 Liters
(1,320 U.S. Gal)
</t>
  </si>
  <si>
    <t xml:space="preserve">5,000 KG
(11K U.S. Lbs)
</t>
  </si>
  <si>
    <t>Compressed Gas Cylinders</t>
  </si>
  <si>
    <t>ME</t>
  </si>
  <si>
    <t>M1</t>
  </si>
  <si>
    <t>M2</t>
  </si>
  <si>
    <t>M3</t>
  </si>
  <si>
    <t>Size Category:</t>
  </si>
  <si>
    <t>Lecture</t>
  </si>
  <si>
    <t>Small</t>
  </si>
  <si>
    <t>Medium</t>
  </si>
  <si>
    <t>Large</t>
  </si>
  <si>
    <t>Size Up To:</t>
  </si>
  <si>
    <t>3" x 12"</t>
  </si>
  <si>
    <t>4" x 24"</t>
  </si>
  <si>
    <t>12" x 36"</t>
  </si>
  <si>
    <t>16" x 56"</t>
  </si>
  <si>
    <t>Cylinder sizes do not include valve or handle.</t>
  </si>
  <si>
    <t>Hybrid Bid Schedules Only</t>
  </si>
  <si>
    <t xml:space="preserve">
Container Size:</t>
  </si>
  <si>
    <t>1.25 Gal</t>
  </si>
  <si>
    <t>2.5 Gal</t>
  </si>
  <si>
    <t>Type:</t>
  </si>
  <si>
    <t>(DM/DF)</t>
  </si>
  <si>
    <t>CLIN Suffix ME (Misc. Each) also has other applications, e.g., on-site vacuumed/pumped 55-gal drums.</t>
  </si>
  <si>
    <t>Base CLIN</t>
  </si>
  <si>
    <t>ACETALDEHYDE</t>
  </si>
  <si>
    <t>CY02</t>
  </si>
  <si>
    <t>ACETONE</t>
  </si>
  <si>
    <t>ACETONITRILE</t>
  </si>
  <si>
    <t>ACETYL CHLORIDE</t>
  </si>
  <si>
    <t>CY04</t>
  </si>
  <si>
    <t>ACETYL FLUORIDE</t>
  </si>
  <si>
    <t>ACETYLENE Contains Asbestos, for Purge and Landfill.</t>
  </si>
  <si>
    <t>CY09</t>
  </si>
  <si>
    <t>ACETYLENE  for Recycle/Reuse.</t>
  </si>
  <si>
    <t>CY10</t>
  </si>
  <si>
    <t>ACROLEIN INHIBITED</t>
  </si>
  <si>
    <t>CY07</t>
  </si>
  <si>
    <t>ACRYLOFUME (ACRYLONITRILE)</t>
  </si>
  <si>
    <t>AIR</t>
  </si>
  <si>
    <t>CY01</t>
  </si>
  <si>
    <t>ALANE DIMETHYLETHYAMINE SOLUTION</t>
  </si>
  <si>
    <t>CY06</t>
  </si>
  <si>
    <t>ALLENE (PROPADIENE)</t>
  </si>
  <si>
    <t>ALLYL MAGNESIUM BROMIDE</t>
  </si>
  <si>
    <t>ALLYL MAGNESIUM CHLORIDE</t>
  </si>
  <si>
    <t>ALLYL TRICHLORO SILANE</t>
  </si>
  <si>
    <t>ALLYLAMINE</t>
  </si>
  <si>
    <t>ALLYLENE</t>
  </si>
  <si>
    <t>ALPHA OLEFIN C4</t>
  </si>
  <si>
    <t>ALUMINUM CHLORIDE</t>
  </si>
  <si>
    <t>ALUMINUM TRICHLORIDE</t>
  </si>
  <si>
    <t>CY03</t>
  </si>
  <si>
    <t>AMINOPROPANE (ISOPROPYLAMINE)</t>
  </si>
  <si>
    <t>AMMONIA</t>
  </si>
  <si>
    <t>ANILINE</t>
  </si>
  <si>
    <t>ANTIMONY PENTACHLORIDE</t>
  </si>
  <si>
    <t>ANTIMONY PENTACHLORIDE CATALYST</t>
  </si>
  <si>
    <t>ANTIMONY PENTAFLUORIDE</t>
  </si>
  <si>
    <t>ANTIMONY TRIBROMIDE</t>
  </si>
  <si>
    <t>ANTIMONY TRICHLORIDE</t>
  </si>
  <si>
    <t>ANTIMONY TRIFLUORIDE</t>
  </si>
  <si>
    <t>ANTIMONY TRIIODIDE</t>
  </si>
  <si>
    <t>ARGON</t>
  </si>
  <si>
    <t>ARSENIC PENTAFLUORIDE</t>
  </si>
  <si>
    <t>CY05</t>
  </si>
  <si>
    <t>ARSENIC TRIBROMIDE</t>
  </si>
  <si>
    <t>ARSENIC TRICHLORIDE</t>
  </si>
  <si>
    <t>ARSENIC TRIFLUORIDE</t>
  </si>
  <si>
    <t>ARSENIC TRIIODIDE</t>
  </si>
  <si>
    <t>ARSENIOUS FLUORIDE (ARSENIC TRIFLUORIDE)</t>
  </si>
  <si>
    <r>
      <t xml:space="preserve">ARSINE *                              </t>
    </r>
    <r>
      <rPr>
        <b/>
        <sz val="10"/>
        <color rgb="FFFF0000"/>
        <rFont val="Arial"/>
        <family val="2"/>
      </rPr>
      <t>ZONE A</t>
    </r>
  </si>
  <si>
    <t>BAYGON,PT-250</t>
  </si>
  <si>
    <t>BENZENE</t>
  </si>
  <si>
    <t>BENZYL MAGNESIUM CHLORIDE</t>
  </si>
  <si>
    <t>BENZYL MERCAPTAN</t>
  </si>
  <si>
    <t>BIS(CYCLOPENTADIENYL) CHROMIUM</t>
  </si>
  <si>
    <t>BIS(CYCLOPENTADIENYL) IRON</t>
  </si>
  <si>
    <t>BIS(CYCLOPENTADIENYL) MAGNESIUM</t>
  </si>
  <si>
    <t>BIS(TRIFLUOROMETHYL) DISUFIDE</t>
  </si>
  <si>
    <t>BIS(TRIFLUOROMETHYL)PEROXIDE</t>
  </si>
  <si>
    <t>BISPHOSPHINOETHANE</t>
  </si>
  <si>
    <t>BLOOD GAS</t>
  </si>
  <si>
    <t>BORANE THF COMPLEX</t>
  </si>
  <si>
    <t>BORAZINE</t>
  </si>
  <si>
    <t>BORON TRIBROMIDE</t>
  </si>
  <si>
    <t>BORON TRICHLORIDE</t>
  </si>
  <si>
    <t>BORON TRIETHYL (TRIETHYL BORANE)</t>
  </si>
  <si>
    <t>BORON TRIFLUORIDE</t>
  </si>
  <si>
    <t>BORON TRIFLUORIDE ETHYL ETHERATE</t>
  </si>
  <si>
    <t>BORON TRIIODIDE</t>
  </si>
  <si>
    <r>
      <t xml:space="preserve">BROMINE *                </t>
    </r>
    <r>
      <rPr>
        <b/>
        <sz val="10"/>
        <color rgb="FFFF0000"/>
        <rFont val="Arial"/>
        <family val="2"/>
      </rPr>
      <t>ZONE A</t>
    </r>
  </si>
  <si>
    <t>BROMINE CHLORIDE</t>
  </si>
  <si>
    <r>
      <t xml:space="preserve">BROMINE PENTAFLUORIDE *              </t>
    </r>
    <r>
      <rPr>
        <b/>
        <sz val="10"/>
        <color rgb="FF0000FF"/>
        <rFont val="Arial"/>
        <family val="2"/>
      </rPr>
      <t>(PHOTOS REQUIRED)</t>
    </r>
    <r>
      <rPr>
        <sz val="10"/>
        <color theme="1"/>
        <rFont val="Arial"/>
        <family val="2"/>
      </rPr>
      <t xml:space="preserve">   </t>
    </r>
    <r>
      <rPr>
        <b/>
        <sz val="10"/>
        <color rgb="FFFF0000"/>
        <rFont val="Arial"/>
        <family val="2"/>
      </rPr>
      <t>ZONE A</t>
    </r>
  </si>
  <si>
    <r>
      <t xml:space="preserve">BROMINE TRIFLUORIDE </t>
    </r>
    <r>
      <rPr>
        <b/>
        <sz val="10"/>
        <color rgb="FF0000FF"/>
        <rFont val="Arial"/>
        <family val="2"/>
      </rPr>
      <t>(PHOTOS REQUIRED)</t>
    </r>
  </si>
  <si>
    <t>BROMO-2,2,2-TRIFLUOROETHANE, 1-</t>
  </si>
  <si>
    <t>BROMOACETONE</t>
  </si>
  <si>
    <t>BROMOCHLORODIFLUOROMETHANE (HALON1211 or R12B1)</t>
  </si>
  <si>
    <t>BROMOCHLOROMETHANE (HALON 1011)</t>
  </si>
  <si>
    <t>BROMODIFLUOROETHYLENE</t>
  </si>
  <si>
    <t>BROMODIFLUOROMETHANE</t>
  </si>
  <si>
    <t>BROMOETHANE (ETHYL BROMIDE)</t>
  </si>
  <si>
    <t>BROMOFORM</t>
  </si>
  <si>
    <t>BROMOMETHANE (METHYL BROMIDE)</t>
  </si>
  <si>
    <t>BROMOPENTAFLUOROETHANE</t>
  </si>
  <si>
    <t>BROMOPROPANE</t>
  </si>
  <si>
    <t>BROMOTRIFLUOROETHYLENE (R-113B1)</t>
  </si>
  <si>
    <t>BROMOTRIFLUOROMETHANE (HALON 1301 or R13B1)</t>
  </si>
  <si>
    <t>BUTADIENE</t>
  </si>
  <si>
    <t>BUTANE</t>
  </si>
  <si>
    <t xml:space="preserve">BUTANE THIOL </t>
  </si>
  <si>
    <t>BUTENAL, 2-</t>
  </si>
  <si>
    <t>BUTENE</t>
  </si>
  <si>
    <t>BUTYL ETHYL MAGNESIUM</t>
  </si>
  <si>
    <t>BUTYL LITHIUM</t>
  </si>
  <si>
    <t xml:space="preserve">BUTYL MAGNESIUM CHLORIDE </t>
  </si>
  <si>
    <t xml:space="preserve">BUTYL MERCAPTAN </t>
  </si>
  <si>
    <t>BUTYL PHOSPHINE</t>
  </si>
  <si>
    <t xml:space="preserve">BUTYL, 1 ARSINE </t>
  </si>
  <si>
    <t>BUTYLENE</t>
  </si>
  <si>
    <t>BUTYNE (ETHYL ACETYLENE)</t>
  </si>
  <si>
    <t>CARBON DIOXIDE</t>
  </si>
  <si>
    <t>CY01/CY13</t>
  </si>
  <si>
    <t xml:space="preserve">CARBON DISULFIDE </t>
  </si>
  <si>
    <t>CARBON MONOXIDE</t>
  </si>
  <si>
    <t>CARBON TETRABROMIDE</t>
  </si>
  <si>
    <t>CARBON TETRACHLORIDE</t>
  </si>
  <si>
    <t>CARBON TETRAFLUORIDE (R-14)</t>
  </si>
  <si>
    <t>CARBONYL CHLORIDE (PHOSGENE) * [1]    LEAK TEST or OP   ZONE A</t>
  </si>
  <si>
    <t>CARBONYL CHLORIDE FLUORIDE</t>
  </si>
  <si>
    <t>CARBONYL FLUORIDE</t>
  </si>
  <si>
    <t>CARBONYL SULFIDE</t>
  </si>
  <si>
    <t>CHLORINE</t>
  </si>
  <si>
    <r>
      <t xml:space="preserve">CHLORINE MONOFLUORIDE </t>
    </r>
    <r>
      <rPr>
        <b/>
        <sz val="10"/>
        <color rgb="FF0000FF"/>
        <rFont val="Arial"/>
        <family val="2"/>
      </rPr>
      <t>(PHOTOS REQUIRED)</t>
    </r>
  </si>
  <si>
    <r>
      <t xml:space="preserve">CHLORINE PENTAFLUORIDE*              </t>
    </r>
    <r>
      <rPr>
        <b/>
        <sz val="10"/>
        <color rgb="FF0000FF"/>
        <rFont val="Arial"/>
        <family val="2"/>
      </rPr>
      <t>(PHOTOS REQUIRED)</t>
    </r>
    <r>
      <rPr>
        <sz val="10"/>
        <color theme="1"/>
        <rFont val="Arial"/>
        <family val="2"/>
      </rPr>
      <t xml:space="preserve">  </t>
    </r>
    <r>
      <rPr>
        <b/>
        <sz val="10"/>
        <color rgb="FFFF0000"/>
        <rFont val="Arial"/>
        <family val="2"/>
      </rPr>
      <t>ZONE A</t>
    </r>
  </si>
  <si>
    <r>
      <t xml:space="preserve">CHLORINE TRIFLUORIDE </t>
    </r>
    <r>
      <rPr>
        <b/>
        <sz val="10"/>
        <color rgb="FF0000FF"/>
        <rFont val="Arial"/>
        <family val="2"/>
      </rPr>
      <t>(PHOTOS REQUIRED)</t>
    </r>
  </si>
  <si>
    <t>CHLOROACETOPHENONE</t>
  </si>
  <si>
    <t>CHLOROBENZENE</t>
  </si>
  <si>
    <t>CHLOROBENZILATE</t>
  </si>
  <si>
    <t>CHLORODIFLUOROACETONITRILE</t>
  </si>
  <si>
    <t>CHLORODIFLUOROACETYLCHLORIDE</t>
  </si>
  <si>
    <t>CHLORODIFLUOROBROMOMETHANE (HALON1211 &amp; R12B1)</t>
  </si>
  <si>
    <t>CHLORODIFLUOROETHANE (R-142B)</t>
  </si>
  <si>
    <t>CHLORODIFLUOROETHYLENE (R-1122)</t>
  </si>
  <si>
    <t>CHLORODIFLUOROMETHANE (R-22)</t>
  </si>
  <si>
    <t>CY08</t>
  </si>
  <si>
    <t>CHLORODIFLUOROPROPENE</t>
  </si>
  <si>
    <t>CHLOROETHANE</t>
  </si>
  <si>
    <t>CHLOROFLUOROETHYLENE (R-1131A)</t>
  </si>
  <si>
    <t xml:space="preserve">CHLOROFLUOROMETHANE </t>
  </si>
  <si>
    <t>CHLOROFORM</t>
  </si>
  <si>
    <t>CHLOROHEPTAFLUOROBUTANE</t>
  </si>
  <si>
    <t>CHLOROHEPTAFLUOROBUTENE</t>
  </si>
  <si>
    <t>CHLOROHEPTAFLUOROPROPANE</t>
  </si>
  <si>
    <t>CHLOROIODOMETHANE</t>
  </si>
  <si>
    <t>CHLOROMETHANE (METHYL CHLORIDE) (R40)</t>
  </si>
  <si>
    <t>CHLOROPENTAFLUOROACETONE</t>
  </si>
  <si>
    <t>CHLOROPENTAFLUOROETHANE (R-115)</t>
  </si>
  <si>
    <t>CHLOROPENTAFLUOROPROPENE</t>
  </si>
  <si>
    <t>CHLOROPICRIN</t>
  </si>
  <si>
    <t>CHLOROPICRIN/METHYL BROMIDE</t>
  </si>
  <si>
    <t>CHLOROPROPANE</t>
  </si>
  <si>
    <t>CHLOROPROPENE</t>
  </si>
  <si>
    <t xml:space="preserve">CHLOROSULFONIC ACID </t>
  </si>
  <si>
    <t>CHLOROSULFONYL FLUORIDE</t>
  </si>
  <si>
    <t>CHLOROTETRAFLUOROETHANE (R-124)</t>
  </si>
  <si>
    <t>CHLOROTRIFLUOROETHANE (R-133A)</t>
  </si>
  <si>
    <t>CHLOROTRIFLUOROETHYLDIFLUOROMETHYLETHER</t>
  </si>
  <si>
    <t xml:space="preserve">CHLOROTRIFLUOROETHYLENE </t>
  </si>
  <si>
    <t>CHLOROTRIFLUOROMETHANE (R-13)</t>
  </si>
  <si>
    <t>CHLOROTRIFLUOROMETHYLDIFLUOROETHYL ETHER</t>
  </si>
  <si>
    <t>CHLOROTRIMETHYL SILANE</t>
  </si>
  <si>
    <t>CHROMIUM 2-ETHYL-HEANOATE</t>
  </si>
  <si>
    <t>CHROMIUM OXYCHLORIDE (CHROMYL CHLORIDE)</t>
  </si>
  <si>
    <t>CHROMYL CHLORIDE</t>
  </si>
  <si>
    <t>CIS-2-BUTENE</t>
  </si>
  <si>
    <t>CIS-BUTENE</t>
  </si>
  <si>
    <t>CROTONYLENE (2-BUTYNE)</t>
  </si>
  <si>
    <t>CYANOGEN</t>
  </si>
  <si>
    <t>CYANOGEN BROMIDE</t>
  </si>
  <si>
    <t>CYANOGEN CHLORIDE</t>
  </si>
  <si>
    <t>CYANURIC FLUORIDE</t>
  </si>
  <si>
    <t>CYCLOBUTANE</t>
  </si>
  <si>
    <t>CYCLOHEXANE</t>
  </si>
  <si>
    <t>CYCLOHEXYLMAGNESIUM CHLORIDE</t>
  </si>
  <si>
    <t>CYCLOHEXYLPHOSPHINE</t>
  </si>
  <si>
    <t>CYCLOPENTANE</t>
  </si>
  <si>
    <t>CYCLOPENTENE</t>
  </si>
  <si>
    <t>CYCLOPENTYLMAGNESIUM CHLORIDE</t>
  </si>
  <si>
    <t>CYCLOPENTYLPHOSPHINE</t>
  </si>
  <si>
    <t>CYCLOPROPANE</t>
  </si>
  <si>
    <t>DDT/SOLUTION</t>
  </si>
  <si>
    <t xml:space="preserve">DECAFLUORO BUTANE </t>
  </si>
  <si>
    <t>DESFLURANE</t>
  </si>
  <si>
    <t>DEUTERIUM</t>
  </si>
  <si>
    <t>DEUTERIUM BROMIDE [2]   (Photos required, all sizes.  OP required, lectures)</t>
  </si>
  <si>
    <t>DEUTERIUM CHLORIDE</t>
  </si>
  <si>
    <t>DEUTERIUM FLUORIDE</t>
  </si>
  <si>
    <t>DEUTERIUM HYDRIDE</t>
  </si>
  <si>
    <t>DEUTERIUM IODIDE</t>
  </si>
  <si>
    <t>DEUTERIUM SELENIDE</t>
  </si>
  <si>
    <t xml:space="preserve">DEUTERIUM SULFIDE </t>
  </si>
  <si>
    <t>DI(TRIFLUOROMETHYL) DISULFIDE</t>
  </si>
  <si>
    <t>DIBORANE (&lt;10%)</t>
  </si>
  <si>
    <t>DIBROMODICHLOROMETHANE</t>
  </si>
  <si>
    <t>DIBROMODIFLOUROMETHANE (R-12B2)</t>
  </si>
  <si>
    <t>DIBROMOFLUOROMETHANE</t>
  </si>
  <si>
    <t>DIBROMOMETHANE</t>
  </si>
  <si>
    <t>DIBROMOTETRAFLUOROETHANE (R-2402)</t>
  </si>
  <si>
    <t>DIBUTYL ETHER</t>
  </si>
  <si>
    <t>DIBUTYL MAGNESIUM IN HEPTANE</t>
  </si>
  <si>
    <t>DIBUTYL SULFIDE</t>
  </si>
  <si>
    <t>DIBUTYL ZINC</t>
  </si>
  <si>
    <t>DICHLORO-1,4, BUTENE-2</t>
  </si>
  <si>
    <t>DICHLOROBENZENE IN SOLVENT</t>
  </si>
  <si>
    <t>DICHLORODIFLUOROACETONITRILE</t>
  </si>
  <si>
    <t>DICHLORODIFLUOROETHANE (R-132)</t>
  </si>
  <si>
    <t>DICHLORODIFLUOROETHYLENE (R-1112)</t>
  </si>
  <si>
    <t>DICHLORODIFLUOROMETHANE &amp; DIFLUOROETHANE (R-500)</t>
  </si>
  <si>
    <t>DICHLORODIFLUOROMETHANE (R-12)</t>
  </si>
  <si>
    <t>DICHLORODIMETHYL SILANE</t>
  </si>
  <si>
    <t>DICHLORODIPHENYL TRICHLOROETHANE</t>
  </si>
  <si>
    <t>DICHLOROETHANE</t>
  </si>
  <si>
    <t>DICHLOROFLUOROETHANE</t>
  </si>
  <si>
    <t>DICHLOROFLUOROMETHANE (R-21)</t>
  </si>
  <si>
    <t>DICHLOROHEXAFLUOROPROPANE</t>
  </si>
  <si>
    <t xml:space="preserve">DICHLOROMETHANE </t>
  </si>
  <si>
    <t>DICHLOROMETHYL SILANE</t>
  </si>
  <si>
    <t>DICHLOROPHENYLPHOSPHINE</t>
  </si>
  <si>
    <t>DICHLOROSILANE</t>
  </si>
  <si>
    <t>DICHLOROTETRAFLUOROETHANE (R-114)</t>
  </si>
  <si>
    <t>DICHLOROTRIFLUOROETHANE (R-123)</t>
  </si>
  <si>
    <t>DICHLOROVINYL DIMETHYL PHOSPHATE</t>
  </si>
  <si>
    <t>DICHLORVOS (DDVP) IN SOLVENTS  (LETHALAIRE G68)</t>
  </si>
  <si>
    <t>DICUMENE CHROMIUM</t>
  </si>
  <si>
    <t>DICYCLOPENTADIENE</t>
  </si>
  <si>
    <t>DIETHYL ALUMINUM CHLORIDE</t>
  </si>
  <si>
    <t>DIETHYL ALUMINUM ETHOXIDE</t>
  </si>
  <si>
    <t>DIETHYL ALUMINUM IODIDE</t>
  </si>
  <si>
    <t>DIETHYL ARSINE</t>
  </si>
  <si>
    <t>DIETHYL BERYLLIUM</t>
  </si>
  <si>
    <t>DIETHYL CADMIUM</t>
  </si>
  <si>
    <t>DIETHYL DITELLURIDE</t>
  </si>
  <si>
    <t>DIETHYL ETHER</t>
  </si>
  <si>
    <t>DIETHYL GALLIUM CHLORIDE</t>
  </si>
  <si>
    <t>DIETHYL PHOSPHINE</t>
  </si>
  <si>
    <t>DIETHYL TELLURIDE</t>
  </si>
  <si>
    <t>DIETHYL ZINC</t>
  </si>
  <si>
    <t>DIETHYLAMINE</t>
  </si>
  <si>
    <t>DIETHYLFLUORO ALUMINUM</t>
  </si>
  <si>
    <t xml:space="preserve">DIFLUORO(FLUOROSULFONYL)ACETYL FLUORIDE </t>
  </si>
  <si>
    <t>DIFLUORO(FLUOROSULFONYL)DIFLUOROECETYL FLUORIDE</t>
  </si>
  <si>
    <t>DIFLUORODIMETHYL SILANE</t>
  </si>
  <si>
    <t>DIFLUOROETHANE (R-152A)</t>
  </si>
  <si>
    <t>DIFLUOROETHYLENE (R-1132A)</t>
  </si>
  <si>
    <t>DIFLUOROMETHANE</t>
  </si>
  <si>
    <t>DIFLUOROMETHYL BROMIDE</t>
  </si>
  <si>
    <t>DIFLUOROMETHYL IODIDE</t>
  </si>
  <si>
    <t>DIFLUOROPROPANE</t>
  </si>
  <si>
    <t>DIHEXYL MAGNESIUM</t>
  </si>
  <si>
    <t>DIISOBUTYL ALUMINUM</t>
  </si>
  <si>
    <t>DIISOBUTYL ALUMINUM CHLORIDE</t>
  </si>
  <si>
    <t>DIISOBUTYL ALUMINUM ETHOXIDE</t>
  </si>
  <si>
    <t>DIISOBUTYL ALUMINUM HYDRIDE</t>
  </si>
  <si>
    <t xml:space="preserve">DIISOBUTYL ALUMINUM OXIDE </t>
  </si>
  <si>
    <t>DI-ISOPROPYL TELLURIDE</t>
  </si>
  <si>
    <t>DIMETHOXYDIMETHYLSILANE</t>
  </si>
  <si>
    <t>DIMETHYL ACETAMIDE</t>
  </si>
  <si>
    <t>DIMETHYL ACETYLENE</t>
  </si>
  <si>
    <t>DIMETHYL ALANE (DIMETHYL ALUMINUM HYDRIDE)</t>
  </si>
  <si>
    <t>DIMETHYL ALUMINUM CHLORIDE</t>
  </si>
  <si>
    <t>DIMETHYL ALUMINUM HYDRIDE  (DIMETHYLALANE)</t>
  </si>
  <si>
    <t>DIMETHYL ARSINE</t>
  </si>
  <si>
    <t>DIMETHYL CADMIUM</t>
  </si>
  <si>
    <t>DIMETHYL DIFLUOROSILANE</t>
  </si>
  <si>
    <t xml:space="preserve">DIMETHYL DISULFIDE </t>
  </si>
  <si>
    <t>DIMETHYL DITELLURIDE</t>
  </si>
  <si>
    <t>DIMETHYL ETHER (METHYL ETHER)</t>
  </si>
  <si>
    <t>DIMETHYL ETHOXY SILANE</t>
  </si>
  <si>
    <t>DIMETHYL METHANE (PROPANE)</t>
  </si>
  <si>
    <t>DIMETHYL METHYL PHOSPHONATE (DMMP)</t>
  </si>
  <si>
    <t>DIMETHYL PENTANE, 2,2-</t>
  </si>
  <si>
    <t>DIMETHYL PHOSPHINE</t>
  </si>
  <si>
    <t xml:space="preserve">DIMETHYL PROPANE </t>
  </si>
  <si>
    <t>DIMETHYL PROPANE (NEOPENTANE)</t>
  </si>
  <si>
    <t xml:space="preserve">DIMETHYL SELENIDE </t>
  </si>
  <si>
    <t>DIMETHYL SILANE</t>
  </si>
  <si>
    <t>DIMETHYL SULFATE</t>
  </si>
  <si>
    <t>DIMETHYL SULFIDE</t>
  </si>
  <si>
    <t>DIMETHYL SULFIDE BORANE MIXTURE</t>
  </si>
  <si>
    <t>DIMETHYL ZINC</t>
  </si>
  <si>
    <t>DIMETHYL ZINC TRIMETHYLAMINE ADDUCT</t>
  </si>
  <si>
    <t>DIMETHYLAMINE</t>
  </si>
  <si>
    <t>DIMETHYLETHOXY SILANE</t>
  </si>
  <si>
    <t>DIMETHYLPROPANE</t>
  </si>
  <si>
    <t>DI-N-BUTYL SULFIDE</t>
  </si>
  <si>
    <t>DI-N-BUTYLMAGNESIUM TRIETHYLALUMINUM COMPLEX</t>
  </si>
  <si>
    <r>
      <t xml:space="preserve">DINITROGEN TETROXIDE (NITROGEN DIOXIDE) *                </t>
    </r>
    <r>
      <rPr>
        <b/>
        <sz val="10"/>
        <color rgb="FFFF0000"/>
        <rFont val="Arial"/>
        <family val="2"/>
      </rPr>
      <t>ZONE A</t>
    </r>
  </si>
  <si>
    <t>DINORBONYLPHOSPHINE</t>
  </si>
  <si>
    <t>DINOYL BUTYL SULFIDE</t>
  </si>
  <si>
    <t>DI-N-PROPYL SULFIDE</t>
  </si>
  <si>
    <t>DIPENTENE DIMERCAPTAN</t>
  </si>
  <si>
    <t xml:space="preserve">DIPHENYLMETHANE DIISOCYANATE </t>
  </si>
  <si>
    <t>DISILANE</t>
  </si>
  <si>
    <t>DI-TERT BUTYL POLYSULFIDE</t>
  </si>
  <si>
    <t>DI-TERT BUTYL SULFIDE</t>
  </si>
  <si>
    <t>DI-TERT BUTYL TELLURIDE</t>
  </si>
  <si>
    <t>DMMP (DIMETHYL METHYL PHOSPHONATE)</t>
  </si>
  <si>
    <t>DODECAFLUORODIMETHYL CYCLOBUTANE</t>
  </si>
  <si>
    <t>DODECYL DISULFIDE</t>
  </si>
  <si>
    <t xml:space="preserve">DODECYL MERCAPTAN </t>
  </si>
  <si>
    <t>DURSBAN-4E INSECTICIDE</t>
  </si>
  <si>
    <t>DYMEL 142B (CHLORODIFLUOROETHANE)</t>
  </si>
  <si>
    <t>DYMEL 152A (DIFLUOROETHANE)</t>
  </si>
  <si>
    <t>DYMEL 22 (CHLORODIFLUOROMETHANE)</t>
  </si>
  <si>
    <t>ENDOSULFAN IN SOLVENT</t>
  </si>
  <si>
    <t>ENFLURANE (CHLOROTRIFLUOROETHANE R133A)</t>
  </si>
  <si>
    <t>ENGINE STARTING FLUID</t>
  </si>
  <si>
    <t>EPICHLOROHYDRIN</t>
  </si>
  <si>
    <t>ETHANE</t>
  </si>
  <si>
    <t>ETHANETHIOL</t>
  </si>
  <si>
    <t>ETHANOL</t>
  </si>
  <si>
    <t>ETHYL ACETYLENE (1-BUTYNE)</t>
  </si>
  <si>
    <t>ETHYL ALCOHOL</t>
  </si>
  <si>
    <t>ETHYL ALUMINUM DICHLORIDE</t>
  </si>
  <si>
    <t>ETHYL ALUMINUM SESQUIBROMIDE</t>
  </si>
  <si>
    <t>ETHYL ALUMINUM SESQUICHLORIDE</t>
  </si>
  <si>
    <t>ETHYL AMINE</t>
  </si>
  <si>
    <t>ETHYL BROMIDE</t>
  </si>
  <si>
    <t>ETHYL CHLORIDE (CHLOROETHANE)</t>
  </si>
  <si>
    <t>ETHYL ETHER</t>
  </si>
  <si>
    <t>ETHYL FLUORIDE (R161)</t>
  </si>
  <si>
    <t xml:space="preserve">ETHYL IODIDE </t>
  </si>
  <si>
    <t>ETHYL MAGNESIUM BROMIDE</t>
  </si>
  <si>
    <t>ETHYL MERCAPTAN</t>
  </si>
  <si>
    <t>ETHYL METHYL ETHER</t>
  </si>
  <si>
    <t>ETHYL SILICATE</t>
  </si>
  <si>
    <t>ETHYL SULFIDE</t>
  </si>
  <si>
    <t>ETHYL THIOACETATE</t>
  </si>
  <si>
    <t xml:space="preserve">ETHYL THIOETHANOL </t>
  </si>
  <si>
    <t>ETHYL-2-BUTANE, 2</t>
  </si>
  <si>
    <t>ETHYLENE</t>
  </si>
  <si>
    <t>ETHYLENE DIBROMIDE</t>
  </si>
  <si>
    <t>ETHYLENE DIBROMIDE/METHYL BROMIDE</t>
  </si>
  <si>
    <t>ETHYLENE DICHLORIDE</t>
  </si>
  <si>
    <t xml:space="preserve">ETHYLENE IMINE </t>
  </si>
  <si>
    <t>ETHYLENE OXIDE</t>
  </si>
  <si>
    <t>ETHYLENE PROPIONATE</t>
  </si>
  <si>
    <t>ETHYLIDENE FLUORIDE (R152A)</t>
  </si>
  <si>
    <t>ETHYNE (ACETYLENE)</t>
  </si>
  <si>
    <t>FLUOREZE M (1,2,3,5-TETRAFLUOROBENZENE)</t>
  </si>
  <si>
    <t>FLUORO-2, METHYL PROPANE-2</t>
  </si>
  <si>
    <t>FLUOROETHANE R-161</t>
  </si>
  <si>
    <t>FLUOROETHYLENE (VINYL FLUORIDE)</t>
  </si>
  <si>
    <t>FLUOROFORM (R23) (TRIFLUOROMETHANE)</t>
  </si>
  <si>
    <t>FLUOROMETHANE (METHYL FLUORIDE)</t>
  </si>
  <si>
    <t>FLUOROPHENYLMAGNESIUM BROMIDE</t>
  </si>
  <si>
    <t>FLUOROPROPENE</t>
  </si>
  <si>
    <t>FLUOROPROPIONITRILE</t>
  </si>
  <si>
    <t>FLUOROSULFONYL CHLORIDE</t>
  </si>
  <si>
    <t>FORALKYL (PERFLUOROALKYL IODINE)</t>
  </si>
  <si>
    <t>FORANE 502 (R-502)</t>
  </si>
  <si>
    <t>FORMALDEHYDE</t>
  </si>
  <si>
    <t>FORMALIN</t>
  </si>
  <si>
    <t>FORMIC ACID</t>
  </si>
  <si>
    <t>GERMANE (GERMANIUM TETRAHYDRIDE)</t>
  </si>
  <si>
    <t>GERMANIUM TETRACHLORIDE</t>
  </si>
  <si>
    <t>GERMANIUM TETRAFLUORIDE</t>
  </si>
  <si>
    <t>GERMANIUM TETRHYDRIDE (GERMANE)</t>
  </si>
  <si>
    <t>HALON 1211</t>
  </si>
  <si>
    <t>HALON 1301</t>
  </si>
  <si>
    <t>HALOTHANE (BROMOCHLOROTRIFLUOROETHANE)</t>
  </si>
  <si>
    <t>HELIUM</t>
  </si>
  <si>
    <t>HEPTAFLUOROBUTYLENE</t>
  </si>
  <si>
    <t>HEPTAFLUOROBUTYLNITRILE</t>
  </si>
  <si>
    <t>HEPTAFLUOROBUTYRYL CHLORIDE</t>
  </si>
  <si>
    <t>HEPTAFLUOROPROPANE</t>
  </si>
  <si>
    <t>HEPTAFLUOROPROPIONITRILE</t>
  </si>
  <si>
    <t>HEPTAFLUOROPROPYL BROMIDE</t>
  </si>
  <si>
    <t>HEPTAFLUOROPROPYL IODIDE</t>
  </si>
  <si>
    <t>HEPTANE</t>
  </si>
  <si>
    <t>HEXACHLORODIFLUOROPROPANE (R212)</t>
  </si>
  <si>
    <t>HEXACHLOROETHANE</t>
  </si>
  <si>
    <t>HEXACHLOROPROPANE</t>
  </si>
  <si>
    <t>HEXADIENE</t>
  </si>
  <si>
    <t>HEXAFLUORO ISOBUTYLENE</t>
  </si>
  <si>
    <t>HEXAFLUOROACETIC ANHYDRIDE</t>
  </si>
  <si>
    <t>HEXAFLUOROACETONE</t>
  </si>
  <si>
    <t>HEXAFLUOROACETYL ACETONE</t>
  </si>
  <si>
    <t>HEXAFLUOROBIACETYL</t>
  </si>
  <si>
    <t>HEXAFLUOROBUTADIENE</t>
  </si>
  <si>
    <t>HEXAFLUOROBUTANEDIONE</t>
  </si>
  <si>
    <t>HEXAFLUOROBUTYNE</t>
  </si>
  <si>
    <t>HEXAFLUOROCYCLOBUTANE</t>
  </si>
  <si>
    <t>HEXAFLUOROCYCLOBUTENE</t>
  </si>
  <si>
    <t>HEXAFLUOROETHANE (R-116)</t>
  </si>
  <si>
    <t>HEXAFLUOROPENTANE DIONE</t>
  </si>
  <si>
    <t xml:space="preserve">HEXAFLUOROPROPANE </t>
  </si>
  <si>
    <t>HEXAFLUOROPROPENE</t>
  </si>
  <si>
    <t>HEXAFLUOROPROPYLENE (R-1216)</t>
  </si>
  <si>
    <t>HEXAFLUOROPROPYLENE EPOXIDE</t>
  </si>
  <si>
    <t>HEXAFLUOROPROPYLENE OXIDE</t>
  </si>
  <si>
    <t>HEXAMETHYLENEDIAMINE</t>
  </si>
  <si>
    <t>HEXANE</t>
  </si>
  <si>
    <t>HEXENE</t>
  </si>
  <si>
    <t>HEXYL LITHIUM IN HEXANE</t>
  </si>
  <si>
    <t xml:space="preserve">HEXYL MERCAPTAN </t>
  </si>
  <si>
    <t>HYDRAZINE</t>
  </si>
  <si>
    <t>HYDRAZINE HYDRATE</t>
  </si>
  <si>
    <t>HYDRIODIC ACID</t>
  </si>
  <si>
    <t>HYDROBROMIC ACID</t>
  </si>
  <si>
    <t xml:space="preserve">HYDROCYANIC ACID &lt;10% </t>
  </si>
  <si>
    <t>HYDROFLUORIC ACID</t>
  </si>
  <si>
    <t>HYDROGEN</t>
  </si>
  <si>
    <t>HYDROGEN BROMIDE [3] (Photos required, all sizes.  OP required, lectures)</t>
  </si>
  <si>
    <t>HYDROGEN CHLORIDE</t>
  </si>
  <si>
    <r>
      <t xml:space="preserve">HYDROGEN CYANIDE (&lt;10% MIXTURE) * </t>
    </r>
    <r>
      <rPr>
        <b/>
        <sz val="10"/>
        <color rgb="FFFF0000"/>
        <rFont val="Arial"/>
        <family val="2"/>
      </rPr>
      <t>ZONE A</t>
    </r>
  </si>
  <si>
    <r>
      <t xml:space="preserve">HYDROGEN FLUORIDE </t>
    </r>
    <r>
      <rPr>
        <b/>
        <sz val="9"/>
        <color rgb="FFFF0000"/>
        <rFont val="Arial"/>
        <family val="2"/>
      </rPr>
      <t>(Photos required, all sizes.  OP required, lectures)</t>
    </r>
  </si>
  <si>
    <t>HYDROGEN IODIDE</t>
  </si>
  <si>
    <t>HYDROGEN PHOSPHIDE (PHOSPHINE)</t>
  </si>
  <si>
    <r>
      <t xml:space="preserve">HYDROGEN SELENIDE * </t>
    </r>
    <r>
      <rPr>
        <b/>
        <sz val="10"/>
        <color rgb="FFFF0000"/>
        <rFont val="Arial"/>
        <family val="2"/>
      </rPr>
      <t>ZONE A</t>
    </r>
  </si>
  <si>
    <t>HYDROGEN SULFIDE</t>
  </si>
  <si>
    <t>HYDROXYETHYLPHENYL SULFIDE</t>
  </si>
  <si>
    <t>INSTA FOAM PART A       (UN1956)</t>
  </si>
  <si>
    <t>INSTA FOAM PART B    (UN1956)</t>
  </si>
  <si>
    <t>INSTAPAK-A</t>
  </si>
  <si>
    <t>INSTAPAK-B</t>
  </si>
  <si>
    <t>IODINE</t>
  </si>
  <si>
    <t>IODINE MONOCHLORIDE</t>
  </si>
  <si>
    <t>IODINE PENTAFLUORIDE</t>
  </si>
  <si>
    <t>IODOETHANE</t>
  </si>
  <si>
    <t>IODOFLUOROETHANE</t>
  </si>
  <si>
    <r>
      <t>IODOMETHANE (Methyl Iodide</t>
    </r>
    <r>
      <rPr>
        <sz val="9"/>
        <color theme="1"/>
        <rFont val="Arial"/>
        <family val="2"/>
      </rPr>
      <t>)  Insp w/ net weight, Valve &amp; DOT spec. 6-11-09</t>
    </r>
  </si>
  <si>
    <t>CY05/CY07</t>
  </si>
  <si>
    <t>IODOPENTAFLUOROETHANE</t>
  </si>
  <si>
    <t>IODOPERFLUOROETHANE</t>
  </si>
  <si>
    <t>IODOTRIFLUOROETHANE</t>
  </si>
  <si>
    <t>IODOTRIFLUOROETHYLENE</t>
  </si>
  <si>
    <t>IODOTRIFLUOROMETHANE</t>
  </si>
  <si>
    <t>IRIDIUM HEXAFLUORIDE</t>
  </si>
  <si>
    <r>
      <t xml:space="preserve">IRON PENTACARBONYL * </t>
    </r>
    <r>
      <rPr>
        <b/>
        <sz val="10"/>
        <color rgb="FFFF0000"/>
        <rFont val="Arial"/>
        <family val="2"/>
      </rPr>
      <t>ZONE A</t>
    </r>
  </si>
  <si>
    <t>ISOBUTANE (2-Methyl Propane)</t>
  </si>
  <si>
    <t>ISOBUTENE</t>
  </si>
  <si>
    <t>ISOBUTYL ALUMINUM DICHLORIDE</t>
  </si>
  <si>
    <t>ISOBUTYLENE</t>
  </si>
  <si>
    <t>ISOBUTYLMAGNESIUM CHLORIDE</t>
  </si>
  <si>
    <t>ISOCYANATE</t>
  </si>
  <si>
    <t>ISOFLURANE</t>
  </si>
  <si>
    <t>ISOOCTANE</t>
  </si>
  <si>
    <t>ISOPENTANE</t>
  </si>
  <si>
    <t>ISOPENTENE</t>
  </si>
  <si>
    <t>ISOPRENE</t>
  </si>
  <si>
    <t>ISOPROPANOL</t>
  </si>
  <si>
    <t>ISOPROPYL ALCOHOL</t>
  </si>
  <si>
    <t>ISOPROPYL FLUORIDE (2-FLUOROPROPANE)</t>
  </si>
  <si>
    <t xml:space="preserve">ISOPROPYL MAGNESIUM CHLORIDE </t>
  </si>
  <si>
    <t>ISOPROPYL MERCAPTAN</t>
  </si>
  <si>
    <t>ISOPROPYLAMINE</t>
  </si>
  <si>
    <t>KRYPTON</t>
  </si>
  <si>
    <t>LETHALAIRE A-20</t>
  </si>
  <si>
    <t>LETHALAIRE G52 (TETRAETHYLPYROPHOSPHATE)</t>
  </si>
  <si>
    <t>LETHALAIRE G54 (PARATHION)</t>
  </si>
  <si>
    <t>LETHALAIRE G57 (SULFOTEPP)</t>
  </si>
  <si>
    <t>LETHALAIRE G59</t>
  </si>
  <si>
    <t>LETHALAIRE G60 (ARAMITE)</t>
  </si>
  <si>
    <t>LETHALAIRE G61 (ARAMITE/LINDANE)</t>
  </si>
  <si>
    <t>LETHALAIRE G64 (PHOSDRIN)</t>
  </si>
  <si>
    <t>LETHALAIRE G68 (DDVP)</t>
  </si>
  <si>
    <t>LETHALAIRE V23 (Virchem Twenty-Three)</t>
  </si>
  <si>
    <t>LETHANE</t>
  </si>
  <si>
    <t>LINDANE</t>
  </si>
  <si>
    <t>LITHIUM ALUMINUM HYDRIDE</t>
  </si>
  <si>
    <t>LITHIUM DIISOPROPYLAMIDE</t>
  </si>
  <si>
    <t>LITHIUM TRIBUTYL BOROHYDRIDE</t>
  </si>
  <si>
    <t>MAPP GAS (METHYL ACETYLENE PROPADIENE, STABILIZED)</t>
  </si>
  <si>
    <t>MDI POLYOL</t>
  </si>
  <si>
    <t xml:space="preserve">MERCAPTOETHANOL </t>
  </si>
  <si>
    <t>METHANE</t>
  </si>
  <si>
    <t>METHANETHIOL (Methyl Mercaptan)</t>
  </si>
  <si>
    <t>METHANOL</t>
  </si>
  <si>
    <t>METHOXYBENZENE (ANISOLE)</t>
  </si>
  <si>
    <t>METHYL ACETYLENE (PROPYNE)</t>
  </si>
  <si>
    <t>METHYL ACETYLENE PROPADIENE, STABILIZED (MAPP)</t>
  </si>
  <si>
    <t>METHYL ACROLEIN</t>
  </si>
  <si>
    <t>METHYL ALCOHOL</t>
  </si>
  <si>
    <t>METHYL ALLYL TELLURIDE</t>
  </si>
  <si>
    <t>METHYL ALUMINUM SESQUICHLORIDE</t>
  </si>
  <si>
    <t>METHYL ALUMINUMOXANE</t>
  </si>
  <si>
    <t>METHYL BROMIDE  (BROMOMETHANE)</t>
  </si>
  <si>
    <t>METHYL BROMIDE/ETHYLENE DIBROMIDE</t>
  </si>
  <si>
    <t>METHYL BUTADIENE</t>
  </si>
  <si>
    <t>METHYL BUTANETHIOL</t>
  </si>
  <si>
    <t>METHYL BUTENE</t>
  </si>
  <si>
    <t>METHYL BUTYL ETHER</t>
  </si>
  <si>
    <t>METHYL CHLORIDE (CHLOROMETHANE) (R40)</t>
  </si>
  <si>
    <t>METHYL CHLOROFORM</t>
  </si>
  <si>
    <t>METHYL CYCLOHEXANE</t>
  </si>
  <si>
    <t>METHYL CYCLOPENTANE</t>
  </si>
  <si>
    <t xml:space="preserve">METHYL CYCLOPROPANE </t>
  </si>
  <si>
    <t>METHYL CYCLOPROPANOL</t>
  </si>
  <si>
    <t>METHYL DICHLOROSILANE</t>
  </si>
  <si>
    <t>METHYL ETHER (DIMETHYLETHER)</t>
  </si>
  <si>
    <t>METHYL FLUORIDE (FLUOROMETHANE)</t>
  </si>
  <si>
    <r>
      <t xml:space="preserve">METHYL HYDRAZINE * </t>
    </r>
    <r>
      <rPr>
        <b/>
        <sz val="10"/>
        <color rgb="FFFF0000"/>
        <rFont val="Arial"/>
        <family val="2"/>
      </rPr>
      <t>ZONE A</t>
    </r>
  </si>
  <si>
    <r>
      <t xml:space="preserve">METHYL IODIDE (Iodomethane) </t>
    </r>
    <r>
      <rPr>
        <sz val="9"/>
        <color theme="1"/>
        <rFont val="Arial"/>
        <family val="2"/>
      </rPr>
      <t>Insp w/ net weight, Valve &amp; DOT spec 6-11-09</t>
    </r>
  </si>
  <si>
    <t>METHYL LITHIUM</t>
  </si>
  <si>
    <t>METHYL MAGNESIUM BROMIDE</t>
  </si>
  <si>
    <t>METHYL MAGNESIUM CHLORIDE</t>
  </si>
  <si>
    <t>METHYL MAGNESIUM IODIDE</t>
  </si>
  <si>
    <t>METHYL MERCAPTAN (Methanethiol)</t>
  </si>
  <si>
    <t>METHYL PENTENE</t>
  </si>
  <si>
    <t>METHYL PHENYL ETHER</t>
  </si>
  <si>
    <t>METHYL PROPANE (ISOBUTANE)</t>
  </si>
  <si>
    <t>METHYL SILANE</t>
  </si>
  <si>
    <t>METHYL TRICHLOROSILANE</t>
  </si>
  <si>
    <t>METHYL TRIFLUOROSILANE</t>
  </si>
  <si>
    <t>METHYL VINYL ETHER</t>
  </si>
  <si>
    <t>METHYLALUMINOXANE</t>
  </si>
  <si>
    <t>METHYLAMINE</t>
  </si>
  <si>
    <t xml:space="preserve">METHYLDICHLOROARSINE </t>
  </si>
  <si>
    <t>METHYLENE BROMIDE</t>
  </si>
  <si>
    <t>METHYLENE CHLORIDE</t>
  </si>
  <si>
    <t>METHYLENE FLUORIDE</t>
  </si>
  <si>
    <t>METHYLETHENE</t>
  </si>
  <si>
    <t>METHYLETHYLENE</t>
  </si>
  <si>
    <t>METHYLPROPANE-2</t>
  </si>
  <si>
    <t>METHYLPROPENE (ISOBUTYLENE)</t>
  </si>
  <si>
    <t>METHYLPROPYLENE (ISOBUTYLENE)</t>
  </si>
  <si>
    <t>METHYL-TERT-BUTYL ETHER</t>
  </si>
  <si>
    <t>MEVINPHOS</t>
  </si>
  <si>
    <t>MOLYBDENUM FLUORIDE</t>
  </si>
  <si>
    <t>MOLYBDENUM HEXAFLUORIDE</t>
  </si>
  <si>
    <t>MONOCHLORODIFLUOROMETHANE</t>
  </si>
  <si>
    <t>MONOCHLOROSILANE</t>
  </si>
  <si>
    <t>MONOETHANOLAMINE</t>
  </si>
  <si>
    <t>MONOETHYLAMINE</t>
  </si>
  <si>
    <t>MONOMETHYLAMINE</t>
  </si>
  <si>
    <t>NAPTHA PETROLEUM DISTILLATES</t>
  </si>
  <si>
    <t>NATURAL GAS</t>
  </si>
  <si>
    <t>N-BUTYL FLUORIDE</t>
  </si>
  <si>
    <t>N-BUTYL SULFIDE</t>
  </si>
  <si>
    <t>NEON</t>
  </si>
  <si>
    <t>NEOPENTANE (DIMETHYLPROPANE)</t>
  </si>
  <si>
    <t>N-HEPTAFLUOROPROPYL IODIDE</t>
  </si>
  <si>
    <t>N-HEXYL MERCAPTAN</t>
  </si>
  <si>
    <r>
      <t xml:space="preserve">NICKEL CARBONYL * </t>
    </r>
    <r>
      <rPr>
        <b/>
        <sz val="10"/>
        <color rgb="FFFF0000"/>
        <rFont val="Arial"/>
        <family val="2"/>
      </rPr>
      <t>ZONE A</t>
    </r>
  </si>
  <si>
    <r>
      <t xml:space="preserve">NITRIC OXIDE * </t>
    </r>
    <r>
      <rPr>
        <b/>
        <sz val="10"/>
        <color rgb="FFFF0000"/>
        <rFont val="Arial"/>
        <family val="2"/>
      </rPr>
      <t>ZONE A</t>
    </r>
  </si>
  <si>
    <t>NITROGEN</t>
  </si>
  <si>
    <r>
      <t xml:space="preserve">NITROGEN DIOXIDE (DINITROGEN TETROXIDE) * </t>
    </r>
    <r>
      <rPr>
        <b/>
        <sz val="10"/>
        <color rgb="FFFF0000"/>
        <rFont val="Arial"/>
        <family val="2"/>
      </rPr>
      <t>ZONE A</t>
    </r>
  </si>
  <si>
    <r>
      <t xml:space="preserve">NITROGEN PEROXIDE (NITROGEN DIOXIDE) * </t>
    </r>
    <r>
      <rPr>
        <b/>
        <sz val="10"/>
        <color rgb="FFFF0000"/>
        <rFont val="Arial"/>
        <family val="2"/>
      </rPr>
      <t>ZONE A</t>
    </r>
  </si>
  <si>
    <r>
      <t xml:space="preserve">NITROGEN TRIFLUORIDE        </t>
    </r>
    <r>
      <rPr>
        <b/>
        <sz val="10"/>
        <color rgb="FF0000FF"/>
        <rFont val="Arial"/>
        <family val="2"/>
      </rPr>
      <t>(PHOTOS REQUIRED)</t>
    </r>
  </si>
  <si>
    <r>
      <t xml:space="preserve">NITROGEN TRIOXIDE * </t>
    </r>
    <r>
      <rPr>
        <b/>
        <sz val="10"/>
        <color rgb="FFFF0000"/>
        <rFont val="Arial"/>
        <family val="2"/>
      </rPr>
      <t>ZONE A</t>
    </r>
  </si>
  <si>
    <t>NITROSYL CHLORIDE</t>
  </si>
  <si>
    <r>
      <t xml:space="preserve">NITROSYL FLUORIDE </t>
    </r>
    <r>
      <rPr>
        <b/>
        <sz val="10"/>
        <color rgb="FF0000FF"/>
        <rFont val="Arial"/>
        <family val="2"/>
      </rPr>
      <t>(PHOTOS REQUIRED)</t>
    </r>
  </si>
  <si>
    <t>NITROUS OXIDE</t>
  </si>
  <si>
    <r>
      <t xml:space="preserve">NITRYL FLUORIDE </t>
    </r>
    <r>
      <rPr>
        <b/>
        <sz val="10"/>
        <color rgb="FF0000FF"/>
        <rFont val="Arial"/>
        <family val="2"/>
      </rPr>
      <t>(PHOTOS REQUIRED)</t>
    </r>
  </si>
  <si>
    <t>N-OCTYL MERCAPTAN</t>
  </si>
  <si>
    <t>NONAFLUOROISOBUTANE</t>
  </si>
  <si>
    <t>OCTAFLUOROBUTENE</t>
  </si>
  <si>
    <t>OCTAFLUOROCYCLOBUTANE (R-C318)</t>
  </si>
  <si>
    <t>OCTAFLUOROCYCLOPENTANE</t>
  </si>
  <si>
    <t>OCTAFLUOROPROPANE (R-218)</t>
  </si>
  <si>
    <t>OCTANES</t>
  </si>
  <si>
    <t>OCTANETHIOL</t>
  </si>
  <si>
    <t>OCTYL FLUORIDE</t>
  </si>
  <si>
    <t>OCTYLBICYCLOHEPTENE</t>
  </si>
  <si>
    <t>OLEUM</t>
  </si>
  <si>
    <t>OXYFUME-12 STERILANT</t>
  </si>
  <si>
    <t>OXYGEN</t>
  </si>
  <si>
    <t>OXYGEN DIFLUORIDE</t>
  </si>
  <si>
    <t>PARAQUAT IN H20</t>
  </si>
  <si>
    <t>PARATHION</t>
  </si>
  <si>
    <t>PENETENE-2</t>
  </si>
  <si>
    <t>PENTABORANE</t>
  </si>
  <si>
    <t>PENTACHLOROFLUOROETHANE (R111)</t>
  </si>
  <si>
    <t>PENTACHLOROPROPANE</t>
  </si>
  <si>
    <t>PENTACHLOROTRIFLUOROPROPANE (R213)</t>
  </si>
  <si>
    <t>PENTAFLUOROACETONE</t>
  </si>
  <si>
    <t>PENTAFLUOROBUTENE</t>
  </si>
  <si>
    <t>PENTAFLUOROCHLORO ACETONE</t>
  </si>
  <si>
    <t>PENTAFLUORODIMETHYL ETHER</t>
  </si>
  <si>
    <t>PENTAFLUOROETHANE</t>
  </si>
  <si>
    <t>PENTAFLUOROETHYL IODIDE</t>
  </si>
  <si>
    <t>PENTAFLUOROETHYLENE IODIDE</t>
  </si>
  <si>
    <t>PENTAFLUOROMONOCHLOROACETONE</t>
  </si>
  <si>
    <t>PENTAFLUOROPROPANOL</t>
  </si>
  <si>
    <t>PENTAFLUOROPROPENE</t>
  </si>
  <si>
    <t>PENTAFLUOROPROPIONILE CHLORIDE</t>
  </si>
  <si>
    <t>PENTAFLUOROPROPIONITRILE</t>
  </si>
  <si>
    <t>PENTANE</t>
  </si>
  <si>
    <t>PENTENE-1</t>
  </si>
  <si>
    <t xml:space="preserve">PERCHLOROETHANE </t>
  </si>
  <si>
    <r>
      <t xml:space="preserve">PERCHLORYL FLUORIDE </t>
    </r>
    <r>
      <rPr>
        <b/>
        <sz val="10"/>
        <color rgb="FF0000FF"/>
        <rFont val="Arial"/>
        <family val="2"/>
      </rPr>
      <t>(PHOTOS REQUIRED)</t>
    </r>
  </si>
  <si>
    <t>PERFLUORO-2-BUTENE</t>
  </si>
  <si>
    <t>PERFLUOROACETONE</t>
  </si>
  <si>
    <t>PERFLUOROACETYL CHLORIDE</t>
  </si>
  <si>
    <t>PERFLUOROALKYL IODINE (FORALKYL)</t>
  </si>
  <si>
    <t>PERFLUOROBUTADIENE</t>
  </si>
  <si>
    <t>PERFLUOROBUTANE</t>
  </si>
  <si>
    <t>PERFLUOROBUTANONE</t>
  </si>
  <si>
    <t>PERFLUOROBUTENE</t>
  </si>
  <si>
    <t>PERFLUOROBUTYRYL FLUORIDE</t>
  </si>
  <si>
    <t>PERFLUOROCYCLOBUTANE (R318)</t>
  </si>
  <si>
    <t>PERFLUOROCYCLOBUTENE</t>
  </si>
  <si>
    <t>PERFLUOROCYCLOHEXENE</t>
  </si>
  <si>
    <t>PERFLUORODIETHYL ETHER</t>
  </si>
  <si>
    <t>PERFLUORODIMETHYL CYCLOBUTANE</t>
  </si>
  <si>
    <t>PERFLUOROETHANE (R-125)</t>
  </si>
  <si>
    <t>PERFLUOROETHYL IODIDE</t>
  </si>
  <si>
    <t>PERFLUOROISOBUTENE</t>
  </si>
  <si>
    <t>PERFLUOROISOBUTYLENE</t>
  </si>
  <si>
    <t>PERFLUOROISOHEXANE</t>
  </si>
  <si>
    <t>PERFLUOROMETHYLSULFONYL FLUORIDE</t>
  </si>
  <si>
    <t>PERFLUOROPENTANE</t>
  </si>
  <si>
    <t>PERFLUOROPROPANE</t>
  </si>
  <si>
    <t>PERFLUOROPROPENE</t>
  </si>
  <si>
    <t>PERFLUOROPROPIONITRILE</t>
  </si>
  <si>
    <t>PERFLUOROPROPYL VINYL ETHER</t>
  </si>
  <si>
    <t>PERFLUOROPROPYLENE</t>
  </si>
  <si>
    <t>PERFLUOROPROPYLENE OXIDE</t>
  </si>
  <si>
    <t>PETROLEUM DISTILLATES</t>
  </si>
  <si>
    <t>PHENYL LITHIUM</t>
  </si>
  <si>
    <t>PHENYL MAGNESIUM BROMIDE</t>
  </si>
  <si>
    <t>PHENYL MAGNESIUM CHLORIDE</t>
  </si>
  <si>
    <t>PHENYL MERCAPTAN</t>
  </si>
  <si>
    <t>PHENYL SILANE</t>
  </si>
  <si>
    <t>PHOSDRIN (LETHALAIRE G64)</t>
  </si>
  <si>
    <t>PHOSGENE (CARBONYL CHLORIDE) * [4] LEAK TEST or OP        ZONE A</t>
  </si>
  <si>
    <r>
      <t xml:space="preserve">PHOSPHINE *                  </t>
    </r>
    <r>
      <rPr>
        <b/>
        <sz val="10"/>
        <color rgb="FFFF0000"/>
        <rFont val="Arial"/>
        <family val="2"/>
      </rPr>
      <t>ZONE A</t>
    </r>
  </si>
  <si>
    <t>PHOSPHORUS OXYCHLORIDE</t>
  </si>
  <si>
    <t>PHOSPHORUS PENTAFLUORIDE</t>
  </si>
  <si>
    <t>PHOSPHORUS TRIBROMIDE</t>
  </si>
  <si>
    <t>PHOSPHORUS TRICHLORIDE</t>
  </si>
  <si>
    <t>PHOSPHORUS TRIFLUORIDE</t>
  </si>
  <si>
    <t>PHOSPHORYL CHLORIDE</t>
  </si>
  <si>
    <t>PINACOLBORANE</t>
  </si>
  <si>
    <t>PINANYL MERCAPTAN</t>
  </si>
  <si>
    <t>PINENE</t>
  </si>
  <si>
    <t>PIPERONYL BUTOXIDE</t>
  </si>
  <si>
    <t>POLYAMINE ISOCYANATE</t>
  </si>
  <si>
    <t>POLYMERIC MDI</t>
  </si>
  <si>
    <t>POLYMETHYLALUMINOXANE</t>
  </si>
  <si>
    <t>POLYMETHYLENE POLYPHENYL ISOCYANATE</t>
  </si>
  <si>
    <t>PROPADIENE (ALLENE)</t>
  </si>
  <si>
    <t>PROPANE (20-Lb "Grill Size")</t>
  </si>
  <si>
    <t>CY11</t>
  </si>
  <si>
    <t>CY12</t>
  </si>
  <si>
    <r>
      <t xml:space="preserve">PROPANE (DIMETHYLMETHANE) </t>
    </r>
    <r>
      <rPr>
        <sz val="8"/>
        <color theme="1"/>
        <rFont val="Arial"/>
        <family val="2"/>
      </rPr>
      <t>Other than 20-Lb "Grill Size" and Cartridges</t>
    </r>
  </si>
  <si>
    <t>PROPANE DITHIOL</t>
  </si>
  <si>
    <t>PROPANE TRITHIOL</t>
  </si>
  <si>
    <t>PROPANETHIOL</t>
  </si>
  <si>
    <t>PROPENE</t>
  </si>
  <si>
    <t>PROPYL FLUORIDE</t>
  </si>
  <si>
    <t>PROPYL MERCAPTAN</t>
  </si>
  <si>
    <t>PROPYLENE</t>
  </si>
  <si>
    <t>PROPYLENE OXIDE</t>
  </si>
  <si>
    <t>PROPYNE (METHYLACETYLENE)</t>
  </si>
  <si>
    <t>PURPLE K (FIRE EXTINGUISHER)</t>
  </si>
  <si>
    <t>PYRETHRINS</t>
  </si>
  <si>
    <t>PYRETHRUM</t>
  </si>
  <si>
    <t>R-11 (TRICHLOROFLUOROMETHANE)</t>
  </si>
  <si>
    <t>R-111 (PENTACHLOROFLUOROETHANE)</t>
  </si>
  <si>
    <t>R-1112 (DICHLORODIFLUROETHYLENE)</t>
  </si>
  <si>
    <t>R-1113 (TRIFLUOROCHLOROETHYLENE)</t>
  </si>
  <si>
    <t>R-112 (TETRACHLORODIFLUOROETHANE)</t>
  </si>
  <si>
    <t>R-1123 (TRIFLUOROETHYLENE)</t>
  </si>
  <si>
    <t>R-113 (TRICHLOROTRIFLUOROETHANE)</t>
  </si>
  <si>
    <t>R-1131A (CHLOROFLUOROETHYLENE)</t>
  </si>
  <si>
    <t>R-1132A (DIFLUOROETHYLENE)</t>
  </si>
  <si>
    <t>R-113B1 (BROMOTRIFLUOROETHYLENE)</t>
  </si>
  <si>
    <t>R-114 (DICHLOROTETRAFLUOROETHANE)</t>
  </si>
  <si>
    <t>R-115(CHLOROPENTAFLUOROETHANE)</t>
  </si>
  <si>
    <t>R-116 (HEXAFLUOROETHANE)</t>
  </si>
  <si>
    <t>R-12 (DICHLORODIFLUOROMETHANE)</t>
  </si>
  <si>
    <t>R-1211 (BROMOCHLORODIFLUOROMETHANE)</t>
  </si>
  <si>
    <t>R-1216 (HEXAFLUOROPROPYLENE)</t>
  </si>
  <si>
    <t>R-123 (DICHLOROTRIFLUOROETHANE)</t>
  </si>
  <si>
    <t>R-124 (CHLOROTETRAFLUOROETHANE)</t>
  </si>
  <si>
    <t>R-125 (PERFLUOROETHANE)</t>
  </si>
  <si>
    <t>R-12B2 (DIBROMODIFLOUROMETHANE)</t>
  </si>
  <si>
    <t>R-13 (CHLOROTRIFLUORMETHANE)</t>
  </si>
  <si>
    <t>R-1301 (BROMOTRIFLUOROMETHANE)</t>
  </si>
  <si>
    <t>R-132 (DICHLORODIFLUOROETHANE)</t>
  </si>
  <si>
    <t>R-133A (CHLOROTIRFLUOROETHANE)</t>
  </si>
  <si>
    <t>R-134A (TETRAFLUOROETHANE 1,1,1,2)</t>
  </si>
  <si>
    <t>R-13B1 (BROMOTRIFLUOROMETHANE)</t>
  </si>
  <si>
    <t>R-14 (TETRAFLUOROMETHANE)</t>
  </si>
  <si>
    <t>R-141B (1,1 DICHLORO-1-FLUOROETHANE)</t>
  </si>
  <si>
    <t>R-142B (1-CHLORO-1,1-DIFLUOROETHANE)</t>
  </si>
  <si>
    <t>R-143 (TRIFLUOROETHANE)</t>
  </si>
  <si>
    <t>R-152A (1,1-DIFLUOROETHANE)</t>
  </si>
  <si>
    <t>R-161 (FLUOROETHANE)</t>
  </si>
  <si>
    <t>R-21 (DICHLOFLUOROMETHANE)</t>
  </si>
  <si>
    <t>R-212 (HEXACHLORODIFLUOROPROPANE)</t>
  </si>
  <si>
    <t>R-213 (PENTACHLOROTRIFLUOROPROPANE)</t>
  </si>
  <si>
    <t>R-215 (TRICHLOROPENTAFLUOROPROPANE)</t>
  </si>
  <si>
    <t>R-217 (CHLOROHEPTAFLUOROPROPANE)</t>
  </si>
  <si>
    <t>R-218 (OCTAFLUOROPROPANE)</t>
  </si>
  <si>
    <t>R-22 (CHLORODIFLUOROMETHANE)</t>
  </si>
  <si>
    <t>R-23 (TRIFLUOROMETHANE)</t>
  </si>
  <si>
    <t>R-2402 (DIBROMOTETRAFLUOROETHANE)</t>
  </si>
  <si>
    <t>R-318 (PERFLUOROCYCLOBUTANE)</t>
  </si>
  <si>
    <t>R-32 (METHYLENE FLUORIDE)</t>
  </si>
  <si>
    <t>R-40 (METHYL CHLORIDE) (CHLOROMETHANE)</t>
  </si>
  <si>
    <t>R-402A</t>
  </si>
  <si>
    <t>R-404A</t>
  </si>
  <si>
    <t>R-409A</t>
  </si>
  <si>
    <t>R-41 (METHYL FLUORIDE)</t>
  </si>
  <si>
    <t>R-500 (DICHLORODIFLUOROMETHANE &amp; DIFLUOROETHANE)</t>
  </si>
  <si>
    <t>R-502 (R-22 &amp; RR-115 MIX)</t>
  </si>
  <si>
    <t>R-503</t>
  </si>
  <si>
    <t>R-C318 (OCTAFLUOROCYCLOBUTANE)</t>
  </si>
  <si>
    <t>RESMETHRIN IN SOLUTION</t>
  </si>
  <si>
    <t>RHENIUM HEXAFLUORIDE</t>
  </si>
  <si>
    <t>SELECTRIDE-L (LITHIUM TRI-SEC-BUTYL BOROHYDRIDE)</t>
  </si>
  <si>
    <t>SELENIUM CHLORIDE</t>
  </si>
  <si>
    <r>
      <t xml:space="preserve">SELENIUM HEXAFLUORIDE * </t>
    </r>
    <r>
      <rPr>
        <b/>
        <sz val="10"/>
        <color rgb="FFFF0000"/>
        <rFont val="Arial"/>
        <family val="2"/>
      </rPr>
      <t>ZONE A</t>
    </r>
  </si>
  <si>
    <t>SELENIUM OXYCHLORIDE</t>
  </si>
  <si>
    <t>SILANE</t>
  </si>
  <si>
    <t>SILICON TETRABROMIDE</t>
  </si>
  <si>
    <t>SILICON TETRACHLORIDE</t>
  </si>
  <si>
    <t>SILICON TETRAFLUORIDE</t>
  </si>
  <si>
    <t>SILICON TETRAHYDRIDE (SILANE)</t>
  </si>
  <si>
    <t>SODIUM ALUMINUM DIETHYL DIHYDRIDE</t>
  </si>
  <si>
    <t>SODIUM DIETHYLDIHYDROALUMINATE IN TOLUENE</t>
  </si>
  <si>
    <t>SODIUM-POTASSIUM ALLOY</t>
  </si>
  <si>
    <t>STANNIC CHLORIDE</t>
  </si>
  <si>
    <t>STYRENE</t>
  </si>
  <si>
    <t>SULFOTEPP(LETHALAIRE G57)</t>
  </si>
  <si>
    <t>SULFUR CHLORIDE</t>
  </si>
  <si>
    <t>SULFUR CHLOROPENTAFLUORIDE</t>
  </si>
  <si>
    <t>SULFUR DICHLORIDE</t>
  </si>
  <si>
    <t>SULFUR DIOXIDE</t>
  </si>
  <si>
    <t>SULFUR HEXAFLUORIDE</t>
  </si>
  <si>
    <t>SULFUR MONOCHLORIDE</t>
  </si>
  <si>
    <t>SULFUR PENTAFLUORIDE</t>
  </si>
  <si>
    <r>
      <t xml:space="preserve">SULFUR TETRACHLORIDE * </t>
    </r>
    <r>
      <rPr>
        <b/>
        <sz val="10"/>
        <color rgb="FFFF0000"/>
        <rFont val="Arial"/>
        <family val="2"/>
      </rPr>
      <t>ZONE A</t>
    </r>
  </si>
  <si>
    <t>SULFUR TETRAFLUORIDE</t>
  </si>
  <si>
    <t>SULFUR TRIOXIDE</t>
  </si>
  <si>
    <t>SULFURIC ACID</t>
  </si>
  <si>
    <r>
      <t xml:space="preserve">SULFURYL CHLORIDE * </t>
    </r>
    <r>
      <rPr>
        <b/>
        <sz val="10"/>
        <color rgb="FFFF0000"/>
        <rFont val="Arial"/>
        <family val="2"/>
      </rPr>
      <t>ZONE A</t>
    </r>
  </si>
  <si>
    <t>SULFURYL CHLORIDE FLUORIDE</t>
  </si>
  <si>
    <t>SULFURYL FLUORIDE</t>
  </si>
  <si>
    <t xml:space="preserve">TEAR GAS </t>
  </si>
  <si>
    <r>
      <t xml:space="preserve">TELLURIUMHEXAFLUORIDE * </t>
    </r>
    <r>
      <rPr>
        <b/>
        <sz val="10"/>
        <color rgb="FFFF0000"/>
        <rFont val="Arial"/>
        <family val="2"/>
      </rPr>
      <t>ZONE A</t>
    </r>
  </si>
  <si>
    <t>TERT-BUTYL ARSINE</t>
  </si>
  <si>
    <t>TERT-BUTYL FLUORIDE</t>
  </si>
  <si>
    <t>TERT-BUTYL MERCAPTAN</t>
  </si>
  <si>
    <t>TERT-BUTYL PHOSPHINE</t>
  </si>
  <si>
    <t>TERT-DODECYLDISULFIDE</t>
  </si>
  <si>
    <t>TERT-DODECYLMERCAPTAN</t>
  </si>
  <si>
    <t>TERT-HEXADECYLMERCAPTAN</t>
  </si>
  <si>
    <t>TERTIARY BUTYL ARSINE</t>
  </si>
  <si>
    <t>TERT-OCTYLMERCAPTAN</t>
  </si>
  <si>
    <t>TETRA ISOPROPYL TITANATE</t>
  </si>
  <si>
    <t>TETRA-2-ETHYLHEXYLTITANATE</t>
  </si>
  <si>
    <t>TETRACARBONYL NICKEL</t>
  </si>
  <si>
    <t>TETRACHLORODIFLUOROETHANE (R-112)</t>
  </si>
  <si>
    <t>TETRACHLOROETHYLENE</t>
  </si>
  <si>
    <t>TETRACHLOROSILANE</t>
  </si>
  <si>
    <t>TETRAETHYL LEAD</t>
  </si>
  <si>
    <t>TETRAETHYL ORTHOSILICATE</t>
  </si>
  <si>
    <t>TETRAETHYL PYROPHOSPHATE</t>
  </si>
  <si>
    <t>TETRAETHYL TIN</t>
  </si>
  <si>
    <t>TETRAFLUOROBENZENE (FLUOREZE)</t>
  </si>
  <si>
    <t>TETRAFLUOROBENZENE, 1,2,3,5-</t>
  </si>
  <si>
    <t>TETRAFLUOROETHANE 1,1,1,2 (R-134A)</t>
  </si>
  <si>
    <t>TETRAFLUOROETHYLENE</t>
  </si>
  <si>
    <t xml:space="preserve">TETRAFLUOROHYDRAZINE </t>
  </si>
  <si>
    <t>TETRAFLUOROMETHANE (R-14)</t>
  </si>
  <si>
    <t>TETRAFLUOROSILANE</t>
  </si>
  <si>
    <t>TETRAHYDROFURAN</t>
  </si>
  <si>
    <t>TETRAMETHYL METHANE</t>
  </si>
  <si>
    <t>TETRAMETHYL TIN</t>
  </si>
  <si>
    <t>TETRAMETHYLENE</t>
  </si>
  <si>
    <t>TETRAMETHYLETHOXY SILANE</t>
  </si>
  <si>
    <t>TETRAMETHYLMETHANE (NEOPENTANE)</t>
  </si>
  <si>
    <t>TETRAMETHYLSILANE</t>
  </si>
  <si>
    <t>TETRA-N-PROPYL TITANATE</t>
  </si>
  <si>
    <t>TETRA-N-PROPYL ZIRCONATE</t>
  </si>
  <si>
    <t>TETRAPHENYL SILANE</t>
  </si>
  <si>
    <t xml:space="preserve">THIOETHANOL </t>
  </si>
  <si>
    <t>THIOLCYCLOBUTANE</t>
  </si>
  <si>
    <t>THIONYL BROMIDE</t>
  </si>
  <si>
    <t>THIONYL CHLORIDE</t>
  </si>
  <si>
    <t>THIONYL FLUORIDE</t>
  </si>
  <si>
    <t>TIN CHLORIDE</t>
  </si>
  <si>
    <t>TIN DICHLORIDE (STANNOUS CHLORIDE)</t>
  </si>
  <si>
    <t>TIN TETRACHLORIDE</t>
  </si>
  <si>
    <t>TIN TETRACHLORIDE (STANNIC CHLORIDE)</t>
  </si>
  <si>
    <t>TITANIUM TETRABROMIDE</t>
  </si>
  <si>
    <t>TITANIUM TETRACHLORIDE</t>
  </si>
  <si>
    <t>TITANIUM TETRAPROPOXIDE</t>
  </si>
  <si>
    <t>TOLUENE</t>
  </si>
  <si>
    <t>TOLUENE THIOL</t>
  </si>
  <si>
    <t>TRANS-2-BUTENE</t>
  </si>
  <si>
    <t>TRIALLYALUMINUM</t>
  </si>
  <si>
    <t>TRIALLYLARSINE</t>
  </si>
  <si>
    <t>TRIBROMOMETHANE (BROMOFORM)</t>
  </si>
  <si>
    <t>TRIBUTYL ALUMINUM</t>
  </si>
  <si>
    <t>TRIBUTYL BORANE</t>
  </si>
  <si>
    <t>TRIBUTYL BORON</t>
  </si>
  <si>
    <t>TRIBUTYLAMINE</t>
  </si>
  <si>
    <t>TRIBUTYLTIN CHLORIDE</t>
  </si>
  <si>
    <t>TRICHLOROACETYL CHLORIDE</t>
  </si>
  <si>
    <t>TRICHLOROALUMINUM (ALUMINUM TRICHLORIDE)</t>
  </si>
  <si>
    <t>TRICHLOROETHANE</t>
  </si>
  <si>
    <t>TRICHLOROETHYLENE</t>
  </si>
  <si>
    <t>TRICHLOROFLUOROMETHANE (R-11)</t>
  </si>
  <si>
    <t>TRICHLOROMETHANE SULFONYL CHLORIDE</t>
  </si>
  <si>
    <t>TRICHLOROPENTAFLUOROPROPANE (R-215)</t>
  </si>
  <si>
    <t>TRICHLOROPHENYL SILANE</t>
  </si>
  <si>
    <t>TRICHLOROSILANE</t>
  </si>
  <si>
    <t>TRICHLOROTRIFLUOROETHANE (R-113)</t>
  </si>
  <si>
    <t>TRICITRONELLYL ALUMINUM</t>
  </si>
  <si>
    <t>TRIETHYL ALUMINUM</t>
  </si>
  <si>
    <t>TRIETHYL ARSENIC</t>
  </si>
  <si>
    <t>TRIETHYL BORANE</t>
  </si>
  <si>
    <t>TRIETHYL BORON (TRIETHYL BORANE)</t>
  </si>
  <si>
    <t>TRIETHYL GALLIUM</t>
  </si>
  <si>
    <t>TRIETHYL INDIUM</t>
  </si>
  <si>
    <t>TRIETHYL PHOSPHINE</t>
  </si>
  <si>
    <t>TRIETHYLAMINE</t>
  </si>
  <si>
    <t>TRIETHYLOXONIUM TETRAFLUOROBORATE</t>
  </si>
  <si>
    <t>TRIFLUOROACETIC ANHYDRIDE</t>
  </si>
  <si>
    <t>TRIFLUOROACETONE</t>
  </si>
  <si>
    <t>TRIFLUOROACETONITRILE</t>
  </si>
  <si>
    <t>TRIFLUOROACETYL CHLORIDE</t>
  </si>
  <si>
    <t>TRIFLUOROACETYL FLUORIDE</t>
  </si>
  <si>
    <t>TRIFLUOROAMINE (NITROGEN TRIFLUORIDE)</t>
  </si>
  <si>
    <t>TRIFLUOROBROMOMETHANE</t>
  </si>
  <si>
    <t>TRIFLUOROCHLOROETHYLENE (R-1113)</t>
  </si>
  <si>
    <t>TRIFLUOROCYANOMETHANE</t>
  </si>
  <si>
    <t>TRIFLUOROETHANE</t>
  </si>
  <si>
    <t>TRIFLUOROETHYL BROMIDE</t>
  </si>
  <si>
    <t>TRIFLUOROETHYL CHLORIDE, 2,2,2-</t>
  </si>
  <si>
    <t>TRIFLUOROETHYL IODIDE</t>
  </si>
  <si>
    <t>TRIFLUOROETHYLENE (R-1123)</t>
  </si>
  <si>
    <t>TRIFLUOROMETHANE (FLUOROFORM) (R-23)</t>
  </si>
  <si>
    <t>TRIFLUOROMETHANE SULFONYL CHLORIDE</t>
  </si>
  <si>
    <t xml:space="preserve">TRIFLUOROMETHANE SULFONYL FLUORIDE </t>
  </si>
  <si>
    <t>TRIFLUOROMETHYL BROMIDE</t>
  </si>
  <si>
    <t>TRIFLUOROMETHYL BUTYL TELLERIUM</t>
  </si>
  <si>
    <t>TRIFLUOROMETHYL DISULFIDE</t>
  </si>
  <si>
    <t>TRIFLUOROMETHYL HEXAFLUOROPROPANE</t>
  </si>
  <si>
    <r>
      <t xml:space="preserve">TRIFLUOROMETHYL HYDROFUORITE </t>
    </r>
    <r>
      <rPr>
        <b/>
        <sz val="10"/>
        <color rgb="FF0000FF"/>
        <rFont val="Arial"/>
        <family val="2"/>
      </rPr>
      <t>(PHOTOS REQUIRED)</t>
    </r>
  </si>
  <si>
    <r>
      <t xml:space="preserve">TRIFLUOROMETHYL HYPOFLUORITE </t>
    </r>
    <r>
      <rPr>
        <b/>
        <sz val="10"/>
        <color rgb="FF0000FF"/>
        <rFont val="Arial"/>
        <family val="2"/>
      </rPr>
      <t>(PHOTOS REQUIRED)</t>
    </r>
  </si>
  <si>
    <t>TRIFLUOROMETHYL IODIDE</t>
  </si>
  <si>
    <t>TRIFLUOROMETHYL SILANE</t>
  </si>
  <si>
    <t>TRIFLUOROMETHYLPROPENE</t>
  </si>
  <si>
    <t>TRIFLUORONITROSOMETHANE</t>
  </si>
  <si>
    <t>TRIFLUOROPHOSPHINE</t>
  </si>
  <si>
    <t>TRIFLUOROPROPENE</t>
  </si>
  <si>
    <t>TRIFLUOROPROPYNE-3,3,3-</t>
  </si>
  <si>
    <t>TRIHEXYL ALUMINUM</t>
  </si>
  <si>
    <t>TRIISOBUTYL ALUMINUM</t>
  </si>
  <si>
    <t>TRIISOBUTYL BORANE</t>
  </si>
  <si>
    <t>TRIISOBUTYL PHOSPHINE</t>
  </si>
  <si>
    <t>TRIISOHEXYL ALUMINUM</t>
  </si>
  <si>
    <t>TRIISOPROPYLALUMINUM</t>
  </si>
  <si>
    <t>TRIMETHYL ACETYL CHLORIDE</t>
  </si>
  <si>
    <t>TRIMETHYL ALUMINUM</t>
  </si>
  <si>
    <t>TRIMETHYL ANTIMONY</t>
  </si>
  <si>
    <t xml:space="preserve">TRIMETHYL ARSENIC </t>
  </si>
  <si>
    <t>TRIMETHYL ARSINE</t>
  </si>
  <si>
    <t>TRIMETHYL BISMUTH</t>
  </si>
  <si>
    <t>TRIMETHYL BORANE (TRIMETHYL BORON)</t>
  </si>
  <si>
    <t>TRIMETHYL BORATE</t>
  </si>
  <si>
    <t>TRIMETHYL BORON</t>
  </si>
  <si>
    <t>TRIMETHYL BUTOXYSILANE</t>
  </si>
  <si>
    <t>TRIMETHYL ETHOXY SILANE</t>
  </si>
  <si>
    <t>TRIMETHYL GALLIUM</t>
  </si>
  <si>
    <t>TRIMETHYL INDIUM</t>
  </si>
  <si>
    <t>TRIMETHYL METHANE (ISOBUTANE)</t>
  </si>
  <si>
    <t>TRIMETHYL PENTANE</t>
  </si>
  <si>
    <t>TRIMETHYL PHOSPHINE</t>
  </si>
  <si>
    <t>TRIMETHYL PHOSPHITE</t>
  </si>
  <si>
    <t>TRIMETHYL SILANE</t>
  </si>
  <si>
    <t>TRIMETHYL SILYAMIDE</t>
  </si>
  <si>
    <t>TRIMETHYL SILYL CYANIDE</t>
  </si>
  <si>
    <t>TRIMETHYLAMINE</t>
  </si>
  <si>
    <t>TRIMETHYLCHLOROSILANE</t>
  </si>
  <si>
    <t>TRIMETHYLETHOXY SILANE</t>
  </si>
  <si>
    <t>TRIMETHYLFLUOROSILANE</t>
  </si>
  <si>
    <t>TRIMETHYLHEXAMETHYLENE DIISOCYANATE</t>
  </si>
  <si>
    <t>TRI-N-BUTYL ALUMINUM</t>
  </si>
  <si>
    <t>TRI-N-BUTYL ANTIMONITE</t>
  </si>
  <si>
    <t>TRI-N-BUTYL BORANE</t>
  </si>
  <si>
    <t>TRI-N-BUTYL BORON</t>
  </si>
  <si>
    <t>TRI-N-BUTYL PHOSPHINE</t>
  </si>
  <si>
    <t>TRI-N-DECYLALUMINUM</t>
  </si>
  <si>
    <t>TRIOCTYL ALUMINUM</t>
  </si>
  <si>
    <t>TRIPHENYL SILANE</t>
  </si>
  <si>
    <t>TRIPROPYL ALUMINUM</t>
  </si>
  <si>
    <t>TRIS(3,7-DIMETHYL-6-OCTENYL) ALUMINUM</t>
  </si>
  <si>
    <t>TRIS(DIMETHYLAMINO) ARSINE</t>
  </si>
  <si>
    <t>TUNGSTEN BROMIDE</t>
  </si>
  <si>
    <t>TUNGSTEN CARBONYL</t>
  </si>
  <si>
    <t>TUNGSTEN CHLORIDE</t>
  </si>
  <si>
    <t>TUNGSTEN FLUORIDE</t>
  </si>
  <si>
    <t>TUNGSTEN HEXAFLUORIDE</t>
  </si>
  <si>
    <t>UCAT-A CATALYST</t>
  </si>
  <si>
    <t>VANADIUM CHLORIDE (VANADIUM TETRACHLORIDE)</t>
  </si>
  <si>
    <t>VANADIUM OXYTRICHLORIDE</t>
  </si>
  <si>
    <t>VANADIUM PENTAFLUORIDE</t>
  </si>
  <si>
    <t>VANADIUM TETRACHLORIDE</t>
  </si>
  <si>
    <t>VANADIUM TRICHLORIDE</t>
  </si>
  <si>
    <t>VIKANE (SULFURYL FLUORIDE)</t>
  </si>
  <si>
    <t>VINYL ACETATE MONOMER</t>
  </si>
  <si>
    <t>VINYL BROMIDE</t>
  </si>
  <si>
    <t>VINYL CHLORIDE</t>
  </si>
  <si>
    <t>VINYL ETHYLENE</t>
  </si>
  <si>
    <t>VINYL FLUORIDE</t>
  </si>
  <si>
    <t>VINYL LITHIUM</t>
  </si>
  <si>
    <t>VINYL MAGNESIUM BROMIDE</t>
  </si>
  <si>
    <t>VINYL METHYL ETHER</t>
  </si>
  <si>
    <t>VINYLIDENE CHLORIDE</t>
  </si>
  <si>
    <t>VINYLIDENE FLUORIDE</t>
  </si>
  <si>
    <t>WARFARIN</t>
  </si>
  <si>
    <t>XENON</t>
  </si>
  <si>
    <t>XENON DIFLUORIDE</t>
  </si>
  <si>
    <t>XENON HEXAFLUORIDE</t>
  </si>
  <si>
    <t>XENON TETRAFLUORIDE</t>
  </si>
  <si>
    <t>UNIT CLINs:</t>
  </si>
  <si>
    <t>ME = Lecture, M1 = Small, M2 = Medium, M3 = Large</t>
  </si>
  <si>
    <t>Lecture = 3"x 12", Small = 4"x 24", Medium = 12"x 36", Large = 16"x 56"</t>
  </si>
  <si>
    <t>Example: For a small cylinder of Nitrogen gas, use the following CLIN: CY01M1</t>
  </si>
  <si>
    <t>[1] Phosgene requires a leak test prior to shipment per 173.192(c)(3) or requires to be overpacked in a cylinder salvage vessel.</t>
  </si>
  <si>
    <t>[2] Deuterium Bromide requires a photo prior to approval.</t>
  </si>
  <si>
    <t>[3] Hydrogen Bromide requires a photo prior to approval.</t>
  </si>
  <si>
    <t>[4] Phosgene requires a leak test prior to shipment per 173.192 (c)(3) or requires  to be overpacked in a cylinder salvage vessel.</t>
  </si>
  <si>
    <t>LP01C7</t>
  </si>
  <si>
    <t>LP03C7</t>
  </si>
  <si>
    <t>LP04C7</t>
  </si>
  <si>
    <t>LP05C7</t>
  </si>
  <si>
    <t>LP06C7</t>
  </si>
  <si>
    <t>LP07C7</t>
  </si>
  <si>
    <t>LP08C7</t>
  </si>
  <si>
    <t>LP09C7</t>
  </si>
  <si>
    <t>LP16C7</t>
  </si>
  <si>
    <t>V00012837</t>
  </si>
  <si>
    <t>V00012618</t>
  </si>
  <si>
    <t>V00014165</t>
  </si>
  <si>
    <t>V00014516</t>
  </si>
  <si>
    <t>V00014138</t>
  </si>
  <si>
    <t>V00014139</t>
  </si>
  <si>
    <t>V00014964</t>
  </si>
  <si>
    <t>V00014140</t>
  </si>
  <si>
    <t>V00014311</t>
  </si>
  <si>
    <t>1202SV</t>
  </si>
  <si>
    <t>1203SV</t>
  </si>
  <si>
    <t>1204SV</t>
  </si>
  <si>
    <t>1205SV</t>
  </si>
  <si>
    <t>1206SV</t>
  </si>
  <si>
    <t>1207SV</t>
  </si>
  <si>
    <t>V00014752</t>
  </si>
  <si>
    <t>V00014753</t>
  </si>
  <si>
    <t>V00014754</t>
  </si>
  <si>
    <t>V00014755</t>
  </si>
  <si>
    <t>V00014756</t>
  </si>
  <si>
    <t>V00014757</t>
  </si>
  <si>
    <t>Overpack/Loose Pack up to 5-gal Pail</t>
  </si>
  <si>
    <t>Overpack/Loose Pack up to 15-gal Drum</t>
  </si>
  <si>
    <t>Overpack/Loose Pack up to 30-gal Drum</t>
  </si>
  <si>
    <t>Overpack/Loose Pack up to 55-gal Drum</t>
  </si>
  <si>
    <t>Overpack/Loose Pack up to 110-gal Drum</t>
  </si>
  <si>
    <t>Loose Pack up to (1) CYB or Tri-wall Box</t>
  </si>
  <si>
    <t>FL16C7</t>
  </si>
  <si>
    <t>V00014331</t>
  </si>
  <si>
    <t xml:space="preserve">Waste Alkalines, Organic or Inorganic,  pH 12.5 or above &lt;50% in Water, &gt;1% Total Metals, Cr+6 &lt;100 ppm, No Ammonia/Amines. </t>
  </si>
  <si>
    <t>Non-Hazardous Waste, per U.S. regulations.
CLINs identified in this section are Non-HW under U.S. Standards, but may be regulated as IW under GOJ environmental regulations.</t>
  </si>
  <si>
    <t xml:space="preserve">Waste Non-Dispersable/Non-Friable Asbestos,  ACM waste containing &gt;0.1% asbestos by weight, Type II.  GOJ Regulated as IW,  Special Packaging Required. No Free Liquids.  </t>
  </si>
  <si>
    <t xml:space="preserve">Waste Dispersable/Friable Asbestos,  ACM waste containing  &gt; 0.1% Asbestos fibers by weight, Type 1. GOJ Regulated as SHIW. Special Packaging Required. No Free Liquids.  Managed as Regulated. </t>
  </si>
  <si>
    <t>Petroleum contaminated soils, Managed as Non-Regulated. Must required soil manifest per GOJ. See JEGS.</t>
  </si>
  <si>
    <t>Petroleum Contaminated Soils with heavy metals, Managed as Regulated. Must required soil manifest per GOJ. See JEGS.</t>
  </si>
  <si>
    <t>Sludge, Chromium, Hexavalent, &lt;1% Cr+6, Characteristic Liquids, Solids, Sludges.</t>
  </si>
  <si>
    <t>Perform sampling and analysis to determine Waste Characteristics (D001-D043).(See 3.20).</t>
  </si>
  <si>
    <t>NR05B5</t>
  </si>
  <si>
    <t>NR05C7</t>
  </si>
  <si>
    <t>PFAS and AFFF-impacted solids, sludges, and debris, e.g., soil and related debris, gravel, filter media, tank bladders, etc. Incineration. May contain some free liquids. Certificate of Disposal/Destruction Required. See Section 2.4.</t>
  </si>
  <si>
    <t>PFAS and AFFF high-concentrate liquids, pumpable. Unused or more than 10% product by volume. Certificate of Disposal/Destruction Required. See Section 2.4.</t>
  </si>
  <si>
    <t>PFAS and AFFF rinsates and other impacted waters, pumpable, incineration. At least 90% water by volume. Certificate of Disposal/Destruction Required. See Section 2.4.</t>
  </si>
  <si>
    <t>V00012559</t>
  </si>
  <si>
    <t>V00014149</t>
  </si>
  <si>
    <t xml:space="preserve">Toxic Electron Tubes for Demil and Disposal, Intact. </t>
  </si>
  <si>
    <t>1093SV</t>
  </si>
  <si>
    <t>V00014510</t>
  </si>
  <si>
    <t>Surcharge, Less Than Minimum Task Order</t>
  </si>
  <si>
    <r>
      <t xml:space="preserve">Military Items, Demil-Required, Flammable Solids/Liquids/Debris, i.e. CDE Kits, Vials, Filters, PPE, etc. for Treatment and Disposal.  </t>
    </r>
    <r>
      <rPr>
        <b/>
        <i/>
        <sz val="12"/>
        <rFont val="Times New Roman"/>
        <family val="1"/>
      </rPr>
      <t>Certificate of Disposal/Destruction maybe Required.</t>
    </r>
    <r>
      <rPr>
        <sz val="12"/>
        <rFont val="Times New Roman"/>
        <family val="1"/>
      </rPr>
      <t xml:space="preserve"> </t>
    </r>
  </si>
  <si>
    <r>
      <t xml:space="preserve">Compressed gas cylinders, Inert, Graded Breathing Air, Non-Flammable Gases, May include fire extinguishers, </t>
    </r>
    <r>
      <rPr>
        <b/>
        <sz val="12"/>
        <rFont val="Times New Roman"/>
        <family val="1"/>
      </rPr>
      <t>No Halon</t>
    </r>
  </si>
  <si>
    <r>
      <t xml:space="preserve">Military Items, Demil-Required, Reactive, Solids/Liquids/Debris, e.g., CDE Kits, Vials, Filters, PPE, etc. (No Batteries) for Conventional RCRA Treatment and Disposal.  </t>
    </r>
    <r>
      <rPr>
        <b/>
        <i/>
        <sz val="12"/>
        <rFont val="Times New Roman"/>
        <family val="1"/>
      </rPr>
      <t>Certificate of Disposal/Destruction maybe Required.</t>
    </r>
  </si>
  <si>
    <r>
      <t xml:space="preserve">Military Items, Demil-required, Toxic, i.e. CDE Kits, Tents, Filters, PPE, etc.  </t>
    </r>
    <r>
      <rPr>
        <b/>
        <i/>
        <sz val="12"/>
        <color theme="1"/>
        <rFont val="Times New Roman"/>
        <family val="1"/>
      </rPr>
      <t>Certificate of Disposal/Destruction maybe Required.</t>
    </r>
  </si>
  <si>
    <t>PR# 26-BE-038 Iwakuni Japan HW Disposal Contract Renewal Price Schedule v04.28.2026</t>
  </si>
  <si>
    <t xml:space="preserve">Non-Regulated Liquids/Sludges/Solids/Debris, requiring solidification prior to disposal. Includes bulk liquids not meeting acceptance criteria for wastewater treatment (WWT). May include non-PCB oil-filled transformers, ballasts, capacitors and related equipment, per Section 3.16.
</t>
  </si>
  <si>
    <t xml:space="preserve">Non-Regulated Liquids/Solids/Sludges/Debris, for Incineration.  
</t>
  </si>
  <si>
    <t xml:space="preserve">Non-Regulated Military Articles, Demil-Required, i.e. Boots, Gloves, CDE Kits, Filters, Masks, MOPP Suits, etc. for incineration.  Certificate of Disposal/Destruction Required. No Uniforms. 
</t>
  </si>
  <si>
    <t xml:space="preserve">Sludge, Lithium Iron Disulfide (Li2FeS2) Thermal Batteries, Demil-required; Certificate of Disposal or Recycling required.                                                                                                                                                </t>
  </si>
  <si>
    <r>
      <t xml:space="preserve">Sludge, </t>
    </r>
    <r>
      <rPr>
        <b/>
        <sz val="12"/>
        <color theme="1"/>
        <rFont val="Times New Roman"/>
        <family val="1"/>
      </rPr>
      <t>Lithium Alloy</t>
    </r>
    <r>
      <rPr>
        <sz val="12"/>
        <color theme="1"/>
        <rFont val="Times New Roman"/>
        <family val="1"/>
      </rPr>
      <t xml:space="preserve"> Thermal Batteries, for Contractor's choice of Recycling or Disposal                                                                                                                             </t>
    </r>
  </si>
  <si>
    <t xml:space="preserve">Waste Ammonia/Amines, Organic/Inorganic, Liquids/ Sludges/Solids/Debris, FP ≥ 158°F.                                                              </t>
  </si>
  <si>
    <t xml:space="preserve">Cylinders, Propane, Camping
</t>
  </si>
  <si>
    <t xml:space="preserve">Cartridges, Flammable Gas, AVGAS, Gas/Diesel Starting, for Disposal/Recycle.  Diameter up to 3", Length up to 10".
</t>
  </si>
  <si>
    <t xml:space="preserve">Industrial Waste, Flammable, Combustible, Liquids/Solids/Sludges/Debris, e.g., ordinary industrial waste, sludge, absorbents, lubricants, adhesives, rags, filters, PPE, non-reactive paint waste with isocyanates, Managed as IW/Regulated.                                                                               </t>
  </si>
  <si>
    <t xml:space="preserve">Waste Flammable and Corrosive Liquids/Solids/Sludges/Debris, pH 2.1 - 12.4, Contaminated with Volatile Organic Compounds, (VOC) and other halogentated solvents.  Managed as Regulated.
</t>
  </si>
  <si>
    <t xml:space="preserve">Waste Oil, Flammable Liquids Only, Pumpable for waste to energy or fuels blending, May include JEGS or GOJ designated hazardous substances. Managed as Regulated.                                                                                                              </t>
  </si>
  <si>
    <t xml:space="preserve">Sludge, Flammable, Liquids, Solids/Sludges containing Highly Chlorinated (&gt;10%) and Halogenated solvents, Insecticides, Herbicides, Fungicides and Pesticides.  JEGS or GOJ Regulated, No PCBs, Dioxins, Furans, or Precursors. Managed as Regulated.                                                                </t>
  </si>
  <si>
    <t xml:space="preserve">Sludge, Non-Reactive paints and other coatings listing isocyanates, polymerizable amines, or other polymerizable components in the ingredients. Non-fuels blendable, for mandatory incineration. Listed. Use LP16 for loose packs.
</t>
  </si>
  <si>
    <t xml:space="preserve">Lab Packs/Loose Packs, Corrosives, Organic or Inorganic, Liquids or Solids, Non-Flammable.
</t>
  </si>
  <si>
    <t xml:space="preserve">Lab Packs/Loose Packs, Flammables and Flammable Corrosives, other than paints and paint-related materials eligible for LP14, for mandatroy incineration
</t>
  </si>
  <si>
    <t xml:space="preserve">Lab Packs/Loose Packs, Non-Regulated, other than paints eligible for LP15, includes pharmaceuticals.
</t>
  </si>
  <si>
    <t xml:space="preserve">Lab Packs/Loose Packs, Non-Reactive Oxidizers.
</t>
  </si>
  <si>
    <t xml:space="preserve">Lab Packs/Loose Packs, Reactive Oxidizers, including Organic Peroxides, for mandatory incineration. Special packaging may be required.
</t>
  </si>
  <si>
    <t xml:space="preserve">Lab Packs/Loose Packs, Reactive Metals, Wet/Dry, includes Broken Sodium Lamps, MRE heaters, E-cigarettes and associated components and residues. Special packaging may be required.
</t>
  </si>
  <si>
    <t xml:space="preserve">Lab Packs/Loose Packs, Reactives, Non-Metals, Non-Oxidizing, for mandatory incineration. Generator special packaging may be required.
</t>
  </si>
  <si>
    <t xml:space="preserve">Lab Packs/Loose Packs, Toxic Metals.
</t>
  </si>
  <si>
    <t xml:space="preserve">Loose-Packed Paints and Paint-Related Materials, Primarily Oil/Petroleum-Based, &gt;7,000 BTU/Lb, No Isocyanates. May contain &lt;50% Latex paints. 
</t>
  </si>
  <si>
    <t xml:space="preserve">Loose-Packed Paints and Paint-Related Materials, Water-Based/Latex
</t>
  </si>
  <si>
    <t xml:space="preserve">Loose-Packed Paints. Non-Reactive paints and other coatings listing isocyanates in the ingredients. 
</t>
  </si>
  <si>
    <t xml:space="preserve">Antifreeze, Used and Unused for Recycling or Fuels Blending. 
</t>
  </si>
  <si>
    <t xml:space="preserve">Used Oil Filters, Drained and Undrained, and/Fully Drained Fuel Filters
</t>
  </si>
  <si>
    <r>
      <t xml:space="preserve">Compressed Gas Description                          </t>
    </r>
    <r>
      <rPr>
        <sz val="12"/>
        <color theme="1"/>
        <rFont val="Arial"/>
        <family val="2"/>
      </rPr>
      <t>v</t>
    </r>
    <r>
      <rPr>
        <b/>
        <sz val="8"/>
        <color theme="1"/>
        <rFont val="Arial"/>
        <family val="2"/>
      </rPr>
      <t xml:space="preserve">.7, 4/22/2026          </t>
    </r>
  </si>
  <si>
    <t xml:space="preserve">BROMOPENTAFLUOROBENZENE </t>
  </si>
  <si>
    <t>DIESEL STARTING CANNISTER</t>
  </si>
  <si>
    <t>CY20</t>
  </si>
  <si>
    <t>FIRE EXTINGUISHER, CARBON DIOXIDE (CO2)</t>
  </si>
  <si>
    <t>CY01/CY16</t>
  </si>
  <si>
    <t>FIRE EXTINGUISHER, DRY CHEMICAL INCLUDING ABC, PURPLE K</t>
  </si>
  <si>
    <t>CY01/CY17</t>
  </si>
  <si>
    <t>FIRE EXTINGUISHER, NITROGEN GAS ONLY</t>
  </si>
  <si>
    <t>CY18</t>
  </si>
  <si>
    <r>
      <t xml:space="preserve">FLUORINE * </t>
    </r>
    <r>
      <rPr>
        <b/>
        <sz val="10"/>
        <color rgb="FFFF0000"/>
        <rFont val="Arial"/>
        <family val="2"/>
      </rPr>
      <t>ZONE A</t>
    </r>
  </si>
  <si>
    <t>LPG (Liquefied Petroleum Gas)</t>
  </si>
  <si>
    <t>NITROGEN FIRE EXTINGUISHER</t>
  </si>
  <si>
    <t>PETROLEUM GASES, LIQUEFIED (LPG)</t>
  </si>
  <si>
    <t>PROPANE CARTRIDGE</t>
  </si>
  <si>
    <t>PROPANE, THREADED CANISTER, CAMPING SIZE</t>
  </si>
  <si>
    <t>CY19</t>
  </si>
  <si>
    <t>TRIFLUOROMETHYL BENZENE, 1,3,5-TRIS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</si>
</sst>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¥-411]* #,##0.00_-;\-[$¥-411]* #,##0.00_-;_-[$¥-411]* &quot;-&quot;??_-;_-@_-"/>
    <numFmt numFmtId="165" formatCode="[$-409]mmm\-yy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Calibri"/>
      <family val="2"/>
    </font>
    <font>
      <vertAlign val="superscript"/>
      <sz val="12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i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165" fontId="1" fillId="0" borderId="0"/>
    <xf numFmtId="165" fontId="10" fillId="0" borderId="0" applyNumberFormat="0" applyFill="0" applyBorder="0" applyAlignment="0" applyProtection="0"/>
    <xf numFmtId="0" fontId="1" fillId="0" borderId="0"/>
    <xf numFmtId="165" fontId="1" fillId="0" borderId="0"/>
  </cellStyleXfs>
  <cellXfs count="122">
    <xf numFmtId="0" fontId="0" fillId="0" borderId="0" xfId="0"/>
    <xf numFmtId="165" fontId="5" fillId="0" borderId="0" xfId="5" applyFont="1"/>
    <xf numFmtId="165" fontId="1" fillId="0" borderId="0" xfId="5"/>
    <xf numFmtId="165" fontId="3" fillId="9" borderId="5" xfId="5" applyFont="1" applyFill="1" applyBorder="1" applyAlignment="1">
      <alignment horizontal="left" vertical="top" wrapText="1"/>
    </xf>
    <xf numFmtId="1" fontId="3" fillId="9" borderId="10" xfId="5" applyNumberFormat="1" applyFont="1" applyFill="1" applyBorder="1" applyAlignment="1">
      <alignment horizontal="center" vertical="top" wrapText="1"/>
    </xf>
    <xf numFmtId="1" fontId="3" fillId="9" borderId="11" xfId="5" applyNumberFormat="1" applyFont="1" applyFill="1" applyBorder="1" applyAlignment="1">
      <alignment horizontal="center" vertical="top" wrapText="1"/>
    </xf>
    <xf numFmtId="1" fontId="3" fillId="9" borderId="12" xfId="5" applyNumberFormat="1" applyFont="1" applyFill="1" applyBorder="1" applyAlignment="1">
      <alignment horizontal="center" vertical="top" wrapText="1"/>
    </xf>
    <xf numFmtId="165" fontId="3" fillId="0" borderId="13" xfId="5" applyFont="1" applyBorder="1" applyAlignment="1">
      <alignment horizontal="left" vertical="top" wrapText="1"/>
    </xf>
    <xf numFmtId="1" fontId="3" fillId="0" borderId="6" xfId="5" applyNumberFormat="1" applyFont="1" applyBorder="1" applyAlignment="1">
      <alignment horizontal="center" vertical="top" wrapText="1"/>
    </xf>
    <xf numFmtId="1" fontId="3" fillId="0" borderId="14" xfId="5" applyNumberFormat="1" applyFont="1" applyBorder="1" applyAlignment="1">
      <alignment horizontal="center" vertical="top" wrapText="1"/>
    </xf>
    <xf numFmtId="165" fontId="3" fillId="0" borderId="15" xfId="5" applyFont="1" applyBorder="1" applyAlignment="1">
      <alignment horizontal="left" vertical="top" wrapText="1"/>
    </xf>
    <xf numFmtId="1" fontId="3" fillId="0" borderId="16" xfId="5" applyNumberFormat="1" applyFont="1" applyBorder="1" applyAlignment="1">
      <alignment horizontal="center" vertical="top" wrapText="1"/>
    </xf>
    <xf numFmtId="1" fontId="3" fillId="0" borderId="17" xfId="5" applyNumberFormat="1" applyFont="1" applyBorder="1" applyAlignment="1">
      <alignment horizontal="center" vertical="top" wrapText="1"/>
    </xf>
    <xf numFmtId="1" fontId="3" fillId="0" borderId="18" xfId="5" applyNumberFormat="1" applyFont="1" applyBorder="1" applyAlignment="1">
      <alignment horizontal="center" vertical="top" wrapText="1"/>
    </xf>
    <xf numFmtId="165" fontId="3" fillId="0" borderId="4" xfId="5" applyFont="1" applyBorder="1" applyAlignment="1">
      <alignment horizontal="center" vertical="top" wrapText="1"/>
    </xf>
    <xf numFmtId="165" fontId="3" fillId="0" borderId="19" xfId="5" applyFont="1" applyBorder="1" applyAlignment="1">
      <alignment horizontal="center" vertical="top" wrapText="1"/>
    </xf>
    <xf numFmtId="165" fontId="3" fillId="0" borderId="17" xfId="5" applyFont="1" applyBorder="1" applyAlignment="1">
      <alignment horizontal="center" vertical="top" wrapText="1"/>
    </xf>
    <xf numFmtId="165" fontId="3" fillId="0" borderId="18" xfId="5" applyFont="1" applyBorder="1" applyAlignment="1">
      <alignment horizontal="center" vertical="top" wrapText="1"/>
    </xf>
    <xf numFmtId="165" fontId="0" fillId="5" borderId="0" xfId="5" applyFont="1" applyFill="1" applyAlignment="1">
      <alignment horizontal="left" vertical="top"/>
    </xf>
    <xf numFmtId="165" fontId="3" fillId="0" borderId="6" xfId="5" applyFont="1" applyBorder="1" applyAlignment="1">
      <alignment horizontal="center" vertical="top" wrapText="1"/>
    </xf>
    <xf numFmtId="165" fontId="3" fillId="0" borderId="15" xfId="5" applyFont="1" applyBorder="1" applyAlignment="1">
      <alignment horizontal="left" vertical="center"/>
    </xf>
    <xf numFmtId="165" fontId="3" fillId="0" borderId="16" xfId="5" applyFont="1" applyBorder="1" applyAlignment="1">
      <alignment horizontal="center" vertical="center" wrapText="1"/>
    </xf>
    <xf numFmtId="165" fontId="3" fillId="0" borderId="17" xfId="5" applyFont="1" applyBorder="1" applyAlignment="1">
      <alignment horizontal="center" vertical="center" wrapText="1"/>
    </xf>
    <xf numFmtId="165" fontId="3" fillId="0" borderId="18" xfId="5" applyFont="1" applyBorder="1" applyAlignment="1">
      <alignment horizontal="center" vertical="center" wrapText="1"/>
    </xf>
    <xf numFmtId="165" fontId="3" fillId="9" borderId="10" xfId="5" applyFont="1" applyFill="1" applyBorder="1" applyAlignment="1">
      <alignment horizontal="center" vertical="top" wrapText="1"/>
    </xf>
    <xf numFmtId="165" fontId="3" fillId="9" borderId="11" xfId="5" applyFont="1" applyFill="1" applyBorder="1" applyAlignment="1">
      <alignment horizontal="center" vertical="top" wrapText="1"/>
    </xf>
    <xf numFmtId="165" fontId="3" fillId="9" borderId="12" xfId="5" applyFont="1" applyFill="1" applyBorder="1" applyAlignment="1">
      <alignment horizontal="center" vertical="top" wrapText="1"/>
    </xf>
    <xf numFmtId="165" fontId="3" fillId="0" borderId="27" xfId="5" applyFont="1" applyBorder="1" applyAlignment="1">
      <alignment horizontal="center" vertical="center" wrapText="1"/>
    </xf>
    <xf numFmtId="165" fontId="3" fillId="0" borderId="1" xfId="5" applyFont="1" applyBorder="1" applyAlignment="1">
      <alignment horizontal="center" vertical="center" wrapText="1"/>
    </xf>
    <xf numFmtId="165" fontId="3" fillId="0" borderId="28" xfId="5" applyFont="1" applyBorder="1" applyAlignment="1">
      <alignment horizontal="center" vertical="center" wrapText="1"/>
    </xf>
    <xf numFmtId="165" fontId="3" fillId="0" borderId="26" xfId="5" applyFont="1" applyBorder="1" applyAlignment="1">
      <alignment horizontal="left" vertical="center"/>
    </xf>
    <xf numFmtId="165" fontId="3" fillId="0" borderId="29" xfId="5" applyFont="1" applyBorder="1" applyAlignment="1">
      <alignment horizontal="left" vertical="top"/>
    </xf>
    <xf numFmtId="165" fontId="3" fillId="9" borderId="5" xfId="5" applyFont="1" applyFill="1" applyBorder="1" applyAlignment="1">
      <alignment horizontal="right" vertical="top" wrapText="1"/>
    </xf>
    <xf numFmtId="165" fontId="3" fillId="9" borderId="32" xfId="5" applyFont="1" applyFill="1" applyBorder="1" applyAlignment="1">
      <alignment horizontal="center" vertical="top" wrapText="1"/>
    </xf>
    <xf numFmtId="165" fontId="3" fillId="0" borderId="13" xfId="5" applyFont="1" applyBorder="1" applyAlignment="1">
      <alignment vertical="top" wrapText="1"/>
    </xf>
    <xf numFmtId="165" fontId="4" fillId="0" borderId="33" xfId="5" applyFont="1" applyBorder="1" applyAlignment="1">
      <alignment horizontal="center" vertical="top" wrapText="1"/>
    </xf>
    <xf numFmtId="165" fontId="4" fillId="0" borderId="4" xfId="5" applyFont="1" applyBorder="1" applyAlignment="1">
      <alignment horizontal="center" vertical="top" wrapText="1"/>
    </xf>
    <xf numFmtId="165" fontId="4" fillId="0" borderId="19" xfId="5" applyFont="1" applyBorder="1" applyAlignment="1">
      <alignment horizontal="center" vertical="top" wrapText="1"/>
    </xf>
    <xf numFmtId="165" fontId="3" fillId="0" borderId="26" xfId="5" applyFont="1" applyBorder="1" applyAlignment="1">
      <alignment vertical="center"/>
    </xf>
    <xf numFmtId="165" fontId="3" fillId="0" borderId="15" xfId="5" applyFont="1" applyBorder="1" applyAlignment="1">
      <alignment vertical="top" wrapText="1"/>
    </xf>
    <xf numFmtId="165" fontId="4" fillId="0" borderId="34" xfId="5" applyFont="1" applyBorder="1" applyAlignment="1">
      <alignment horizontal="center" vertical="top" wrapText="1"/>
    </xf>
    <xf numFmtId="165" fontId="4" fillId="0" borderId="17" xfId="5" applyFont="1" applyBorder="1" applyAlignment="1">
      <alignment horizontal="center" vertical="top" wrapText="1"/>
    </xf>
    <xf numFmtId="165" fontId="4" fillId="0" borderId="18" xfId="5" applyFont="1" applyBorder="1" applyAlignment="1">
      <alignment horizontal="center" vertical="top" wrapText="1"/>
    </xf>
    <xf numFmtId="165" fontId="3" fillId="0" borderId="13" xfId="5" applyFont="1" applyBorder="1" applyAlignment="1">
      <alignment horizontal="left" vertical="top"/>
    </xf>
    <xf numFmtId="165" fontId="3" fillId="0" borderId="33" xfId="5" applyFont="1" applyBorder="1" applyAlignment="1">
      <alignment horizontal="center" vertical="top" wrapText="1"/>
    </xf>
    <xf numFmtId="165" fontId="3" fillId="0" borderId="27" xfId="5" applyFont="1" applyBorder="1" applyAlignment="1">
      <alignment horizontal="center" vertical="top" wrapText="1"/>
    </xf>
    <xf numFmtId="165" fontId="3" fillId="0" borderId="1" xfId="5" applyFont="1" applyBorder="1" applyAlignment="1">
      <alignment horizontal="center" vertical="top" wrapText="1"/>
    </xf>
    <xf numFmtId="165" fontId="3" fillId="0" borderId="28" xfId="5" applyFont="1" applyBorder="1" applyAlignment="1">
      <alignment horizontal="center" vertical="top"/>
    </xf>
    <xf numFmtId="165" fontId="3" fillId="0" borderId="26" xfId="5" applyFont="1" applyBorder="1" applyAlignment="1">
      <alignment horizontal="left" vertical="top" wrapText="1"/>
    </xf>
    <xf numFmtId="1" fontId="3" fillId="0" borderId="27" xfId="5" applyNumberFormat="1" applyFont="1" applyBorder="1" applyAlignment="1">
      <alignment horizontal="center" vertical="top" wrapText="1"/>
    </xf>
    <xf numFmtId="1" fontId="3" fillId="0" borderId="3" xfId="5" applyNumberFormat="1" applyFont="1" applyBorder="1" applyAlignment="1">
      <alignment horizontal="center" vertical="top" wrapText="1"/>
    </xf>
    <xf numFmtId="1" fontId="3" fillId="0" borderId="35" xfId="5" applyNumberFormat="1" applyFont="1" applyBorder="1" applyAlignment="1">
      <alignment horizontal="center" vertical="top" wrapText="1"/>
    </xf>
    <xf numFmtId="165" fontId="4" fillId="5" borderId="0" xfId="5" applyFont="1" applyFill="1"/>
    <xf numFmtId="165" fontId="3" fillId="0" borderId="13" xfId="5" applyFont="1" applyBorder="1" applyAlignment="1">
      <alignment horizontal="left" vertical="center"/>
    </xf>
    <xf numFmtId="165" fontId="3" fillId="0" borderId="6" xfId="5" applyFont="1" applyBorder="1" applyAlignment="1">
      <alignment horizontal="center" vertical="center" wrapText="1"/>
    </xf>
    <xf numFmtId="165" fontId="3" fillId="0" borderId="4" xfId="5" applyFont="1" applyBorder="1" applyAlignment="1">
      <alignment horizontal="center" vertical="center" wrapText="1"/>
    </xf>
    <xf numFmtId="165" fontId="3" fillId="0" borderId="19" xfId="5" applyFont="1" applyBorder="1" applyAlignment="1">
      <alignment horizontal="center" vertical="center" wrapText="1"/>
    </xf>
    <xf numFmtId="165" fontId="3" fillId="0" borderId="3" xfId="5" applyFont="1" applyBorder="1" applyAlignment="1">
      <alignment horizontal="center" vertical="top" wrapText="1"/>
    </xf>
    <xf numFmtId="165" fontId="3" fillId="0" borderId="28" xfId="5" applyFont="1" applyBorder="1" applyAlignment="1">
      <alignment horizontal="center" vertical="top" wrapText="1"/>
    </xf>
    <xf numFmtId="165" fontId="3" fillId="0" borderId="16" xfId="5" applyFont="1" applyBorder="1" applyAlignment="1">
      <alignment horizontal="center" vertical="top" wrapText="1"/>
    </xf>
    <xf numFmtId="165" fontId="10" fillId="0" borderId="36" xfId="6" applyBorder="1" applyAlignment="1">
      <alignment vertical="center"/>
    </xf>
    <xf numFmtId="165" fontId="10" fillId="0" borderId="0" xfId="6" applyAlignment="1">
      <alignment vertical="center"/>
    </xf>
    <xf numFmtId="0" fontId="21" fillId="0" borderId="1" xfId="1" applyNumberFormat="1" applyFont="1" applyFill="1" applyBorder="1" applyAlignment="1">
      <alignment horizontal="center" vertical="center" wrapText="1"/>
    </xf>
    <xf numFmtId="0" fontId="22" fillId="3" borderId="1" xfId="4" applyFont="1" applyFill="1" applyBorder="1" applyAlignment="1">
      <alignment horizontal="center" vertical="center"/>
    </xf>
    <xf numFmtId="0" fontId="23" fillId="0" borderId="0" xfId="4" applyFont="1"/>
    <xf numFmtId="0" fontId="22" fillId="3" borderId="1" xfId="4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center" wrapText="1"/>
    </xf>
    <xf numFmtId="164" fontId="21" fillId="0" borderId="1" xfId="2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5" borderId="1" xfId="0" applyFont="1" applyFill="1" applyBorder="1" applyAlignment="1">
      <alignment horizontal="left" vertical="top" wrapText="1"/>
    </xf>
    <xf numFmtId="0" fontId="21" fillId="0" borderId="1" xfId="3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3" fillId="5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vertical="top" wrapText="1"/>
    </xf>
    <xf numFmtId="0" fontId="21" fillId="1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top" wrapText="1"/>
    </xf>
    <xf numFmtId="0" fontId="23" fillId="0" borderId="0" xfId="4" applyFont="1" applyAlignment="1">
      <alignment horizontal="center" vertical="center"/>
    </xf>
    <xf numFmtId="0" fontId="23" fillId="0" borderId="0" xfId="4" applyFont="1" applyAlignment="1">
      <alignment horizontal="right"/>
    </xf>
    <xf numFmtId="44" fontId="25" fillId="7" borderId="1" xfId="2" applyFont="1" applyFill="1" applyBorder="1" applyAlignment="1">
      <alignment horizontal="center" vertical="center"/>
    </xf>
    <xf numFmtId="164" fontId="22" fillId="0" borderId="1" xfId="2" applyNumberFormat="1" applyFont="1" applyFill="1" applyBorder="1" applyAlignment="1">
      <alignment horizontal="center" vertical="center"/>
    </xf>
    <xf numFmtId="0" fontId="23" fillId="0" borderId="0" xfId="0" applyFont="1"/>
    <xf numFmtId="0" fontId="22" fillId="3" borderId="1" xfId="4" applyFont="1" applyFill="1" applyBorder="1" applyAlignment="1">
      <alignment horizontal="center" vertical="center"/>
    </xf>
    <xf numFmtId="0" fontId="22" fillId="3" borderId="1" xfId="4" applyFont="1" applyFill="1" applyBorder="1" applyAlignment="1">
      <alignment horizontal="center" vertical="center" wrapText="1"/>
    </xf>
    <xf numFmtId="165" fontId="3" fillId="5" borderId="7" xfId="5" applyFont="1" applyFill="1" applyBorder="1" applyAlignment="1">
      <alignment horizontal="center"/>
    </xf>
    <xf numFmtId="165" fontId="3" fillId="5" borderId="8" xfId="5" applyFont="1" applyFill="1" applyBorder="1" applyAlignment="1">
      <alignment horizontal="center"/>
    </xf>
    <xf numFmtId="165" fontId="3" fillId="5" borderId="9" xfId="5" applyFont="1" applyFill="1" applyBorder="1" applyAlignment="1">
      <alignment horizontal="center"/>
    </xf>
    <xf numFmtId="165" fontId="3" fillId="8" borderId="7" xfId="5" applyFont="1" applyFill="1" applyBorder="1" applyAlignment="1">
      <alignment horizontal="center" vertical="center"/>
    </xf>
    <xf numFmtId="165" fontId="3" fillId="8" borderId="8" xfId="5" applyFont="1" applyFill="1" applyBorder="1" applyAlignment="1">
      <alignment horizontal="center" vertical="center"/>
    </xf>
    <xf numFmtId="165" fontId="3" fillId="8" borderId="9" xfId="5" applyFont="1" applyFill="1" applyBorder="1" applyAlignment="1">
      <alignment horizontal="center" vertical="center"/>
    </xf>
    <xf numFmtId="165" fontId="3" fillId="8" borderId="20" xfId="5" applyFont="1" applyFill="1" applyBorder="1" applyAlignment="1">
      <alignment horizontal="center" vertical="center"/>
    </xf>
    <xf numFmtId="165" fontId="3" fillId="8" borderId="21" xfId="5" applyFont="1" applyFill="1" applyBorder="1" applyAlignment="1">
      <alignment horizontal="center" vertical="center"/>
    </xf>
    <xf numFmtId="165" fontId="3" fillId="8" borderId="22" xfId="5" applyFont="1" applyFill="1" applyBorder="1" applyAlignment="1">
      <alignment horizontal="center" vertical="center"/>
    </xf>
    <xf numFmtId="165" fontId="3" fillId="0" borderId="13" xfId="5" applyFont="1" applyBorder="1" applyAlignment="1">
      <alignment horizontal="left" vertical="top" wrapText="1"/>
    </xf>
    <xf numFmtId="165" fontId="3" fillId="0" borderId="26" xfId="5" applyFont="1" applyBorder="1" applyAlignment="1">
      <alignment horizontal="left" vertical="top" wrapText="1"/>
    </xf>
    <xf numFmtId="165" fontId="4" fillId="0" borderId="23" xfId="5" applyFont="1" applyBorder="1" applyAlignment="1">
      <alignment horizontal="center" vertical="center" wrapText="1"/>
    </xf>
    <xf numFmtId="165" fontId="4" fillId="0" borderId="24" xfId="5" applyFont="1" applyBorder="1" applyAlignment="1">
      <alignment horizontal="center" vertical="center" wrapText="1"/>
    </xf>
    <xf numFmtId="165" fontId="4" fillId="0" borderId="25" xfId="5" applyFont="1" applyBorder="1" applyAlignment="1">
      <alignment horizontal="center" vertical="center" wrapText="1"/>
    </xf>
    <xf numFmtId="165" fontId="1" fillId="0" borderId="30" xfId="5" applyBorder="1" applyAlignment="1">
      <alignment horizontal="center" vertical="top" wrapText="1"/>
    </xf>
    <xf numFmtId="165" fontId="1" fillId="0" borderId="2" xfId="5" applyBorder="1" applyAlignment="1">
      <alignment horizontal="center" vertical="top" wrapText="1"/>
    </xf>
    <xf numFmtId="165" fontId="1" fillId="0" borderId="31" xfId="5" applyBorder="1" applyAlignment="1">
      <alignment horizontal="center" vertical="top" wrapText="1"/>
    </xf>
    <xf numFmtId="1" fontId="4" fillId="0" borderId="34" xfId="5" applyNumberFormat="1" applyFont="1" applyBorder="1" applyAlignment="1">
      <alignment horizontal="center" vertical="top" wrapText="1"/>
    </xf>
    <xf numFmtId="1" fontId="4" fillId="0" borderId="17" xfId="5" applyNumberFormat="1" applyFont="1" applyBorder="1" applyAlignment="1">
      <alignment horizontal="center" vertical="top" wrapText="1"/>
    </xf>
    <xf numFmtId="1" fontId="4" fillId="0" borderId="18" xfId="5" applyNumberFormat="1" applyFont="1" applyBorder="1" applyAlignment="1">
      <alignment horizontal="center" vertical="top" wrapText="1"/>
    </xf>
    <xf numFmtId="165" fontId="3" fillId="8" borderId="7" xfId="5" applyFont="1" applyFill="1" applyBorder="1" applyAlignment="1">
      <alignment horizontal="center"/>
    </xf>
    <xf numFmtId="165" fontId="3" fillId="8" borderId="8" xfId="5" applyFont="1" applyFill="1" applyBorder="1" applyAlignment="1">
      <alignment horizontal="center"/>
    </xf>
    <xf numFmtId="165" fontId="3" fillId="8" borderId="9" xfId="5" applyFont="1" applyFill="1" applyBorder="1" applyAlignment="1">
      <alignment horizontal="center"/>
    </xf>
    <xf numFmtId="165" fontId="9" fillId="0" borderId="0" xfId="5" applyFont="1" applyAlignment="1">
      <alignment horizontal="left"/>
    </xf>
    <xf numFmtId="165" fontId="10" fillId="0" borderId="0" xfId="6" applyAlignment="1">
      <alignment horizontal="left" vertical="center" wrapText="1"/>
    </xf>
    <xf numFmtId="165" fontId="11" fillId="4" borderId="5" xfId="8" applyFont="1" applyFill="1" applyBorder="1" applyAlignment="1">
      <alignment horizontal="left" vertical="center"/>
    </xf>
    <xf numFmtId="165" fontId="11" fillId="4" borderId="9" xfId="8" applyFont="1" applyFill="1" applyBorder="1" applyAlignment="1">
      <alignment horizontal="center" vertical="center"/>
    </xf>
    <xf numFmtId="165" fontId="1" fillId="0" borderId="0" xfId="8"/>
    <xf numFmtId="165" fontId="14" fillId="0" borderId="36" xfId="8" applyFont="1" applyBorder="1" applyAlignment="1">
      <alignment vertical="center"/>
    </xf>
    <xf numFmtId="165" fontId="14" fillId="0" borderId="37" xfId="8" applyFont="1" applyBorder="1" applyAlignment="1">
      <alignment horizontal="center" vertical="center"/>
    </xf>
    <xf numFmtId="165" fontId="1" fillId="0" borderId="37" xfId="8" applyBorder="1"/>
    <xf numFmtId="165" fontId="14" fillId="4" borderId="36" xfId="8" applyFont="1" applyFill="1" applyBorder="1" applyAlignment="1">
      <alignment vertical="center"/>
    </xf>
    <xf numFmtId="165" fontId="14" fillId="4" borderId="37" xfId="8" applyFont="1" applyFill="1" applyBorder="1" applyAlignment="1">
      <alignment horizontal="center" vertical="center"/>
    </xf>
    <xf numFmtId="165" fontId="20" fillId="0" borderId="36" xfId="8" applyFont="1" applyBorder="1" applyAlignment="1">
      <alignment vertical="center"/>
    </xf>
    <xf numFmtId="165" fontId="14" fillId="0" borderId="5" xfId="8" applyFont="1" applyBorder="1" applyAlignment="1">
      <alignment vertical="center"/>
    </xf>
    <xf numFmtId="165" fontId="14" fillId="0" borderId="5" xfId="8" applyFont="1" applyBorder="1" applyAlignment="1">
      <alignment horizontal="center" vertical="center"/>
    </xf>
  </cellXfs>
  <cellStyles count="9">
    <cellStyle name="Bad" xfId="3" builtinId="27"/>
    <cellStyle name="Comma" xfId="1" builtinId="3"/>
    <cellStyle name="Currency" xfId="2" builtinId="4"/>
    <cellStyle name="Hyperlink 2" xfId="6" xr:uid="{6D6D2F04-9DFD-4A17-AC21-CD551B2630C9}"/>
    <cellStyle name="Normal" xfId="0" builtinId="0"/>
    <cellStyle name="Normal 2" xfId="4" xr:uid="{06C049E0-D4AD-46E1-A13F-E6A2FC3B2272}"/>
    <cellStyle name="Normal 3" xfId="5" xr:uid="{0B59047C-CF2A-4C8F-9FF8-F46BFDAD97E1}"/>
    <cellStyle name="Normal 4" xfId="8" xr:uid="{3E1FE091-1A32-491E-9FAA-C8A861741ED6}"/>
    <cellStyle name="Normal 5" xfId="7" xr:uid="{FA0F9C8C-FD60-4E88-91E9-1916FC8A3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neider, Steven W CIV DLA DISPOSITION SERVICES (USA)" id="{73620BE6-26FE-43F0-AE6C-D7524096067B}" userId="S::steven.schneider@dla.mil::13457c2a-cc67-44f3-a892-c6e0d4a1e61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1" dT="2020-11-30T15:06:22.11" personId="{73620BE6-26FE-43F0-AE6C-D7524096067B}" id="{B1FD8082-9275-4D52-8A35-097AF3F7911F}">
    <text>Added for MDA Rocket Fuel &amp; Propellants Disposal Contract Jan 2021 (Schneider)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747F-F4CE-408D-8EC8-75663B368073}">
  <sheetPr>
    <tabColor rgb="FF0070C0"/>
    <pageSetUpPr fitToPage="1"/>
  </sheetPr>
  <dimension ref="A1:J144"/>
  <sheetViews>
    <sheetView tabSelected="1" zoomScaleNormal="100" workbookViewId="0">
      <pane ySplit="2" topLeftCell="A3" activePane="bottomLeft" state="frozen"/>
      <selection pane="bottomLeft" activeCell="I143" sqref="I143"/>
    </sheetView>
  </sheetViews>
  <sheetFormatPr defaultColWidth="9.140625" defaultRowHeight="15.75" x14ac:dyDescent="0.25"/>
  <cols>
    <col min="1" max="1" width="8.7109375" style="79" bestFit="1" customWidth="1"/>
    <col min="2" max="2" width="11.42578125" style="79" bestFit="1" customWidth="1"/>
    <col min="3" max="3" width="49.5703125" style="64" bestFit="1" customWidth="1"/>
    <col min="4" max="4" width="10" style="79" bestFit="1" customWidth="1"/>
    <col min="5" max="5" width="10" style="64" bestFit="1" customWidth="1"/>
    <col min="6" max="6" width="6.5703125" style="79" customWidth="1"/>
    <col min="7" max="7" width="12.7109375" style="80" bestFit="1" customWidth="1"/>
    <col min="8" max="8" width="14.140625" style="80" bestFit="1" customWidth="1"/>
    <col min="9" max="9" width="10.28515625" style="80" bestFit="1" customWidth="1"/>
    <col min="10" max="10" width="12.7109375" style="64" bestFit="1" customWidth="1"/>
    <col min="11" max="16384" width="9.140625" style="64"/>
  </cols>
  <sheetData>
    <row r="1" spans="1:10" x14ac:dyDescent="0.25">
      <c r="A1" s="84" t="s">
        <v>1370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47.25" x14ac:dyDescent="0.25">
      <c r="A2" s="65" t="s">
        <v>0</v>
      </c>
      <c r="B2" s="65" t="s">
        <v>1</v>
      </c>
      <c r="C2" s="63" t="s">
        <v>2</v>
      </c>
      <c r="D2" s="65" t="s">
        <v>3</v>
      </c>
      <c r="E2" s="65" t="s">
        <v>4</v>
      </c>
      <c r="F2" s="65" t="s">
        <v>5</v>
      </c>
      <c r="G2" s="65" t="s">
        <v>6</v>
      </c>
      <c r="H2" s="65" t="s">
        <v>7</v>
      </c>
      <c r="I2" s="65" t="s">
        <v>8</v>
      </c>
      <c r="J2" s="65" t="s">
        <v>9</v>
      </c>
    </row>
    <row r="3" spans="1:10" ht="31.5" x14ac:dyDescent="0.25">
      <c r="A3" s="66" t="s">
        <v>12</v>
      </c>
      <c r="B3" s="67" t="s">
        <v>11</v>
      </c>
      <c r="C3" s="68" t="s">
        <v>1354</v>
      </c>
      <c r="D3" s="62">
        <v>1</v>
      </c>
      <c r="E3" s="62">
        <v>1</v>
      </c>
      <c r="F3" s="69" t="s">
        <v>10</v>
      </c>
      <c r="G3" s="70">
        <v>0</v>
      </c>
      <c r="H3" s="70">
        <v>0</v>
      </c>
      <c r="I3" s="70">
        <f>D3*G3</f>
        <v>0</v>
      </c>
      <c r="J3" s="70">
        <f>G3*I3</f>
        <v>0</v>
      </c>
    </row>
    <row r="4" spans="1:10" ht="31.5" x14ac:dyDescent="0.25">
      <c r="A4" s="66" t="s">
        <v>13</v>
      </c>
      <c r="B4" s="67" t="s">
        <v>14</v>
      </c>
      <c r="C4" s="68" t="s">
        <v>285</v>
      </c>
      <c r="D4" s="62">
        <v>1</v>
      </c>
      <c r="E4" s="62">
        <v>1</v>
      </c>
      <c r="F4" s="69" t="s">
        <v>10</v>
      </c>
      <c r="G4" s="70">
        <v>0</v>
      </c>
      <c r="H4" s="70">
        <v>0</v>
      </c>
      <c r="I4" s="70">
        <f>D4*G4</f>
        <v>0</v>
      </c>
      <c r="J4" s="70">
        <f>G4*I4</f>
        <v>0</v>
      </c>
    </row>
    <row r="5" spans="1:10" ht="31.5" x14ac:dyDescent="0.25">
      <c r="A5" s="66" t="s">
        <v>15</v>
      </c>
      <c r="B5" s="67" t="s">
        <v>16</v>
      </c>
      <c r="C5" s="68" t="s">
        <v>286</v>
      </c>
      <c r="D5" s="62">
        <v>1</v>
      </c>
      <c r="E5" s="62">
        <v>1</v>
      </c>
      <c r="F5" s="69" t="s">
        <v>10</v>
      </c>
      <c r="G5" s="70">
        <v>0</v>
      </c>
      <c r="H5" s="70">
        <v>0</v>
      </c>
      <c r="I5" s="70">
        <f t="shared" ref="I5:I28" si="0">D5*G5</f>
        <v>0</v>
      </c>
      <c r="J5" s="70">
        <f t="shared" ref="J5:J28" si="1">G5*I5</f>
        <v>0</v>
      </c>
    </row>
    <row r="6" spans="1:10" ht="31.5" x14ac:dyDescent="0.25">
      <c r="A6" s="66" t="s">
        <v>288</v>
      </c>
      <c r="B6" s="67" t="s">
        <v>287</v>
      </c>
      <c r="C6" s="68" t="s">
        <v>289</v>
      </c>
      <c r="D6" s="62">
        <v>1</v>
      </c>
      <c r="E6" s="62">
        <v>1</v>
      </c>
      <c r="F6" s="69" t="s">
        <v>10</v>
      </c>
      <c r="G6" s="70">
        <v>0</v>
      </c>
      <c r="H6" s="70">
        <v>0</v>
      </c>
      <c r="I6" s="70">
        <f t="shared" si="0"/>
        <v>0</v>
      </c>
      <c r="J6" s="70">
        <f t="shared" si="1"/>
        <v>0</v>
      </c>
    </row>
    <row r="7" spans="1:10" ht="31.5" x14ac:dyDescent="0.25">
      <c r="A7" s="66" t="s">
        <v>17</v>
      </c>
      <c r="B7" s="67" t="s">
        <v>18</v>
      </c>
      <c r="C7" s="68" t="s">
        <v>290</v>
      </c>
      <c r="D7" s="62">
        <v>1</v>
      </c>
      <c r="E7" s="62">
        <v>1</v>
      </c>
      <c r="F7" s="69" t="s">
        <v>10</v>
      </c>
      <c r="G7" s="70">
        <v>0</v>
      </c>
      <c r="H7" s="70">
        <v>0</v>
      </c>
      <c r="I7" s="70">
        <f t="shared" si="0"/>
        <v>0</v>
      </c>
      <c r="J7" s="70">
        <f t="shared" si="1"/>
        <v>0</v>
      </c>
    </row>
    <row r="8" spans="1:10" ht="31.5" x14ac:dyDescent="0.25">
      <c r="A8" s="66" t="s">
        <v>19</v>
      </c>
      <c r="B8" s="67" t="s">
        <v>20</v>
      </c>
      <c r="C8" s="68" t="s">
        <v>291</v>
      </c>
      <c r="D8" s="62">
        <v>1</v>
      </c>
      <c r="E8" s="62">
        <v>1</v>
      </c>
      <c r="F8" s="69" t="s">
        <v>10</v>
      </c>
      <c r="G8" s="70">
        <v>0</v>
      </c>
      <c r="H8" s="70">
        <v>0</v>
      </c>
      <c r="I8" s="70">
        <f t="shared" si="0"/>
        <v>0</v>
      </c>
      <c r="J8" s="70">
        <f t="shared" si="1"/>
        <v>0</v>
      </c>
    </row>
    <row r="9" spans="1:10" ht="31.5" x14ac:dyDescent="0.25">
      <c r="A9" s="66" t="s">
        <v>293</v>
      </c>
      <c r="B9" s="67" t="s">
        <v>292</v>
      </c>
      <c r="C9" s="68" t="s">
        <v>294</v>
      </c>
      <c r="D9" s="62">
        <v>1</v>
      </c>
      <c r="E9" s="62">
        <v>1</v>
      </c>
      <c r="F9" s="69" t="s">
        <v>10</v>
      </c>
      <c r="G9" s="70">
        <v>0</v>
      </c>
      <c r="H9" s="70">
        <v>0</v>
      </c>
      <c r="I9" s="70">
        <f t="shared" si="0"/>
        <v>0</v>
      </c>
      <c r="J9" s="70">
        <f t="shared" si="1"/>
        <v>0</v>
      </c>
    </row>
    <row r="10" spans="1:10" ht="31.5" x14ac:dyDescent="0.25">
      <c r="A10" s="66" t="s">
        <v>296</v>
      </c>
      <c r="B10" s="67" t="s">
        <v>295</v>
      </c>
      <c r="C10" s="68" t="s">
        <v>297</v>
      </c>
      <c r="D10" s="62">
        <v>1</v>
      </c>
      <c r="E10" s="62">
        <v>1</v>
      </c>
      <c r="F10" s="69" t="s">
        <v>10</v>
      </c>
      <c r="G10" s="70">
        <v>0</v>
      </c>
      <c r="H10" s="70">
        <v>0</v>
      </c>
      <c r="I10" s="70">
        <f t="shared" si="0"/>
        <v>0</v>
      </c>
      <c r="J10" s="70">
        <f t="shared" si="1"/>
        <v>0</v>
      </c>
    </row>
    <row r="11" spans="1:10" ht="31.5" x14ac:dyDescent="0.25">
      <c r="A11" s="66" t="s">
        <v>299</v>
      </c>
      <c r="B11" s="67" t="s">
        <v>298</v>
      </c>
      <c r="C11" s="68" t="s">
        <v>300</v>
      </c>
      <c r="D11" s="62">
        <v>1</v>
      </c>
      <c r="E11" s="62">
        <v>1</v>
      </c>
      <c r="F11" s="69" t="s">
        <v>10</v>
      </c>
      <c r="G11" s="70">
        <v>0</v>
      </c>
      <c r="H11" s="70">
        <v>0</v>
      </c>
      <c r="I11" s="70">
        <f t="shared" si="0"/>
        <v>0</v>
      </c>
      <c r="J11" s="70">
        <f t="shared" si="1"/>
        <v>0</v>
      </c>
    </row>
    <row r="12" spans="1:10" ht="31.5" x14ac:dyDescent="0.25">
      <c r="A12" s="66" t="s">
        <v>302</v>
      </c>
      <c r="B12" s="67" t="s">
        <v>301</v>
      </c>
      <c r="C12" s="68" t="s">
        <v>303</v>
      </c>
      <c r="D12" s="62">
        <v>1</v>
      </c>
      <c r="E12" s="62">
        <v>1</v>
      </c>
      <c r="F12" s="69" t="s">
        <v>10</v>
      </c>
      <c r="G12" s="70">
        <v>0</v>
      </c>
      <c r="H12" s="70">
        <v>0</v>
      </c>
      <c r="I12" s="70">
        <f t="shared" si="0"/>
        <v>0</v>
      </c>
      <c r="J12" s="70">
        <f t="shared" si="1"/>
        <v>0</v>
      </c>
    </row>
    <row r="13" spans="1:10" ht="31.5" x14ac:dyDescent="0.25">
      <c r="A13" s="66" t="s">
        <v>305</v>
      </c>
      <c r="B13" s="67" t="s">
        <v>304</v>
      </c>
      <c r="C13" s="68" t="s">
        <v>306</v>
      </c>
      <c r="D13" s="62">
        <v>1</v>
      </c>
      <c r="E13" s="62">
        <v>1</v>
      </c>
      <c r="F13" s="69" t="s">
        <v>10</v>
      </c>
      <c r="G13" s="70">
        <v>0</v>
      </c>
      <c r="H13" s="70">
        <v>0</v>
      </c>
      <c r="I13" s="70">
        <f t="shared" si="0"/>
        <v>0</v>
      </c>
      <c r="J13" s="70">
        <f t="shared" si="1"/>
        <v>0</v>
      </c>
    </row>
    <row r="14" spans="1:10" ht="31.5" x14ac:dyDescent="0.25">
      <c r="A14" s="66" t="s">
        <v>308</v>
      </c>
      <c r="B14" s="67" t="s">
        <v>307</v>
      </c>
      <c r="C14" s="68" t="s">
        <v>309</v>
      </c>
      <c r="D14" s="62">
        <v>1</v>
      </c>
      <c r="E14" s="62">
        <v>1</v>
      </c>
      <c r="F14" s="69" t="s">
        <v>10</v>
      </c>
      <c r="G14" s="70">
        <v>0</v>
      </c>
      <c r="H14" s="70">
        <v>0</v>
      </c>
      <c r="I14" s="70">
        <f t="shared" si="0"/>
        <v>0</v>
      </c>
      <c r="J14" s="70">
        <f t="shared" si="1"/>
        <v>0</v>
      </c>
    </row>
    <row r="15" spans="1:10" ht="31.5" x14ac:dyDescent="0.25">
      <c r="A15" s="66" t="s">
        <v>1363</v>
      </c>
      <c r="B15" s="67" t="s">
        <v>1364</v>
      </c>
      <c r="C15" s="68" t="s">
        <v>1365</v>
      </c>
      <c r="D15" s="62">
        <v>1</v>
      </c>
      <c r="E15" s="62">
        <v>1</v>
      </c>
      <c r="F15" s="69" t="s">
        <v>10</v>
      </c>
      <c r="G15" s="70">
        <v>0</v>
      </c>
      <c r="H15" s="70">
        <v>0</v>
      </c>
      <c r="I15" s="70">
        <f t="shared" ref="I15" si="2">D15*G15</f>
        <v>0</v>
      </c>
      <c r="J15" s="70">
        <f t="shared" ref="J15" si="3">G15*I15</f>
        <v>0</v>
      </c>
    </row>
    <row r="16" spans="1:10" ht="31.5" x14ac:dyDescent="0.25">
      <c r="A16" s="66" t="s">
        <v>21</v>
      </c>
      <c r="B16" s="67" t="s">
        <v>22</v>
      </c>
      <c r="C16" s="68" t="s">
        <v>310</v>
      </c>
      <c r="D16" s="62">
        <v>1</v>
      </c>
      <c r="E16" s="62">
        <v>1</v>
      </c>
      <c r="F16" s="69" t="s">
        <v>10</v>
      </c>
      <c r="G16" s="70">
        <v>0</v>
      </c>
      <c r="H16" s="70">
        <v>0</v>
      </c>
      <c r="I16" s="70">
        <f t="shared" si="0"/>
        <v>0</v>
      </c>
      <c r="J16" s="70">
        <f t="shared" si="1"/>
        <v>0</v>
      </c>
    </row>
    <row r="17" spans="1:10" ht="31.5" x14ac:dyDescent="0.25">
      <c r="A17" s="66" t="s">
        <v>23</v>
      </c>
      <c r="B17" s="67" t="s">
        <v>24</v>
      </c>
      <c r="C17" s="68" t="s">
        <v>311</v>
      </c>
      <c r="D17" s="62">
        <v>1</v>
      </c>
      <c r="E17" s="62">
        <v>1</v>
      </c>
      <c r="F17" s="69" t="s">
        <v>10</v>
      </c>
      <c r="G17" s="70">
        <v>0</v>
      </c>
      <c r="H17" s="70">
        <v>0</v>
      </c>
      <c r="I17" s="70">
        <f t="shared" si="0"/>
        <v>0</v>
      </c>
      <c r="J17" s="70">
        <f t="shared" si="1"/>
        <v>0</v>
      </c>
    </row>
    <row r="18" spans="1:10" ht="31.5" x14ac:dyDescent="0.25">
      <c r="A18" s="66" t="s">
        <v>25</v>
      </c>
      <c r="B18" s="67" t="s">
        <v>26</v>
      </c>
      <c r="C18" s="68" t="s">
        <v>312</v>
      </c>
      <c r="D18" s="62">
        <v>1</v>
      </c>
      <c r="E18" s="62">
        <v>1</v>
      </c>
      <c r="F18" s="69" t="s">
        <v>10</v>
      </c>
      <c r="G18" s="70">
        <v>0</v>
      </c>
      <c r="H18" s="70">
        <v>0</v>
      </c>
      <c r="I18" s="70">
        <f t="shared" si="0"/>
        <v>0</v>
      </c>
      <c r="J18" s="70">
        <f t="shared" si="1"/>
        <v>0</v>
      </c>
    </row>
    <row r="19" spans="1:10" ht="31.5" x14ac:dyDescent="0.25">
      <c r="A19" s="66" t="s">
        <v>27</v>
      </c>
      <c r="B19" s="67" t="s">
        <v>28</v>
      </c>
      <c r="C19" s="68" t="s">
        <v>313</v>
      </c>
      <c r="D19" s="62">
        <v>1</v>
      </c>
      <c r="E19" s="62">
        <v>1</v>
      </c>
      <c r="F19" s="69" t="s">
        <v>10</v>
      </c>
      <c r="G19" s="70">
        <v>0</v>
      </c>
      <c r="H19" s="70">
        <v>0</v>
      </c>
      <c r="I19" s="70">
        <f t="shared" si="0"/>
        <v>0</v>
      </c>
      <c r="J19" s="70">
        <f t="shared" si="1"/>
        <v>0</v>
      </c>
    </row>
    <row r="20" spans="1:10" ht="31.5" x14ac:dyDescent="0.25">
      <c r="A20" s="66" t="s">
        <v>29</v>
      </c>
      <c r="B20" s="67" t="s">
        <v>30</v>
      </c>
      <c r="C20" s="68" t="s">
        <v>314</v>
      </c>
      <c r="D20" s="62">
        <v>1</v>
      </c>
      <c r="E20" s="62">
        <v>1</v>
      </c>
      <c r="F20" s="69" t="s">
        <v>10</v>
      </c>
      <c r="G20" s="70">
        <v>0</v>
      </c>
      <c r="H20" s="70">
        <v>0</v>
      </c>
      <c r="I20" s="70">
        <f t="shared" si="0"/>
        <v>0</v>
      </c>
      <c r="J20" s="70">
        <f t="shared" si="1"/>
        <v>0</v>
      </c>
    </row>
    <row r="21" spans="1:10" ht="31.5" x14ac:dyDescent="0.25">
      <c r="A21" s="66" t="s">
        <v>1327</v>
      </c>
      <c r="B21" s="67" t="s">
        <v>1333</v>
      </c>
      <c r="C21" s="68" t="s">
        <v>1339</v>
      </c>
      <c r="D21" s="62">
        <v>1</v>
      </c>
      <c r="E21" s="62">
        <v>1</v>
      </c>
      <c r="F21" s="69" t="s">
        <v>10</v>
      </c>
      <c r="G21" s="70">
        <v>0</v>
      </c>
      <c r="H21" s="70">
        <v>0</v>
      </c>
      <c r="I21" s="70">
        <f t="shared" ref="I21:I26" si="4">D21*G21</f>
        <v>0</v>
      </c>
      <c r="J21" s="70">
        <f t="shared" ref="J21:J26" si="5">G21*I21</f>
        <v>0</v>
      </c>
    </row>
    <row r="22" spans="1:10" ht="31.5" x14ac:dyDescent="0.25">
      <c r="A22" s="66" t="s">
        <v>1328</v>
      </c>
      <c r="B22" s="67" t="s">
        <v>1334</v>
      </c>
      <c r="C22" s="68" t="s">
        <v>1340</v>
      </c>
      <c r="D22" s="62">
        <v>1</v>
      </c>
      <c r="E22" s="62">
        <v>1</v>
      </c>
      <c r="F22" s="69" t="s">
        <v>10</v>
      </c>
      <c r="G22" s="70">
        <v>0</v>
      </c>
      <c r="H22" s="70">
        <v>0</v>
      </c>
      <c r="I22" s="70">
        <f t="shared" si="4"/>
        <v>0</v>
      </c>
      <c r="J22" s="70">
        <f t="shared" si="5"/>
        <v>0</v>
      </c>
    </row>
    <row r="23" spans="1:10" ht="15" customHeight="1" x14ac:dyDescent="0.25">
      <c r="A23" s="66" t="s">
        <v>1329</v>
      </c>
      <c r="B23" s="67" t="s">
        <v>1335</v>
      </c>
      <c r="C23" s="68" t="s">
        <v>1341</v>
      </c>
      <c r="D23" s="62">
        <v>1</v>
      </c>
      <c r="E23" s="62">
        <v>1</v>
      </c>
      <c r="F23" s="69" t="s">
        <v>10</v>
      </c>
      <c r="G23" s="70">
        <v>0</v>
      </c>
      <c r="H23" s="70">
        <v>0</v>
      </c>
      <c r="I23" s="70">
        <f t="shared" si="4"/>
        <v>0</v>
      </c>
      <c r="J23" s="70">
        <f t="shared" si="5"/>
        <v>0</v>
      </c>
    </row>
    <row r="24" spans="1:10" ht="15" customHeight="1" x14ac:dyDescent="0.25">
      <c r="A24" s="66" t="s">
        <v>1330</v>
      </c>
      <c r="B24" s="67" t="s">
        <v>1336</v>
      </c>
      <c r="C24" s="68" t="s">
        <v>1342</v>
      </c>
      <c r="D24" s="62">
        <v>1</v>
      </c>
      <c r="E24" s="62">
        <v>1</v>
      </c>
      <c r="F24" s="69" t="s">
        <v>10</v>
      </c>
      <c r="G24" s="70">
        <v>0</v>
      </c>
      <c r="H24" s="70">
        <v>0</v>
      </c>
      <c r="I24" s="70">
        <f t="shared" si="4"/>
        <v>0</v>
      </c>
      <c r="J24" s="70">
        <f t="shared" si="5"/>
        <v>0</v>
      </c>
    </row>
    <row r="25" spans="1:10" ht="15" customHeight="1" x14ac:dyDescent="0.25">
      <c r="A25" s="66" t="s">
        <v>1331</v>
      </c>
      <c r="B25" s="67" t="s">
        <v>1337</v>
      </c>
      <c r="C25" s="68" t="s">
        <v>1343</v>
      </c>
      <c r="D25" s="62">
        <v>1</v>
      </c>
      <c r="E25" s="62">
        <v>1</v>
      </c>
      <c r="F25" s="69" t="s">
        <v>10</v>
      </c>
      <c r="G25" s="70">
        <v>0</v>
      </c>
      <c r="H25" s="70">
        <v>0</v>
      </c>
      <c r="I25" s="70">
        <f t="shared" si="4"/>
        <v>0</v>
      </c>
      <c r="J25" s="70">
        <f t="shared" si="5"/>
        <v>0</v>
      </c>
    </row>
    <row r="26" spans="1:10" ht="31.5" x14ac:dyDescent="0.25">
      <c r="A26" s="66" t="s">
        <v>1332</v>
      </c>
      <c r="B26" s="67" t="s">
        <v>1338</v>
      </c>
      <c r="C26" s="68" t="s">
        <v>1344</v>
      </c>
      <c r="D26" s="62">
        <v>1</v>
      </c>
      <c r="E26" s="62">
        <v>1</v>
      </c>
      <c r="F26" s="69" t="s">
        <v>10</v>
      </c>
      <c r="G26" s="70">
        <v>0</v>
      </c>
      <c r="H26" s="70">
        <v>0</v>
      </c>
      <c r="I26" s="70">
        <f t="shared" si="4"/>
        <v>0</v>
      </c>
      <c r="J26" s="70">
        <f t="shared" si="5"/>
        <v>0</v>
      </c>
    </row>
    <row r="27" spans="1:10" ht="31.5" x14ac:dyDescent="0.25">
      <c r="A27" s="66" t="s">
        <v>31</v>
      </c>
      <c r="B27" s="67" t="s">
        <v>32</v>
      </c>
      <c r="C27" s="71" t="s">
        <v>315</v>
      </c>
      <c r="D27" s="62">
        <v>1</v>
      </c>
      <c r="E27" s="62">
        <v>1</v>
      </c>
      <c r="F27" s="69" t="s">
        <v>10</v>
      </c>
      <c r="G27" s="70">
        <v>0</v>
      </c>
      <c r="H27" s="70">
        <v>0</v>
      </c>
      <c r="I27" s="70">
        <f t="shared" si="0"/>
        <v>0</v>
      </c>
      <c r="J27" s="70">
        <f t="shared" si="1"/>
        <v>0</v>
      </c>
    </row>
    <row r="28" spans="1:10" ht="31.5" x14ac:dyDescent="0.25">
      <c r="A28" s="66" t="s">
        <v>317</v>
      </c>
      <c r="B28" s="67" t="s">
        <v>316</v>
      </c>
      <c r="C28" s="68" t="s">
        <v>318</v>
      </c>
      <c r="D28" s="62">
        <v>1</v>
      </c>
      <c r="E28" s="62">
        <v>1</v>
      </c>
      <c r="F28" s="69" t="s">
        <v>10</v>
      </c>
      <c r="G28" s="70">
        <v>0</v>
      </c>
      <c r="H28" s="70">
        <v>0</v>
      </c>
      <c r="I28" s="70">
        <f t="shared" si="0"/>
        <v>0</v>
      </c>
      <c r="J28" s="70">
        <f t="shared" si="1"/>
        <v>0</v>
      </c>
    </row>
    <row r="29" spans="1:10" ht="15" customHeight="1" x14ac:dyDescent="0.25">
      <c r="A29" s="84" t="s">
        <v>33</v>
      </c>
      <c r="B29" s="84"/>
      <c r="C29" s="84"/>
      <c r="D29" s="84"/>
      <c r="E29" s="84"/>
      <c r="F29" s="84"/>
      <c r="G29" s="84"/>
      <c r="H29" s="84"/>
      <c r="I29" s="84"/>
      <c r="J29" s="84"/>
    </row>
    <row r="30" spans="1:10" ht="47.25" x14ac:dyDescent="0.25">
      <c r="A30" s="66" t="s">
        <v>34</v>
      </c>
      <c r="B30" s="67" t="s">
        <v>35</v>
      </c>
      <c r="C30" s="68" t="s">
        <v>80</v>
      </c>
      <c r="D30" s="62">
        <v>30</v>
      </c>
      <c r="E30" s="62">
        <v>30</v>
      </c>
      <c r="F30" s="69" t="s">
        <v>36</v>
      </c>
      <c r="G30" s="70">
        <v>0</v>
      </c>
      <c r="H30" s="70">
        <v>0</v>
      </c>
      <c r="I30" s="70">
        <f t="shared" ref="I30:I45" si="6">D30*G30</f>
        <v>0</v>
      </c>
      <c r="J30" s="70">
        <f t="shared" ref="J30:J45" si="7">G30*I30</f>
        <v>0</v>
      </c>
    </row>
    <row r="31" spans="1:10" ht="63" x14ac:dyDescent="0.25">
      <c r="A31" s="66" t="s">
        <v>82</v>
      </c>
      <c r="B31" s="67" t="s">
        <v>81</v>
      </c>
      <c r="C31" s="72" t="s">
        <v>83</v>
      </c>
      <c r="D31" s="62">
        <v>20</v>
      </c>
      <c r="E31" s="62">
        <v>20</v>
      </c>
      <c r="F31" s="69" t="s">
        <v>36</v>
      </c>
      <c r="G31" s="70">
        <v>0</v>
      </c>
      <c r="H31" s="70">
        <v>0</v>
      </c>
      <c r="I31" s="70">
        <f t="shared" si="6"/>
        <v>0</v>
      </c>
      <c r="J31" s="70">
        <f t="shared" si="7"/>
        <v>0</v>
      </c>
    </row>
    <row r="32" spans="1:10" ht="47.25" x14ac:dyDescent="0.25">
      <c r="A32" s="66" t="s">
        <v>37</v>
      </c>
      <c r="B32" s="67" t="s">
        <v>38</v>
      </c>
      <c r="C32" s="72" t="s">
        <v>84</v>
      </c>
      <c r="D32" s="62">
        <v>5</v>
      </c>
      <c r="E32" s="62">
        <v>5</v>
      </c>
      <c r="F32" s="69" t="s">
        <v>36</v>
      </c>
      <c r="G32" s="70">
        <v>0</v>
      </c>
      <c r="H32" s="70">
        <v>0</v>
      </c>
      <c r="I32" s="70">
        <f t="shared" si="6"/>
        <v>0</v>
      </c>
      <c r="J32" s="70">
        <f t="shared" si="7"/>
        <v>0</v>
      </c>
    </row>
    <row r="33" spans="1:10" ht="47.25" x14ac:dyDescent="0.25">
      <c r="A33" s="66" t="s">
        <v>39</v>
      </c>
      <c r="B33" s="67" t="s">
        <v>85</v>
      </c>
      <c r="C33" s="73" t="s">
        <v>86</v>
      </c>
      <c r="D33" s="62">
        <v>20</v>
      </c>
      <c r="E33" s="62">
        <v>20</v>
      </c>
      <c r="F33" s="69" t="s">
        <v>36</v>
      </c>
      <c r="G33" s="70">
        <v>0</v>
      </c>
      <c r="H33" s="70">
        <v>0</v>
      </c>
      <c r="I33" s="70">
        <f t="shared" si="6"/>
        <v>0</v>
      </c>
      <c r="J33" s="70">
        <f t="shared" si="7"/>
        <v>0</v>
      </c>
    </row>
    <row r="34" spans="1:10" ht="47.25" x14ac:dyDescent="0.25">
      <c r="A34" s="66" t="s">
        <v>40</v>
      </c>
      <c r="B34" s="67" t="s">
        <v>41</v>
      </c>
      <c r="C34" s="72" t="s">
        <v>87</v>
      </c>
      <c r="D34" s="62">
        <v>2713</v>
      </c>
      <c r="E34" s="62">
        <v>2713</v>
      </c>
      <c r="F34" s="69" t="s">
        <v>36</v>
      </c>
      <c r="G34" s="70">
        <v>0</v>
      </c>
      <c r="H34" s="70">
        <v>0</v>
      </c>
      <c r="I34" s="70">
        <f t="shared" si="6"/>
        <v>0</v>
      </c>
      <c r="J34" s="70">
        <f t="shared" si="7"/>
        <v>0</v>
      </c>
    </row>
    <row r="35" spans="1:10" ht="47.25" x14ac:dyDescent="0.25">
      <c r="A35" s="66" t="s">
        <v>89</v>
      </c>
      <c r="B35" s="67" t="s">
        <v>88</v>
      </c>
      <c r="C35" s="72" t="s">
        <v>90</v>
      </c>
      <c r="D35" s="62">
        <v>130</v>
      </c>
      <c r="E35" s="62">
        <v>130</v>
      </c>
      <c r="F35" s="69" t="s">
        <v>36</v>
      </c>
      <c r="G35" s="70">
        <v>0</v>
      </c>
      <c r="H35" s="70">
        <v>0</v>
      </c>
      <c r="I35" s="70">
        <f t="shared" si="6"/>
        <v>0</v>
      </c>
      <c r="J35" s="70">
        <f t="shared" si="7"/>
        <v>0</v>
      </c>
    </row>
    <row r="36" spans="1:10" ht="47.25" x14ac:dyDescent="0.25">
      <c r="A36" s="66" t="s">
        <v>92</v>
      </c>
      <c r="B36" s="67" t="s">
        <v>91</v>
      </c>
      <c r="C36" s="72" t="s">
        <v>93</v>
      </c>
      <c r="D36" s="62">
        <v>4423</v>
      </c>
      <c r="E36" s="62">
        <v>4423</v>
      </c>
      <c r="F36" s="69" t="s">
        <v>36</v>
      </c>
      <c r="G36" s="70">
        <v>0</v>
      </c>
      <c r="H36" s="70">
        <v>0</v>
      </c>
      <c r="I36" s="70">
        <f t="shared" si="6"/>
        <v>0</v>
      </c>
      <c r="J36" s="70">
        <f t="shared" si="7"/>
        <v>0</v>
      </c>
    </row>
    <row r="37" spans="1:10" ht="47.25" x14ac:dyDescent="0.25">
      <c r="A37" s="66" t="s">
        <v>95</v>
      </c>
      <c r="B37" s="67" t="s">
        <v>94</v>
      </c>
      <c r="C37" s="72" t="s">
        <v>96</v>
      </c>
      <c r="D37" s="62">
        <v>20</v>
      </c>
      <c r="E37" s="62">
        <v>20</v>
      </c>
      <c r="F37" s="69" t="s">
        <v>36</v>
      </c>
      <c r="G37" s="70">
        <v>0</v>
      </c>
      <c r="H37" s="70">
        <v>0</v>
      </c>
      <c r="I37" s="70">
        <f t="shared" si="6"/>
        <v>0</v>
      </c>
      <c r="J37" s="70">
        <f t="shared" si="7"/>
        <v>0</v>
      </c>
    </row>
    <row r="38" spans="1:10" ht="47.25" x14ac:dyDescent="0.25">
      <c r="A38" s="66" t="s">
        <v>42</v>
      </c>
      <c r="B38" s="67" t="s">
        <v>43</v>
      </c>
      <c r="C38" s="72" t="s">
        <v>97</v>
      </c>
      <c r="D38" s="62">
        <v>563</v>
      </c>
      <c r="E38" s="62">
        <v>563</v>
      </c>
      <c r="F38" s="69" t="s">
        <v>36</v>
      </c>
      <c r="G38" s="70">
        <v>0</v>
      </c>
      <c r="H38" s="70">
        <v>0</v>
      </c>
      <c r="I38" s="70">
        <f t="shared" si="6"/>
        <v>0</v>
      </c>
      <c r="J38" s="70">
        <f t="shared" si="7"/>
        <v>0</v>
      </c>
    </row>
    <row r="39" spans="1:10" ht="47.25" x14ac:dyDescent="0.25">
      <c r="A39" s="66" t="s">
        <v>44</v>
      </c>
      <c r="B39" s="67" t="s">
        <v>45</v>
      </c>
      <c r="C39" s="72" t="s">
        <v>98</v>
      </c>
      <c r="D39" s="62">
        <v>4652</v>
      </c>
      <c r="E39" s="62">
        <v>4652</v>
      </c>
      <c r="F39" s="69" t="s">
        <v>36</v>
      </c>
      <c r="G39" s="70">
        <v>0</v>
      </c>
      <c r="H39" s="70">
        <v>0</v>
      </c>
      <c r="I39" s="70">
        <f t="shared" si="6"/>
        <v>0</v>
      </c>
      <c r="J39" s="70">
        <f t="shared" si="7"/>
        <v>0</v>
      </c>
    </row>
    <row r="40" spans="1:10" ht="31.5" x14ac:dyDescent="0.25">
      <c r="A40" s="66" t="s">
        <v>46</v>
      </c>
      <c r="B40" s="67" t="s">
        <v>47</v>
      </c>
      <c r="C40" s="72" t="s">
        <v>99</v>
      </c>
      <c r="D40" s="62">
        <v>2</v>
      </c>
      <c r="E40" s="62">
        <v>2</v>
      </c>
      <c r="F40" s="69" t="s">
        <v>36</v>
      </c>
      <c r="G40" s="70">
        <v>0</v>
      </c>
      <c r="H40" s="70">
        <v>0</v>
      </c>
      <c r="I40" s="70">
        <f t="shared" si="6"/>
        <v>0</v>
      </c>
      <c r="J40" s="70">
        <f t="shared" si="7"/>
        <v>0</v>
      </c>
    </row>
    <row r="41" spans="1:10" ht="47.25" x14ac:dyDescent="0.25">
      <c r="A41" s="66" t="s">
        <v>48</v>
      </c>
      <c r="B41" s="67" t="s">
        <v>49</v>
      </c>
      <c r="C41" s="72" t="s">
        <v>100</v>
      </c>
      <c r="D41" s="62">
        <v>214</v>
      </c>
      <c r="E41" s="62">
        <v>214</v>
      </c>
      <c r="F41" s="69" t="s">
        <v>36</v>
      </c>
      <c r="G41" s="70">
        <v>0</v>
      </c>
      <c r="H41" s="70">
        <v>0</v>
      </c>
      <c r="I41" s="70">
        <f t="shared" si="6"/>
        <v>0</v>
      </c>
      <c r="J41" s="70">
        <f t="shared" si="7"/>
        <v>0</v>
      </c>
    </row>
    <row r="42" spans="1:10" ht="47.25" x14ac:dyDescent="0.25">
      <c r="A42" s="66" t="s">
        <v>50</v>
      </c>
      <c r="B42" s="67" t="s">
        <v>51</v>
      </c>
      <c r="C42" s="72" t="s">
        <v>101</v>
      </c>
      <c r="D42" s="62">
        <v>787</v>
      </c>
      <c r="E42" s="62">
        <v>787</v>
      </c>
      <c r="F42" s="69" t="s">
        <v>36</v>
      </c>
      <c r="G42" s="70">
        <v>0</v>
      </c>
      <c r="H42" s="70">
        <v>0</v>
      </c>
      <c r="I42" s="70">
        <f t="shared" si="6"/>
        <v>0</v>
      </c>
      <c r="J42" s="70">
        <f t="shared" si="7"/>
        <v>0</v>
      </c>
    </row>
    <row r="43" spans="1:10" ht="63" x14ac:dyDescent="0.25">
      <c r="A43" s="66" t="s">
        <v>52</v>
      </c>
      <c r="B43" s="67" t="s">
        <v>53</v>
      </c>
      <c r="C43" s="72" t="s">
        <v>102</v>
      </c>
      <c r="D43" s="62">
        <v>2</v>
      </c>
      <c r="E43" s="62">
        <v>2</v>
      </c>
      <c r="F43" s="69" t="s">
        <v>36</v>
      </c>
      <c r="G43" s="70">
        <v>0</v>
      </c>
      <c r="H43" s="70">
        <v>0</v>
      </c>
      <c r="I43" s="70">
        <f t="shared" si="6"/>
        <v>0</v>
      </c>
      <c r="J43" s="70">
        <f t="shared" si="7"/>
        <v>0</v>
      </c>
    </row>
    <row r="44" spans="1:10" ht="47.25" x14ac:dyDescent="0.25">
      <c r="A44" s="66" t="s">
        <v>104</v>
      </c>
      <c r="B44" s="67" t="s">
        <v>103</v>
      </c>
      <c r="C44" s="68" t="s">
        <v>1374</v>
      </c>
      <c r="D44" s="62">
        <v>155</v>
      </c>
      <c r="E44" s="62">
        <v>155</v>
      </c>
      <c r="F44" s="69" t="s">
        <v>36</v>
      </c>
      <c r="G44" s="70">
        <v>0</v>
      </c>
      <c r="H44" s="70">
        <v>0</v>
      </c>
      <c r="I44" s="70">
        <f t="shared" si="6"/>
        <v>0</v>
      </c>
      <c r="J44" s="70">
        <f t="shared" si="7"/>
        <v>0</v>
      </c>
    </row>
    <row r="45" spans="1:10" ht="31.5" x14ac:dyDescent="0.25">
      <c r="A45" s="66" t="s">
        <v>106</v>
      </c>
      <c r="B45" s="67" t="s">
        <v>105</v>
      </c>
      <c r="C45" s="74" t="s">
        <v>1375</v>
      </c>
      <c r="D45" s="62">
        <v>20</v>
      </c>
      <c r="E45" s="62">
        <v>20</v>
      </c>
      <c r="F45" s="69" t="s">
        <v>36</v>
      </c>
      <c r="G45" s="70">
        <v>0</v>
      </c>
      <c r="H45" s="70">
        <v>0</v>
      </c>
      <c r="I45" s="70">
        <f t="shared" si="6"/>
        <v>0</v>
      </c>
      <c r="J45" s="70">
        <f t="shared" si="7"/>
        <v>0</v>
      </c>
    </row>
    <row r="46" spans="1:10" ht="15" customHeight="1" x14ac:dyDescent="0.25">
      <c r="A46" s="84" t="s">
        <v>54</v>
      </c>
      <c r="B46" s="84"/>
      <c r="C46" s="84"/>
      <c r="D46" s="84"/>
      <c r="E46" s="84"/>
      <c r="F46" s="84"/>
      <c r="G46" s="84"/>
      <c r="H46" s="84"/>
      <c r="I46" s="84"/>
      <c r="J46" s="84"/>
    </row>
    <row r="47" spans="1:10" ht="31.5" x14ac:dyDescent="0.25">
      <c r="A47" s="66" t="s">
        <v>108</v>
      </c>
      <c r="B47" s="67" t="s">
        <v>107</v>
      </c>
      <c r="C47" s="72" t="s">
        <v>109</v>
      </c>
      <c r="D47" s="62">
        <v>122</v>
      </c>
      <c r="E47" s="62">
        <v>122</v>
      </c>
      <c r="F47" s="69" t="s">
        <v>36</v>
      </c>
      <c r="G47" s="70">
        <v>0</v>
      </c>
      <c r="H47" s="70">
        <v>0</v>
      </c>
      <c r="I47" s="70">
        <f t="shared" ref="I47:I56" si="8">D47*G47</f>
        <v>0</v>
      </c>
      <c r="J47" s="70">
        <f t="shared" ref="J47:J56" si="9">G47*I47</f>
        <v>0</v>
      </c>
    </row>
    <row r="48" spans="1:10" ht="31.5" x14ac:dyDescent="0.25">
      <c r="A48" s="66" t="s">
        <v>111</v>
      </c>
      <c r="B48" s="67" t="s">
        <v>110</v>
      </c>
      <c r="C48" s="72" t="s">
        <v>112</v>
      </c>
      <c r="D48" s="62">
        <v>178</v>
      </c>
      <c r="E48" s="62">
        <v>178</v>
      </c>
      <c r="F48" s="69" t="s">
        <v>36</v>
      </c>
      <c r="G48" s="70">
        <v>0</v>
      </c>
      <c r="H48" s="70">
        <v>0</v>
      </c>
      <c r="I48" s="70">
        <f t="shared" si="8"/>
        <v>0</v>
      </c>
      <c r="J48" s="70">
        <f t="shared" si="9"/>
        <v>0</v>
      </c>
    </row>
    <row r="49" spans="1:10" ht="47.25" x14ac:dyDescent="0.25">
      <c r="A49" s="66" t="s">
        <v>114</v>
      </c>
      <c r="B49" s="67" t="s">
        <v>113</v>
      </c>
      <c r="C49" s="75" t="s">
        <v>115</v>
      </c>
      <c r="D49" s="62">
        <v>60</v>
      </c>
      <c r="E49" s="62">
        <v>60</v>
      </c>
      <c r="F49" s="69" t="s">
        <v>36</v>
      </c>
      <c r="G49" s="70">
        <v>0</v>
      </c>
      <c r="H49" s="70">
        <v>0</v>
      </c>
      <c r="I49" s="70">
        <f t="shared" si="8"/>
        <v>0</v>
      </c>
      <c r="J49" s="70">
        <f t="shared" si="9"/>
        <v>0</v>
      </c>
    </row>
    <row r="50" spans="1:10" ht="47.25" x14ac:dyDescent="0.25">
      <c r="A50" s="66" t="s">
        <v>117</v>
      </c>
      <c r="B50" s="67" t="s">
        <v>116</v>
      </c>
      <c r="C50" s="75" t="s">
        <v>118</v>
      </c>
      <c r="D50" s="62">
        <v>6</v>
      </c>
      <c r="E50" s="62">
        <v>6</v>
      </c>
      <c r="F50" s="69" t="s">
        <v>36</v>
      </c>
      <c r="G50" s="70">
        <v>0</v>
      </c>
      <c r="H50" s="70">
        <v>0</v>
      </c>
      <c r="I50" s="70">
        <f t="shared" si="8"/>
        <v>0</v>
      </c>
      <c r="J50" s="70">
        <f t="shared" si="9"/>
        <v>0</v>
      </c>
    </row>
    <row r="51" spans="1:10" ht="31.5" x14ac:dyDescent="0.25">
      <c r="A51" s="66" t="s">
        <v>120</v>
      </c>
      <c r="B51" s="67" t="s">
        <v>119</v>
      </c>
      <c r="C51" s="76" t="s">
        <v>121</v>
      </c>
      <c r="D51" s="62">
        <v>1500</v>
      </c>
      <c r="E51" s="62">
        <v>1500</v>
      </c>
      <c r="F51" s="69" t="s">
        <v>63</v>
      </c>
      <c r="G51" s="70">
        <v>0</v>
      </c>
      <c r="H51" s="70">
        <v>0</v>
      </c>
      <c r="I51" s="70">
        <f t="shared" si="8"/>
        <v>0</v>
      </c>
      <c r="J51" s="70">
        <f t="shared" si="9"/>
        <v>0</v>
      </c>
    </row>
    <row r="52" spans="1:10" ht="31.5" x14ac:dyDescent="0.25">
      <c r="A52" s="66" t="s">
        <v>123</v>
      </c>
      <c r="B52" s="67" t="s">
        <v>122</v>
      </c>
      <c r="C52" s="76" t="s">
        <v>121</v>
      </c>
      <c r="D52" s="62">
        <v>1225</v>
      </c>
      <c r="E52" s="62">
        <v>1225</v>
      </c>
      <c r="F52" s="69" t="s">
        <v>36</v>
      </c>
      <c r="G52" s="70">
        <v>0</v>
      </c>
      <c r="H52" s="70">
        <v>0</v>
      </c>
      <c r="I52" s="70">
        <f t="shared" si="8"/>
        <v>0</v>
      </c>
      <c r="J52" s="70">
        <f t="shared" si="9"/>
        <v>0</v>
      </c>
    </row>
    <row r="53" spans="1:10" ht="47.25" x14ac:dyDescent="0.25">
      <c r="A53" s="66" t="s">
        <v>125</v>
      </c>
      <c r="B53" s="67" t="s">
        <v>124</v>
      </c>
      <c r="C53" s="68" t="s">
        <v>1347</v>
      </c>
      <c r="D53" s="62">
        <v>407</v>
      </c>
      <c r="E53" s="62">
        <v>407</v>
      </c>
      <c r="F53" s="69" t="s">
        <v>36</v>
      </c>
      <c r="G53" s="70">
        <v>0</v>
      </c>
      <c r="H53" s="70">
        <v>0</v>
      </c>
      <c r="I53" s="70">
        <f t="shared" si="8"/>
        <v>0</v>
      </c>
      <c r="J53" s="70">
        <f t="shared" si="9"/>
        <v>0</v>
      </c>
    </row>
    <row r="54" spans="1:10" ht="31.5" x14ac:dyDescent="0.25">
      <c r="A54" s="66" t="s">
        <v>127</v>
      </c>
      <c r="B54" s="67" t="s">
        <v>126</v>
      </c>
      <c r="C54" s="74" t="s">
        <v>1376</v>
      </c>
      <c r="D54" s="62">
        <v>20</v>
      </c>
      <c r="E54" s="62">
        <v>20</v>
      </c>
      <c r="F54" s="69" t="s">
        <v>36</v>
      </c>
      <c r="G54" s="70">
        <v>0</v>
      </c>
      <c r="H54" s="70">
        <v>0</v>
      </c>
      <c r="I54" s="70">
        <f t="shared" si="8"/>
        <v>0</v>
      </c>
      <c r="J54" s="70">
        <f t="shared" si="9"/>
        <v>0</v>
      </c>
    </row>
    <row r="55" spans="1:10" ht="63" x14ac:dyDescent="0.25">
      <c r="A55" s="66" t="s">
        <v>129</v>
      </c>
      <c r="B55" s="67" t="s">
        <v>128</v>
      </c>
      <c r="C55" s="72" t="s">
        <v>130</v>
      </c>
      <c r="D55" s="62">
        <v>2906</v>
      </c>
      <c r="E55" s="62">
        <v>2906</v>
      </c>
      <c r="F55" s="69" t="s">
        <v>36</v>
      </c>
      <c r="G55" s="70">
        <v>0</v>
      </c>
      <c r="H55" s="70">
        <v>0</v>
      </c>
      <c r="I55" s="70">
        <f t="shared" si="8"/>
        <v>0</v>
      </c>
      <c r="J55" s="70">
        <f t="shared" si="9"/>
        <v>0</v>
      </c>
    </row>
    <row r="56" spans="1:10" ht="63" x14ac:dyDescent="0.25">
      <c r="A56" s="66" t="s">
        <v>132</v>
      </c>
      <c r="B56" s="67" t="s">
        <v>131</v>
      </c>
      <c r="C56" s="68" t="s">
        <v>1366</v>
      </c>
      <c r="D56" s="62">
        <v>20</v>
      </c>
      <c r="E56" s="62">
        <v>20</v>
      </c>
      <c r="F56" s="69" t="s">
        <v>36</v>
      </c>
      <c r="G56" s="70">
        <v>0</v>
      </c>
      <c r="H56" s="70">
        <v>0</v>
      </c>
      <c r="I56" s="70">
        <f t="shared" si="8"/>
        <v>0</v>
      </c>
      <c r="J56" s="70">
        <f t="shared" si="9"/>
        <v>0</v>
      </c>
    </row>
    <row r="57" spans="1:10" ht="15" customHeight="1" x14ac:dyDescent="0.25">
      <c r="A57" s="85" t="s">
        <v>55</v>
      </c>
      <c r="B57" s="85"/>
      <c r="C57" s="85"/>
      <c r="D57" s="85"/>
      <c r="E57" s="85"/>
      <c r="F57" s="85"/>
      <c r="G57" s="85"/>
      <c r="H57" s="85"/>
      <c r="I57" s="85"/>
      <c r="J57" s="85"/>
    </row>
    <row r="58" spans="1:10" ht="47.25" x14ac:dyDescent="0.25">
      <c r="A58" s="66" t="s">
        <v>134</v>
      </c>
      <c r="B58" s="67" t="s">
        <v>133</v>
      </c>
      <c r="C58" s="74" t="s">
        <v>1377</v>
      </c>
      <c r="D58" s="62">
        <v>20</v>
      </c>
      <c r="E58" s="62">
        <v>20</v>
      </c>
      <c r="F58" s="69" t="s">
        <v>36</v>
      </c>
      <c r="G58" s="70">
        <v>0</v>
      </c>
      <c r="H58" s="70">
        <v>0</v>
      </c>
      <c r="I58" s="70">
        <f t="shared" ref="I58:I65" si="10">D58*G58</f>
        <v>0</v>
      </c>
      <c r="J58" s="70">
        <f t="shared" ref="J58:J65" si="11">G58*I58</f>
        <v>0</v>
      </c>
    </row>
    <row r="59" spans="1:10" x14ac:dyDescent="0.25">
      <c r="A59" s="66" t="s">
        <v>136</v>
      </c>
      <c r="B59" s="67" t="s">
        <v>135</v>
      </c>
      <c r="C59" s="68" t="s">
        <v>137</v>
      </c>
      <c r="D59" s="62">
        <v>20</v>
      </c>
      <c r="E59" s="62">
        <v>20</v>
      </c>
      <c r="F59" s="69" t="s">
        <v>36</v>
      </c>
      <c r="G59" s="70">
        <v>0</v>
      </c>
      <c r="H59" s="70">
        <v>0</v>
      </c>
      <c r="I59" s="70">
        <f t="shared" si="10"/>
        <v>0</v>
      </c>
      <c r="J59" s="70">
        <f t="shared" si="11"/>
        <v>0</v>
      </c>
    </row>
    <row r="60" spans="1:10" ht="78.75" x14ac:dyDescent="0.25">
      <c r="A60" s="66" t="s">
        <v>139</v>
      </c>
      <c r="B60" s="67" t="s">
        <v>138</v>
      </c>
      <c r="C60" s="68" t="s">
        <v>1378</v>
      </c>
      <c r="D60" s="62">
        <v>20</v>
      </c>
      <c r="E60" s="62">
        <v>20</v>
      </c>
      <c r="F60" s="69" t="s">
        <v>36</v>
      </c>
      <c r="G60" s="70">
        <v>0</v>
      </c>
      <c r="H60" s="70">
        <v>0</v>
      </c>
      <c r="I60" s="70">
        <f t="shared" si="10"/>
        <v>0</v>
      </c>
      <c r="J60" s="70">
        <f t="shared" si="11"/>
        <v>0</v>
      </c>
    </row>
    <row r="61" spans="1:10" ht="47.25" x14ac:dyDescent="0.25">
      <c r="A61" s="66" t="s">
        <v>141</v>
      </c>
      <c r="B61" s="67" t="s">
        <v>140</v>
      </c>
      <c r="C61" s="68" t="s">
        <v>1367</v>
      </c>
      <c r="D61" s="62">
        <v>4827</v>
      </c>
      <c r="E61" s="62">
        <v>4827</v>
      </c>
      <c r="F61" s="69" t="s">
        <v>36</v>
      </c>
      <c r="G61" s="70">
        <v>0</v>
      </c>
      <c r="H61" s="70">
        <v>0</v>
      </c>
      <c r="I61" s="70">
        <f t="shared" si="10"/>
        <v>0</v>
      </c>
      <c r="J61" s="70">
        <f t="shared" si="11"/>
        <v>0</v>
      </c>
    </row>
    <row r="62" spans="1:10" ht="31.5" x14ac:dyDescent="0.25">
      <c r="A62" s="66" t="s">
        <v>143</v>
      </c>
      <c r="B62" s="67" t="s">
        <v>142</v>
      </c>
      <c r="C62" s="68" t="s">
        <v>144</v>
      </c>
      <c r="D62" s="62">
        <v>20</v>
      </c>
      <c r="E62" s="62">
        <v>20</v>
      </c>
      <c r="F62" s="69" t="s">
        <v>36</v>
      </c>
      <c r="G62" s="70">
        <v>0</v>
      </c>
      <c r="H62" s="70">
        <v>0</v>
      </c>
      <c r="I62" s="70">
        <f t="shared" si="10"/>
        <v>0</v>
      </c>
      <c r="J62" s="70">
        <f t="shared" si="11"/>
        <v>0</v>
      </c>
    </row>
    <row r="63" spans="1:10" ht="31.5" x14ac:dyDescent="0.25">
      <c r="A63" s="66" t="s">
        <v>146</v>
      </c>
      <c r="B63" s="67" t="s">
        <v>145</v>
      </c>
      <c r="C63" s="68" t="s">
        <v>147</v>
      </c>
      <c r="D63" s="62">
        <v>20</v>
      </c>
      <c r="E63" s="62">
        <v>20</v>
      </c>
      <c r="F63" s="69" t="s">
        <v>36</v>
      </c>
      <c r="G63" s="70">
        <v>0</v>
      </c>
      <c r="H63" s="70">
        <v>0</v>
      </c>
      <c r="I63" s="70">
        <f t="shared" si="10"/>
        <v>0</v>
      </c>
      <c r="J63" s="70">
        <f t="shared" si="11"/>
        <v>0</v>
      </c>
    </row>
    <row r="64" spans="1:10" ht="31.5" x14ac:dyDescent="0.25">
      <c r="A64" s="66" t="s">
        <v>149</v>
      </c>
      <c r="B64" s="67" t="s">
        <v>148</v>
      </c>
      <c r="C64" s="68" t="s">
        <v>150</v>
      </c>
      <c r="D64" s="62">
        <v>20</v>
      </c>
      <c r="E64" s="62">
        <v>20</v>
      </c>
      <c r="F64" s="69" t="s">
        <v>36</v>
      </c>
      <c r="G64" s="70">
        <v>0</v>
      </c>
      <c r="H64" s="70">
        <v>0</v>
      </c>
      <c r="I64" s="70">
        <f t="shared" si="10"/>
        <v>0</v>
      </c>
      <c r="J64" s="70">
        <f t="shared" si="11"/>
        <v>0</v>
      </c>
    </row>
    <row r="65" spans="1:10" ht="47.25" x14ac:dyDescent="0.25">
      <c r="A65" s="66" t="s">
        <v>152</v>
      </c>
      <c r="B65" s="67" t="s">
        <v>151</v>
      </c>
      <c r="C65" s="68" t="s">
        <v>153</v>
      </c>
      <c r="D65" s="62">
        <v>40</v>
      </c>
      <c r="E65" s="62">
        <v>40</v>
      </c>
      <c r="F65" s="69" t="s">
        <v>36</v>
      </c>
      <c r="G65" s="70">
        <v>0</v>
      </c>
      <c r="H65" s="70">
        <v>0</v>
      </c>
      <c r="I65" s="70">
        <f t="shared" si="10"/>
        <v>0</v>
      </c>
      <c r="J65" s="70">
        <f t="shared" si="11"/>
        <v>0</v>
      </c>
    </row>
    <row r="66" spans="1:10" ht="15" customHeight="1" x14ac:dyDescent="0.25">
      <c r="A66" s="84" t="s">
        <v>56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0" ht="63" x14ac:dyDescent="0.25">
      <c r="A67" s="66" t="s">
        <v>57</v>
      </c>
      <c r="B67" s="67" t="s">
        <v>58</v>
      </c>
      <c r="C67" s="72" t="s">
        <v>154</v>
      </c>
      <c r="D67" s="62">
        <v>4231</v>
      </c>
      <c r="E67" s="62">
        <v>4231</v>
      </c>
      <c r="F67" s="69" t="s">
        <v>36</v>
      </c>
      <c r="G67" s="70">
        <v>0</v>
      </c>
      <c r="H67" s="70">
        <v>0</v>
      </c>
      <c r="I67" s="70">
        <f t="shared" ref="I67:I78" si="12">D67*G67</f>
        <v>0</v>
      </c>
      <c r="J67" s="70">
        <f t="shared" ref="J67:J78" si="13">G67*I67</f>
        <v>0</v>
      </c>
    </row>
    <row r="68" spans="1:10" ht="78.75" x14ac:dyDescent="0.25">
      <c r="A68" s="66" t="s">
        <v>156</v>
      </c>
      <c r="B68" s="67" t="s">
        <v>155</v>
      </c>
      <c r="C68" s="72" t="s">
        <v>157</v>
      </c>
      <c r="D68" s="62">
        <v>50</v>
      </c>
      <c r="E68" s="62">
        <v>50</v>
      </c>
      <c r="F68" s="69" t="s">
        <v>36</v>
      </c>
      <c r="G68" s="70">
        <v>0</v>
      </c>
      <c r="H68" s="70">
        <v>0</v>
      </c>
      <c r="I68" s="70">
        <f t="shared" si="12"/>
        <v>0</v>
      </c>
      <c r="J68" s="70">
        <f t="shared" si="13"/>
        <v>0</v>
      </c>
    </row>
    <row r="69" spans="1:10" ht="78.75" x14ac:dyDescent="0.25">
      <c r="A69" s="66" t="s">
        <v>159</v>
      </c>
      <c r="B69" s="67" t="s">
        <v>158</v>
      </c>
      <c r="C69" s="72" t="s">
        <v>1379</v>
      </c>
      <c r="D69" s="62">
        <v>14075</v>
      </c>
      <c r="E69" s="62">
        <v>14075</v>
      </c>
      <c r="F69" s="69" t="s">
        <v>36</v>
      </c>
      <c r="G69" s="70">
        <v>0</v>
      </c>
      <c r="H69" s="70">
        <v>0</v>
      </c>
      <c r="I69" s="70">
        <f t="shared" si="12"/>
        <v>0</v>
      </c>
      <c r="J69" s="70">
        <f t="shared" si="13"/>
        <v>0</v>
      </c>
    </row>
    <row r="70" spans="1:10" ht="94.5" x14ac:dyDescent="0.25">
      <c r="A70" s="66" t="s">
        <v>59</v>
      </c>
      <c r="B70" s="67" t="s">
        <v>60</v>
      </c>
      <c r="C70" s="72" t="s">
        <v>1380</v>
      </c>
      <c r="D70" s="62">
        <v>1300</v>
      </c>
      <c r="E70" s="62">
        <v>1300</v>
      </c>
      <c r="F70" s="69" t="s">
        <v>36</v>
      </c>
      <c r="G70" s="70">
        <v>0</v>
      </c>
      <c r="H70" s="70">
        <v>0</v>
      </c>
      <c r="I70" s="70">
        <f t="shared" si="12"/>
        <v>0</v>
      </c>
      <c r="J70" s="70">
        <f t="shared" si="13"/>
        <v>0</v>
      </c>
    </row>
    <row r="71" spans="1:10" ht="63" x14ac:dyDescent="0.25">
      <c r="A71" s="66" t="s">
        <v>61</v>
      </c>
      <c r="B71" s="67" t="s">
        <v>62</v>
      </c>
      <c r="C71" s="76" t="s">
        <v>1381</v>
      </c>
      <c r="D71" s="62">
        <v>1500</v>
      </c>
      <c r="E71" s="62">
        <v>1500</v>
      </c>
      <c r="F71" s="69" t="s">
        <v>63</v>
      </c>
      <c r="G71" s="70">
        <v>0</v>
      </c>
      <c r="H71" s="70">
        <v>0</v>
      </c>
      <c r="I71" s="70">
        <f t="shared" si="12"/>
        <v>0</v>
      </c>
      <c r="J71" s="70">
        <f t="shared" si="13"/>
        <v>0</v>
      </c>
    </row>
    <row r="72" spans="1:10" ht="63" x14ac:dyDescent="0.25">
      <c r="A72" s="66" t="s">
        <v>161</v>
      </c>
      <c r="B72" s="67" t="s">
        <v>160</v>
      </c>
      <c r="C72" s="76" t="s">
        <v>1381</v>
      </c>
      <c r="D72" s="62">
        <v>4057</v>
      </c>
      <c r="E72" s="62">
        <v>4057</v>
      </c>
      <c r="F72" s="69" t="s">
        <v>36</v>
      </c>
      <c r="G72" s="70">
        <v>0</v>
      </c>
      <c r="H72" s="70">
        <v>0</v>
      </c>
      <c r="I72" s="70">
        <f t="shared" si="12"/>
        <v>0</v>
      </c>
      <c r="J72" s="70">
        <f t="shared" si="13"/>
        <v>0</v>
      </c>
    </row>
    <row r="73" spans="1:10" ht="63" x14ac:dyDescent="0.25">
      <c r="A73" s="66" t="s">
        <v>163</v>
      </c>
      <c r="B73" s="67" t="s">
        <v>162</v>
      </c>
      <c r="C73" s="68" t="s">
        <v>164</v>
      </c>
      <c r="D73" s="62">
        <v>50</v>
      </c>
      <c r="E73" s="62">
        <v>50</v>
      </c>
      <c r="F73" s="69" t="s">
        <v>36</v>
      </c>
      <c r="G73" s="70">
        <v>0</v>
      </c>
      <c r="H73" s="70">
        <v>0</v>
      </c>
      <c r="I73" s="70">
        <f t="shared" si="12"/>
        <v>0</v>
      </c>
      <c r="J73" s="70">
        <f t="shared" si="13"/>
        <v>0</v>
      </c>
    </row>
    <row r="74" spans="1:10" ht="78.75" x14ac:dyDescent="0.25">
      <c r="A74" s="66" t="s">
        <v>166</v>
      </c>
      <c r="B74" s="67" t="s">
        <v>165</v>
      </c>
      <c r="C74" s="76" t="s">
        <v>1382</v>
      </c>
      <c r="D74" s="62">
        <v>1500</v>
      </c>
      <c r="E74" s="62">
        <v>1500</v>
      </c>
      <c r="F74" s="69" t="s">
        <v>63</v>
      </c>
      <c r="G74" s="70">
        <v>0</v>
      </c>
      <c r="H74" s="70">
        <v>0</v>
      </c>
      <c r="I74" s="70">
        <f t="shared" si="12"/>
        <v>0</v>
      </c>
      <c r="J74" s="70">
        <f t="shared" si="13"/>
        <v>0</v>
      </c>
    </row>
    <row r="75" spans="1:10" ht="78.75" x14ac:dyDescent="0.25">
      <c r="A75" s="66" t="s">
        <v>168</v>
      </c>
      <c r="B75" s="67" t="s">
        <v>167</v>
      </c>
      <c r="C75" s="76" t="s">
        <v>1382</v>
      </c>
      <c r="D75" s="62">
        <v>37</v>
      </c>
      <c r="E75" s="62">
        <v>37</v>
      </c>
      <c r="F75" s="69" t="s">
        <v>36</v>
      </c>
      <c r="G75" s="70">
        <v>0</v>
      </c>
      <c r="H75" s="70">
        <v>0</v>
      </c>
      <c r="I75" s="70">
        <f t="shared" si="12"/>
        <v>0</v>
      </c>
      <c r="J75" s="70">
        <f t="shared" si="13"/>
        <v>0</v>
      </c>
    </row>
    <row r="76" spans="1:10" ht="31.5" x14ac:dyDescent="0.25">
      <c r="A76" s="66" t="s">
        <v>170</v>
      </c>
      <c r="B76" s="67" t="s">
        <v>169</v>
      </c>
      <c r="C76" s="68" t="s">
        <v>171</v>
      </c>
      <c r="D76" s="62">
        <v>50</v>
      </c>
      <c r="E76" s="62">
        <v>50</v>
      </c>
      <c r="F76" s="69" t="s">
        <v>36</v>
      </c>
      <c r="G76" s="70">
        <v>0</v>
      </c>
      <c r="H76" s="70">
        <v>0</v>
      </c>
      <c r="I76" s="70">
        <f t="shared" si="12"/>
        <v>0</v>
      </c>
      <c r="J76" s="70">
        <f t="shared" si="13"/>
        <v>0</v>
      </c>
    </row>
    <row r="77" spans="1:10" ht="96.75" customHeight="1" x14ac:dyDescent="0.25">
      <c r="A77" s="66" t="s">
        <v>1345</v>
      </c>
      <c r="B77" s="67" t="s">
        <v>1346</v>
      </c>
      <c r="C77" s="68" t="s">
        <v>1383</v>
      </c>
      <c r="D77" s="62">
        <v>50</v>
      </c>
      <c r="E77" s="62">
        <v>50</v>
      </c>
      <c r="F77" s="69" t="s">
        <v>36</v>
      </c>
      <c r="G77" s="70">
        <v>0</v>
      </c>
      <c r="H77" s="70">
        <v>0</v>
      </c>
      <c r="I77" s="70">
        <f t="shared" ref="I77" si="14">D77*G77</f>
        <v>0</v>
      </c>
      <c r="J77" s="70">
        <f t="shared" ref="J77" si="15">G77*I77</f>
        <v>0</v>
      </c>
    </row>
    <row r="78" spans="1:10" ht="63" x14ac:dyDescent="0.25">
      <c r="A78" s="66" t="s">
        <v>173</v>
      </c>
      <c r="B78" s="67" t="s">
        <v>172</v>
      </c>
      <c r="C78" s="68" t="s">
        <v>174</v>
      </c>
      <c r="D78" s="62">
        <v>50</v>
      </c>
      <c r="E78" s="62">
        <v>50</v>
      </c>
      <c r="F78" s="69" t="s">
        <v>36</v>
      </c>
      <c r="G78" s="70">
        <v>0</v>
      </c>
      <c r="H78" s="70">
        <v>0</v>
      </c>
      <c r="I78" s="70">
        <f t="shared" si="12"/>
        <v>0</v>
      </c>
      <c r="J78" s="70">
        <f t="shared" si="13"/>
        <v>0</v>
      </c>
    </row>
    <row r="79" spans="1:10" ht="15" customHeight="1" x14ac:dyDescent="0.25">
      <c r="A79" s="84" t="s">
        <v>64</v>
      </c>
      <c r="B79" s="84"/>
      <c r="C79" s="84"/>
      <c r="D79" s="84"/>
      <c r="E79" s="84"/>
      <c r="F79" s="84"/>
      <c r="G79" s="84"/>
      <c r="H79" s="84"/>
      <c r="I79" s="84"/>
      <c r="J79" s="84"/>
    </row>
    <row r="80" spans="1:10" ht="47.25" x14ac:dyDescent="0.25">
      <c r="A80" s="77" t="s">
        <v>1309</v>
      </c>
      <c r="B80" s="67" t="s">
        <v>1318</v>
      </c>
      <c r="C80" s="68" t="s">
        <v>1384</v>
      </c>
      <c r="D80" s="62">
        <v>50</v>
      </c>
      <c r="E80" s="62">
        <v>50</v>
      </c>
      <c r="F80" s="69" t="s">
        <v>36</v>
      </c>
      <c r="G80" s="70">
        <v>0</v>
      </c>
      <c r="H80" s="70">
        <v>0</v>
      </c>
      <c r="I80" s="70">
        <f t="shared" ref="I80" si="16">D80*G80</f>
        <v>0</v>
      </c>
      <c r="J80" s="70">
        <f t="shared" ref="J80" si="17">G80*I80</f>
        <v>0</v>
      </c>
    </row>
    <row r="81" spans="1:10" ht="63" x14ac:dyDescent="0.25">
      <c r="A81" s="77" t="s">
        <v>1310</v>
      </c>
      <c r="B81" s="67" t="s">
        <v>1319</v>
      </c>
      <c r="C81" s="68" t="s">
        <v>1385</v>
      </c>
      <c r="D81" s="62">
        <v>50</v>
      </c>
      <c r="E81" s="62">
        <v>50</v>
      </c>
      <c r="F81" s="69" t="s">
        <v>36</v>
      </c>
      <c r="G81" s="70">
        <v>0</v>
      </c>
      <c r="H81" s="70">
        <v>0</v>
      </c>
      <c r="I81" s="70">
        <f t="shared" ref="I81:I87" si="18">D81*G81</f>
        <v>0</v>
      </c>
      <c r="J81" s="70">
        <f t="shared" ref="J81:J87" si="19">G81*I81</f>
        <v>0</v>
      </c>
    </row>
    <row r="82" spans="1:10" ht="47.25" x14ac:dyDescent="0.25">
      <c r="A82" s="77" t="s">
        <v>1311</v>
      </c>
      <c r="B82" s="67" t="s">
        <v>1320</v>
      </c>
      <c r="C82" s="68" t="s">
        <v>1386</v>
      </c>
      <c r="D82" s="62">
        <v>50</v>
      </c>
      <c r="E82" s="62">
        <v>50</v>
      </c>
      <c r="F82" s="69" t="s">
        <v>36</v>
      </c>
      <c r="G82" s="70">
        <v>0</v>
      </c>
      <c r="H82" s="70">
        <v>0</v>
      </c>
      <c r="I82" s="70">
        <f t="shared" si="18"/>
        <v>0</v>
      </c>
      <c r="J82" s="70">
        <f t="shared" si="19"/>
        <v>0</v>
      </c>
    </row>
    <row r="83" spans="1:10" ht="31.5" x14ac:dyDescent="0.25">
      <c r="A83" s="77" t="s">
        <v>1312</v>
      </c>
      <c r="B83" s="67" t="s">
        <v>1321</v>
      </c>
      <c r="C83" s="68" t="s">
        <v>1387</v>
      </c>
      <c r="D83" s="62">
        <v>50</v>
      </c>
      <c r="E83" s="62">
        <v>50</v>
      </c>
      <c r="F83" s="69" t="s">
        <v>36</v>
      </c>
      <c r="G83" s="70">
        <v>0</v>
      </c>
      <c r="H83" s="70">
        <v>0</v>
      </c>
      <c r="I83" s="70">
        <f t="shared" si="18"/>
        <v>0</v>
      </c>
      <c r="J83" s="70">
        <f t="shared" si="19"/>
        <v>0</v>
      </c>
    </row>
    <row r="84" spans="1:10" ht="63" x14ac:dyDescent="0.25">
      <c r="A84" s="77" t="s">
        <v>1313</v>
      </c>
      <c r="B84" s="67" t="s">
        <v>1322</v>
      </c>
      <c r="C84" s="68" t="s">
        <v>1388</v>
      </c>
      <c r="D84" s="62">
        <v>50</v>
      </c>
      <c r="E84" s="62">
        <v>50</v>
      </c>
      <c r="F84" s="69" t="s">
        <v>36</v>
      </c>
      <c r="G84" s="70">
        <v>0</v>
      </c>
      <c r="H84" s="70">
        <v>0</v>
      </c>
      <c r="I84" s="70">
        <f t="shared" si="18"/>
        <v>0</v>
      </c>
      <c r="J84" s="70">
        <f t="shared" si="19"/>
        <v>0</v>
      </c>
    </row>
    <row r="85" spans="1:10" ht="78.75" x14ac:dyDescent="0.25">
      <c r="A85" s="77" t="s">
        <v>1314</v>
      </c>
      <c r="B85" s="67" t="s">
        <v>1323</v>
      </c>
      <c r="C85" s="68" t="s">
        <v>1389</v>
      </c>
      <c r="D85" s="62">
        <v>50</v>
      </c>
      <c r="E85" s="62">
        <v>50</v>
      </c>
      <c r="F85" s="69" t="s">
        <v>36</v>
      </c>
      <c r="G85" s="70">
        <v>0</v>
      </c>
      <c r="H85" s="70">
        <v>0</v>
      </c>
      <c r="I85" s="70">
        <f t="shared" si="18"/>
        <v>0</v>
      </c>
      <c r="J85" s="70">
        <f t="shared" si="19"/>
        <v>0</v>
      </c>
    </row>
    <row r="86" spans="1:10" ht="63" x14ac:dyDescent="0.25">
      <c r="A86" s="77" t="s">
        <v>1315</v>
      </c>
      <c r="B86" s="67" t="s">
        <v>1324</v>
      </c>
      <c r="C86" s="68" t="s">
        <v>1390</v>
      </c>
      <c r="D86" s="62">
        <v>50</v>
      </c>
      <c r="E86" s="62">
        <v>50</v>
      </c>
      <c r="F86" s="69" t="s">
        <v>36</v>
      </c>
      <c r="G86" s="70">
        <v>0</v>
      </c>
      <c r="H86" s="70">
        <v>0</v>
      </c>
      <c r="I86" s="70">
        <f t="shared" si="18"/>
        <v>0</v>
      </c>
      <c r="J86" s="70">
        <f t="shared" si="19"/>
        <v>0</v>
      </c>
    </row>
    <row r="87" spans="1:10" ht="31.5" x14ac:dyDescent="0.25">
      <c r="A87" s="77" t="s">
        <v>1316</v>
      </c>
      <c r="B87" s="67" t="s">
        <v>1325</v>
      </c>
      <c r="C87" s="68" t="s">
        <v>1391</v>
      </c>
      <c r="D87" s="62">
        <v>50</v>
      </c>
      <c r="E87" s="62">
        <v>50</v>
      </c>
      <c r="F87" s="69" t="s">
        <v>36</v>
      </c>
      <c r="G87" s="70">
        <v>0</v>
      </c>
      <c r="H87" s="70">
        <v>0</v>
      </c>
      <c r="I87" s="70">
        <f t="shared" si="18"/>
        <v>0</v>
      </c>
      <c r="J87" s="70">
        <f t="shared" si="19"/>
        <v>0</v>
      </c>
    </row>
    <row r="88" spans="1:10" ht="78.75" x14ac:dyDescent="0.25">
      <c r="A88" s="77" t="s">
        <v>176</v>
      </c>
      <c r="B88" s="67" t="s">
        <v>175</v>
      </c>
      <c r="C88" s="68" t="s">
        <v>1392</v>
      </c>
      <c r="D88" s="62">
        <v>11140</v>
      </c>
      <c r="E88" s="62">
        <v>11140</v>
      </c>
      <c r="F88" s="69" t="s">
        <v>36</v>
      </c>
      <c r="G88" s="70">
        <v>0</v>
      </c>
      <c r="H88" s="70">
        <v>0</v>
      </c>
      <c r="I88" s="70">
        <f t="shared" ref="I88:I90" si="20">D88*G88</f>
        <v>0</v>
      </c>
      <c r="J88" s="70">
        <f t="shared" ref="J88:J90" si="21">G88*I88</f>
        <v>0</v>
      </c>
    </row>
    <row r="89" spans="1:10" ht="63" x14ac:dyDescent="0.25">
      <c r="A89" s="77" t="s">
        <v>178</v>
      </c>
      <c r="B89" s="67" t="s">
        <v>177</v>
      </c>
      <c r="C89" s="68" t="s">
        <v>1393</v>
      </c>
      <c r="D89" s="62">
        <v>3360</v>
      </c>
      <c r="E89" s="62">
        <v>3360</v>
      </c>
      <c r="F89" s="69" t="s">
        <v>36</v>
      </c>
      <c r="G89" s="70">
        <v>0</v>
      </c>
      <c r="H89" s="70">
        <v>0</v>
      </c>
      <c r="I89" s="70">
        <f t="shared" ref="I89" si="22">D89*G89</f>
        <v>0</v>
      </c>
      <c r="J89" s="70">
        <f t="shared" ref="J89" si="23">G89*I89</f>
        <v>0</v>
      </c>
    </row>
    <row r="90" spans="1:10" ht="47.25" x14ac:dyDescent="0.25">
      <c r="A90" s="77" t="s">
        <v>1317</v>
      </c>
      <c r="B90" s="67" t="s">
        <v>1326</v>
      </c>
      <c r="C90" s="68" t="s">
        <v>1394</v>
      </c>
      <c r="D90" s="62">
        <v>250</v>
      </c>
      <c r="E90" s="62">
        <v>250</v>
      </c>
      <c r="F90" s="69" t="s">
        <v>36</v>
      </c>
      <c r="G90" s="70">
        <v>0</v>
      </c>
      <c r="H90" s="70">
        <v>0</v>
      </c>
      <c r="I90" s="70">
        <f t="shared" si="20"/>
        <v>0</v>
      </c>
      <c r="J90" s="70">
        <f t="shared" si="21"/>
        <v>0</v>
      </c>
    </row>
    <row r="91" spans="1:10" ht="33" customHeight="1" x14ac:dyDescent="0.25">
      <c r="A91" s="85" t="s">
        <v>1348</v>
      </c>
      <c r="B91" s="85"/>
      <c r="C91" s="85"/>
      <c r="D91" s="85"/>
      <c r="E91" s="85"/>
      <c r="F91" s="85"/>
      <c r="G91" s="85"/>
      <c r="H91" s="85"/>
      <c r="I91" s="85"/>
      <c r="J91" s="85"/>
    </row>
    <row r="92" spans="1:10" ht="31.5" x14ac:dyDescent="0.25">
      <c r="A92" s="66" t="s">
        <v>65</v>
      </c>
      <c r="B92" s="67" t="s">
        <v>66</v>
      </c>
      <c r="C92" s="76" t="s">
        <v>179</v>
      </c>
      <c r="D92" s="62">
        <v>1500</v>
      </c>
      <c r="E92" s="62">
        <v>1500</v>
      </c>
      <c r="F92" s="69" t="s">
        <v>63</v>
      </c>
      <c r="G92" s="70">
        <v>0</v>
      </c>
      <c r="H92" s="70">
        <v>0</v>
      </c>
      <c r="I92" s="70">
        <f t="shared" ref="I92:I100" si="24">D92*G92</f>
        <v>0</v>
      </c>
      <c r="J92" s="70">
        <f t="shared" ref="J92:J100" si="25">G92*I92</f>
        <v>0</v>
      </c>
    </row>
    <row r="93" spans="1:10" ht="35.1" customHeight="1" x14ac:dyDescent="0.25">
      <c r="A93" s="66" t="s">
        <v>181</v>
      </c>
      <c r="B93" s="67" t="s">
        <v>180</v>
      </c>
      <c r="C93" s="76" t="s">
        <v>179</v>
      </c>
      <c r="D93" s="62">
        <v>243</v>
      </c>
      <c r="E93" s="62">
        <v>243</v>
      </c>
      <c r="F93" s="69" t="s">
        <v>36</v>
      </c>
      <c r="G93" s="70">
        <v>0</v>
      </c>
      <c r="H93" s="70">
        <v>0</v>
      </c>
      <c r="I93" s="70">
        <f t="shared" si="24"/>
        <v>0</v>
      </c>
      <c r="J93" s="70">
        <f t="shared" si="25"/>
        <v>0</v>
      </c>
    </row>
    <row r="94" spans="1:10" ht="47.25" x14ac:dyDescent="0.25">
      <c r="A94" s="66" t="s">
        <v>183</v>
      </c>
      <c r="B94" s="67" t="s">
        <v>182</v>
      </c>
      <c r="C94" s="76" t="s">
        <v>184</v>
      </c>
      <c r="D94" s="62">
        <v>1500</v>
      </c>
      <c r="E94" s="62">
        <v>1500</v>
      </c>
      <c r="F94" s="69" t="s">
        <v>63</v>
      </c>
      <c r="G94" s="70">
        <v>0</v>
      </c>
      <c r="H94" s="70">
        <v>0</v>
      </c>
      <c r="I94" s="70">
        <f t="shared" si="24"/>
        <v>0</v>
      </c>
      <c r="J94" s="70">
        <f t="shared" si="25"/>
        <v>0</v>
      </c>
    </row>
    <row r="95" spans="1:10" ht="47.25" x14ac:dyDescent="0.25">
      <c r="A95" s="66" t="s">
        <v>186</v>
      </c>
      <c r="B95" s="67" t="s">
        <v>185</v>
      </c>
      <c r="C95" s="76" t="s">
        <v>184</v>
      </c>
      <c r="D95" s="62">
        <v>50</v>
      </c>
      <c r="E95" s="62">
        <v>50</v>
      </c>
      <c r="F95" s="69" t="s">
        <v>36</v>
      </c>
      <c r="G95" s="70">
        <v>0</v>
      </c>
      <c r="H95" s="70">
        <v>0</v>
      </c>
      <c r="I95" s="70">
        <f t="shared" si="24"/>
        <v>0</v>
      </c>
      <c r="J95" s="70">
        <f t="shared" si="25"/>
        <v>0</v>
      </c>
    </row>
    <row r="96" spans="1:10" ht="110.25" x14ac:dyDescent="0.25">
      <c r="A96" s="66" t="s">
        <v>1355</v>
      </c>
      <c r="B96" s="67" t="s">
        <v>1360</v>
      </c>
      <c r="C96" s="68" t="s">
        <v>1371</v>
      </c>
      <c r="D96" s="62">
        <v>1500</v>
      </c>
      <c r="E96" s="62">
        <v>1500</v>
      </c>
      <c r="F96" s="69" t="s">
        <v>63</v>
      </c>
      <c r="G96" s="70">
        <v>0</v>
      </c>
      <c r="H96" s="70">
        <v>0</v>
      </c>
      <c r="I96" s="70">
        <f t="shared" ref="I96:I97" si="26">D96*G96</f>
        <v>0</v>
      </c>
      <c r="J96" s="70">
        <f t="shared" ref="J96:J97" si="27">G96*I96</f>
        <v>0</v>
      </c>
    </row>
    <row r="97" spans="1:10" ht="110.25" x14ac:dyDescent="0.25">
      <c r="A97" s="66" t="s">
        <v>1356</v>
      </c>
      <c r="B97" s="67" t="s">
        <v>1361</v>
      </c>
      <c r="C97" s="68" t="s">
        <v>1371</v>
      </c>
      <c r="D97" s="62">
        <v>250</v>
      </c>
      <c r="E97" s="62">
        <v>250</v>
      </c>
      <c r="F97" s="69" t="s">
        <v>36</v>
      </c>
      <c r="G97" s="70">
        <v>0</v>
      </c>
      <c r="H97" s="70">
        <v>0</v>
      </c>
      <c r="I97" s="70">
        <f t="shared" si="26"/>
        <v>0</v>
      </c>
      <c r="J97" s="70">
        <f t="shared" si="27"/>
        <v>0</v>
      </c>
    </row>
    <row r="98" spans="1:10" ht="47.25" x14ac:dyDescent="0.25">
      <c r="A98" s="66" t="s">
        <v>188</v>
      </c>
      <c r="B98" s="67" t="s">
        <v>187</v>
      </c>
      <c r="C98" s="68" t="s">
        <v>1351</v>
      </c>
      <c r="D98" s="62">
        <v>6150</v>
      </c>
      <c r="E98" s="62">
        <v>6150</v>
      </c>
      <c r="F98" s="69" t="s">
        <v>36</v>
      </c>
      <c r="G98" s="70">
        <v>0</v>
      </c>
      <c r="H98" s="70">
        <v>0</v>
      </c>
      <c r="I98" s="70">
        <f t="shared" si="24"/>
        <v>0</v>
      </c>
      <c r="J98" s="70">
        <f t="shared" si="25"/>
        <v>0</v>
      </c>
    </row>
    <row r="99" spans="1:10" ht="47.25" x14ac:dyDescent="0.25">
      <c r="A99" s="66" t="s">
        <v>190</v>
      </c>
      <c r="B99" s="67" t="s">
        <v>189</v>
      </c>
      <c r="C99" s="68" t="s">
        <v>1372</v>
      </c>
      <c r="D99" s="62">
        <v>51326</v>
      </c>
      <c r="E99" s="62">
        <v>51326</v>
      </c>
      <c r="F99" s="69" t="s">
        <v>36</v>
      </c>
      <c r="G99" s="70">
        <v>0</v>
      </c>
      <c r="H99" s="70">
        <v>0</v>
      </c>
      <c r="I99" s="70">
        <f t="shared" si="24"/>
        <v>0</v>
      </c>
      <c r="J99" s="70">
        <f t="shared" si="25"/>
        <v>0</v>
      </c>
    </row>
    <row r="100" spans="1:10" ht="78.75" x14ac:dyDescent="0.25">
      <c r="A100" s="66" t="s">
        <v>192</v>
      </c>
      <c r="B100" s="67" t="s">
        <v>191</v>
      </c>
      <c r="C100" s="68" t="s">
        <v>1373</v>
      </c>
      <c r="D100" s="62">
        <v>50</v>
      </c>
      <c r="E100" s="62">
        <v>50</v>
      </c>
      <c r="F100" s="69" t="s">
        <v>36</v>
      </c>
      <c r="G100" s="70">
        <v>0</v>
      </c>
      <c r="H100" s="70">
        <v>0</v>
      </c>
      <c r="I100" s="70">
        <f t="shared" si="24"/>
        <v>0</v>
      </c>
      <c r="J100" s="70">
        <f t="shared" si="25"/>
        <v>0</v>
      </c>
    </row>
    <row r="101" spans="1:10" ht="15" customHeight="1" x14ac:dyDescent="0.25">
      <c r="A101" s="84" t="s">
        <v>193</v>
      </c>
      <c r="B101" s="84"/>
      <c r="C101" s="84"/>
      <c r="D101" s="84"/>
      <c r="E101" s="84"/>
      <c r="F101" s="84"/>
      <c r="G101" s="84"/>
      <c r="H101" s="84"/>
      <c r="I101" s="84"/>
      <c r="J101" s="84"/>
    </row>
    <row r="102" spans="1:10" ht="78.75" x14ac:dyDescent="0.25">
      <c r="A102" s="66" t="s">
        <v>195</v>
      </c>
      <c r="B102" s="67" t="s">
        <v>194</v>
      </c>
      <c r="C102" s="68" t="s">
        <v>1357</v>
      </c>
      <c r="D102" s="62">
        <v>1151</v>
      </c>
      <c r="E102" s="62">
        <v>1151</v>
      </c>
      <c r="F102" s="69" t="s">
        <v>36</v>
      </c>
      <c r="G102" s="70">
        <v>0</v>
      </c>
      <c r="H102" s="70">
        <v>0</v>
      </c>
      <c r="I102" s="70">
        <f t="shared" ref="I102:I106" si="28">D102*G102</f>
        <v>0</v>
      </c>
      <c r="J102" s="70">
        <f t="shared" ref="J102:J106" si="29">G102*I102</f>
        <v>0</v>
      </c>
    </row>
    <row r="103" spans="1:10" ht="63" x14ac:dyDescent="0.25">
      <c r="A103" s="66" t="s">
        <v>197</v>
      </c>
      <c r="B103" s="67" t="s">
        <v>196</v>
      </c>
      <c r="C103" s="76" t="s">
        <v>1358</v>
      </c>
      <c r="D103" s="62">
        <v>1500</v>
      </c>
      <c r="E103" s="62">
        <v>1500</v>
      </c>
      <c r="F103" s="69" t="s">
        <v>63</v>
      </c>
      <c r="G103" s="70">
        <v>0</v>
      </c>
      <c r="H103" s="70">
        <v>0</v>
      </c>
      <c r="I103" s="70">
        <f t="shared" si="28"/>
        <v>0</v>
      </c>
      <c r="J103" s="70">
        <f t="shared" si="29"/>
        <v>0</v>
      </c>
    </row>
    <row r="104" spans="1:10" ht="63" x14ac:dyDescent="0.25">
      <c r="A104" s="66" t="s">
        <v>199</v>
      </c>
      <c r="B104" s="67" t="s">
        <v>198</v>
      </c>
      <c r="C104" s="76" t="s">
        <v>1358</v>
      </c>
      <c r="D104" s="62">
        <v>2279</v>
      </c>
      <c r="E104" s="62">
        <v>2279</v>
      </c>
      <c r="F104" s="69" t="s">
        <v>36</v>
      </c>
      <c r="G104" s="70">
        <v>0</v>
      </c>
      <c r="H104" s="70">
        <v>0</v>
      </c>
      <c r="I104" s="70">
        <f t="shared" si="28"/>
        <v>0</v>
      </c>
      <c r="J104" s="70">
        <f t="shared" si="29"/>
        <v>0</v>
      </c>
    </row>
    <row r="105" spans="1:10" ht="63" x14ac:dyDescent="0.25">
      <c r="A105" s="66" t="s">
        <v>201</v>
      </c>
      <c r="B105" s="67" t="s">
        <v>200</v>
      </c>
      <c r="C105" s="76" t="s">
        <v>1359</v>
      </c>
      <c r="D105" s="62">
        <v>1500</v>
      </c>
      <c r="E105" s="62">
        <v>1500</v>
      </c>
      <c r="F105" s="69" t="s">
        <v>63</v>
      </c>
      <c r="G105" s="70">
        <v>0</v>
      </c>
      <c r="H105" s="70">
        <v>0</v>
      </c>
      <c r="I105" s="70">
        <f t="shared" si="28"/>
        <v>0</v>
      </c>
      <c r="J105" s="70">
        <f t="shared" si="29"/>
        <v>0</v>
      </c>
    </row>
    <row r="106" spans="1:10" ht="63" x14ac:dyDescent="0.25">
      <c r="A106" s="66" t="s">
        <v>203</v>
      </c>
      <c r="B106" s="67" t="s">
        <v>202</v>
      </c>
      <c r="C106" s="76" t="s">
        <v>1359</v>
      </c>
      <c r="D106" s="62">
        <v>131700</v>
      </c>
      <c r="E106" s="62">
        <v>131700</v>
      </c>
      <c r="F106" s="69" t="s">
        <v>36</v>
      </c>
      <c r="G106" s="70">
        <v>0</v>
      </c>
      <c r="H106" s="70">
        <v>0</v>
      </c>
      <c r="I106" s="70">
        <f t="shared" si="28"/>
        <v>0</v>
      </c>
      <c r="J106" s="70">
        <f t="shared" si="29"/>
        <v>0</v>
      </c>
    </row>
    <row r="107" spans="1:10" ht="15" customHeight="1" x14ac:dyDescent="0.25">
      <c r="A107" s="84" t="s">
        <v>68</v>
      </c>
      <c r="B107" s="84"/>
      <c r="C107" s="84"/>
      <c r="D107" s="84"/>
      <c r="E107" s="84"/>
      <c r="F107" s="84"/>
      <c r="G107" s="84"/>
      <c r="H107" s="84"/>
      <c r="I107" s="84"/>
      <c r="J107" s="84"/>
    </row>
    <row r="108" spans="1:10" ht="31.5" x14ac:dyDescent="0.25">
      <c r="A108" s="66" t="s">
        <v>69</v>
      </c>
      <c r="B108" s="67" t="s">
        <v>70</v>
      </c>
      <c r="C108" s="72" t="s">
        <v>204</v>
      </c>
      <c r="D108" s="62">
        <v>853</v>
      </c>
      <c r="E108" s="62">
        <v>853</v>
      </c>
      <c r="F108" s="69" t="s">
        <v>36</v>
      </c>
      <c r="G108" s="70">
        <v>0</v>
      </c>
      <c r="H108" s="70">
        <v>0</v>
      </c>
      <c r="I108" s="70">
        <f t="shared" ref="I108:I119" si="30">D108*G108</f>
        <v>0</v>
      </c>
      <c r="J108" s="70">
        <f t="shared" ref="J108:J119" si="31">G108*I108</f>
        <v>0</v>
      </c>
    </row>
    <row r="109" spans="1:10" ht="31.5" x14ac:dyDescent="0.25">
      <c r="A109" s="66" t="s">
        <v>206</v>
      </c>
      <c r="B109" s="67" t="s">
        <v>205</v>
      </c>
      <c r="C109" s="72" t="s">
        <v>207</v>
      </c>
      <c r="D109" s="62">
        <v>3342</v>
      </c>
      <c r="E109" s="62">
        <v>3342</v>
      </c>
      <c r="F109" s="69" t="s">
        <v>36</v>
      </c>
      <c r="G109" s="70">
        <v>0</v>
      </c>
      <c r="H109" s="70">
        <v>0</v>
      </c>
      <c r="I109" s="70">
        <f t="shared" si="30"/>
        <v>0</v>
      </c>
      <c r="J109" s="70">
        <f t="shared" si="31"/>
        <v>0</v>
      </c>
    </row>
    <row r="110" spans="1:10" x14ac:dyDescent="0.25">
      <c r="A110" s="66" t="s">
        <v>71</v>
      </c>
      <c r="B110" s="67" t="s">
        <v>72</v>
      </c>
      <c r="C110" s="72" t="s">
        <v>208</v>
      </c>
      <c r="D110" s="62">
        <v>50</v>
      </c>
      <c r="E110" s="62">
        <v>50</v>
      </c>
      <c r="F110" s="69" t="s">
        <v>36</v>
      </c>
      <c r="G110" s="70">
        <v>0</v>
      </c>
      <c r="H110" s="70">
        <v>0</v>
      </c>
      <c r="I110" s="70">
        <f t="shared" si="30"/>
        <v>0</v>
      </c>
      <c r="J110" s="70">
        <f t="shared" si="31"/>
        <v>0</v>
      </c>
    </row>
    <row r="111" spans="1:10" ht="31.5" x14ac:dyDescent="0.25">
      <c r="A111" s="66" t="s">
        <v>73</v>
      </c>
      <c r="B111" s="67" t="s">
        <v>74</v>
      </c>
      <c r="C111" s="72" t="s">
        <v>209</v>
      </c>
      <c r="D111" s="62">
        <v>50</v>
      </c>
      <c r="E111" s="62">
        <v>50</v>
      </c>
      <c r="F111" s="69" t="s">
        <v>36</v>
      </c>
      <c r="G111" s="70">
        <v>0</v>
      </c>
      <c r="H111" s="70">
        <v>0</v>
      </c>
      <c r="I111" s="70">
        <f t="shared" si="30"/>
        <v>0</v>
      </c>
      <c r="J111" s="70">
        <f t="shared" si="31"/>
        <v>0</v>
      </c>
    </row>
    <row r="112" spans="1:10" ht="31.5" x14ac:dyDescent="0.25">
      <c r="A112" s="66" t="s">
        <v>75</v>
      </c>
      <c r="B112" s="67" t="s">
        <v>76</v>
      </c>
      <c r="C112" s="72" t="s">
        <v>210</v>
      </c>
      <c r="D112" s="62">
        <v>13</v>
      </c>
      <c r="E112" s="62">
        <v>13</v>
      </c>
      <c r="F112" s="69" t="s">
        <v>36</v>
      </c>
      <c r="G112" s="70">
        <v>0</v>
      </c>
      <c r="H112" s="70">
        <v>0</v>
      </c>
      <c r="I112" s="70">
        <f t="shared" si="30"/>
        <v>0</v>
      </c>
      <c r="J112" s="70">
        <f t="shared" si="31"/>
        <v>0</v>
      </c>
    </row>
    <row r="113" spans="1:10" ht="31.5" x14ac:dyDescent="0.25">
      <c r="A113" s="66" t="s">
        <v>212</v>
      </c>
      <c r="B113" s="67" t="s">
        <v>211</v>
      </c>
      <c r="C113" s="72" t="s">
        <v>213</v>
      </c>
      <c r="D113" s="62">
        <v>48</v>
      </c>
      <c r="E113" s="62">
        <v>48</v>
      </c>
      <c r="F113" s="69" t="s">
        <v>36</v>
      </c>
      <c r="G113" s="70">
        <v>0</v>
      </c>
      <c r="H113" s="70">
        <v>0</v>
      </c>
      <c r="I113" s="70">
        <f t="shared" si="30"/>
        <v>0</v>
      </c>
      <c r="J113" s="70">
        <f t="shared" si="31"/>
        <v>0</v>
      </c>
    </row>
    <row r="114" spans="1:10" ht="47.25" x14ac:dyDescent="0.25">
      <c r="A114" s="66" t="s">
        <v>215</v>
      </c>
      <c r="B114" s="67" t="s">
        <v>214</v>
      </c>
      <c r="C114" s="72" t="s">
        <v>216</v>
      </c>
      <c r="D114" s="62">
        <v>2</v>
      </c>
      <c r="E114" s="62">
        <v>2</v>
      </c>
      <c r="F114" s="69" t="s">
        <v>36</v>
      </c>
      <c r="G114" s="70">
        <v>0</v>
      </c>
      <c r="H114" s="70">
        <v>0</v>
      </c>
      <c r="I114" s="70">
        <f t="shared" si="30"/>
        <v>0</v>
      </c>
      <c r="J114" s="70">
        <f t="shared" si="31"/>
        <v>0</v>
      </c>
    </row>
    <row r="115" spans="1:10" ht="47.25" x14ac:dyDescent="0.25">
      <c r="A115" s="66" t="s">
        <v>218</v>
      </c>
      <c r="B115" s="67" t="s">
        <v>217</v>
      </c>
      <c r="C115" s="68" t="s">
        <v>219</v>
      </c>
      <c r="D115" s="62">
        <v>50</v>
      </c>
      <c r="E115" s="62">
        <v>50</v>
      </c>
      <c r="F115" s="69" t="s">
        <v>36</v>
      </c>
      <c r="G115" s="70">
        <v>0</v>
      </c>
      <c r="H115" s="70">
        <v>0</v>
      </c>
      <c r="I115" s="70">
        <f t="shared" si="30"/>
        <v>0</v>
      </c>
      <c r="J115" s="70">
        <f t="shared" si="31"/>
        <v>0</v>
      </c>
    </row>
    <row r="116" spans="1:10" ht="47.25" x14ac:dyDescent="0.25">
      <c r="A116" s="66" t="s">
        <v>221</v>
      </c>
      <c r="B116" s="67" t="s">
        <v>220</v>
      </c>
      <c r="C116" s="78" t="s">
        <v>222</v>
      </c>
      <c r="D116" s="62">
        <v>5</v>
      </c>
      <c r="E116" s="62">
        <v>5</v>
      </c>
      <c r="F116" s="69" t="s">
        <v>36</v>
      </c>
      <c r="G116" s="70">
        <v>0</v>
      </c>
      <c r="H116" s="70">
        <v>0</v>
      </c>
      <c r="I116" s="70">
        <f t="shared" si="30"/>
        <v>0</v>
      </c>
      <c r="J116" s="70">
        <f t="shared" si="31"/>
        <v>0</v>
      </c>
    </row>
    <row r="117" spans="1:10" ht="47.25" x14ac:dyDescent="0.25">
      <c r="A117" s="66" t="s">
        <v>224</v>
      </c>
      <c r="B117" s="67" t="s">
        <v>223</v>
      </c>
      <c r="C117" s="74" t="s">
        <v>1395</v>
      </c>
      <c r="D117" s="62">
        <v>16719</v>
      </c>
      <c r="E117" s="62">
        <v>16719</v>
      </c>
      <c r="F117" s="69" t="s">
        <v>36</v>
      </c>
      <c r="G117" s="70">
        <v>0</v>
      </c>
      <c r="H117" s="70">
        <v>0</v>
      </c>
      <c r="I117" s="70">
        <f t="shared" si="30"/>
        <v>0</v>
      </c>
      <c r="J117" s="70">
        <f t="shared" si="31"/>
        <v>0</v>
      </c>
    </row>
    <row r="118" spans="1:10" ht="63" x14ac:dyDescent="0.25">
      <c r="A118" s="66" t="s">
        <v>226</v>
      </c>
      <c r="B118" s="67" t="s">
        <v>225</v>
      </c>
      <c r="C118" s="74" t="s">
        <v>1396</v>
      </c>
      <c r="D118" s="62">
        <v>8593</v>
      </c>
      <c r="E118" s="62">
        <v>8593</v>
      </c>
      <c r="F118" s="69" t="s">
        <v>36</v>
      </c>
      <c r="G118" s="70">
        <v>0</v>
      </c>
      <c r="H118" s="70">
        <v>0</v>
      </c>
      <c r="I118" s="70">
        <f t="shared" si="30"/>
        <v>0</v>
      </c>
      <c r="J118" s="70">
        <f t="shared" si="31"/>
        <v>0</v>
      </c>
    </row>
    <row r="119" spans="1:10" ht="31.5" x14ac:dyDescent="0.25">
      <c r="A119" s="66" t="s">
        <v>228</v>
      </c>
      <c r="B119" s="67" t="s">
        <v>227</v>
      </c>
      <c r="C119" s="74" t="s">
        <v>229</v>
      </c>
      <c r="D119" s="62">
        <v>50</v>
      </c>
      <c r="E119" s="62">
        <v>50</v>
      </c>
      <c r="F119" s="69" t="s">
        <v>36</v>
      </c>
      <c r="G119" s="70">
        <v>0</v>
      </c>
      <c r="H119" s="70">
        <v>0</v>
      </c>
      <c r="I119" s="70">
        <f t="shared" si="30"/>
        <v>0</v>
      </c>
      <c r="J119" s="70">
        <f t="shared" si="31"/>
        <v>0</v>
      </c>
    </row>
    <row r="120" spans="1:10" ht="15" customHeight="1" x14ac:dyDescent="0.25">
      <c r="A120" s="84" t="s">
        <v>230</v>
      </c>
      <c r="B120" s="84"/>
      <c r="C120" s="84"/>
      <c r="D120" s="84"/>
      <c r="E120" s="84"/>
      <c r="F120" s="84"/>
      <c r="G120" s="84"/>
      <c r="H120" s="84"/>
      <c r="I120" s="84"/>
      <c r="J120" s="84"/>
    </row>
    <row r="121" spans="1:10" ht="63" x14ac:dyDescent="0.25">
      <c r="A121" s="66" t="s">
        <v>232</v>
      </c>
      <c r="B121" s="67" t="s">
        <v>231</v>
      </c>
      <c r="C121" s="68" t="s">
        <v>1350</v>
      </c>
      <c r="D121" s="62">
        <v>9</v>
      </c>
      <c r="E121" s="62">
        <v>9</v>
      </c>
      <c r="F121" s="69" t="s">
        <v>36</v>
      </c>
      <c r="G121" s="70">
        <v>0</v>
      </c>
      <c r="H121" s="70">
        <v>0</v>
      </c>
      <c r="I121" s="70">
        <f t="shared" ref="I121:I123" si="32">D121*G121</f>
        <v>0</v>
      </c>
      <c r="J121" s="70">
        <f t="shared" ref="J121:J123" si="33">G121*I121</f>
        <v>0</v>
      </c>
    </row>
    <row r="122" spans="1:10" ht="63" x14ac:dyDescent="0.25">
      <c r="A122" s="66" t="s">
        <v>234</v>
      </c>
      <c r="B122" s="67" t="s">
        <v>233</v>
      </c>
      <c r="C122" s="68" t="s">
        <v>1349</v>
      </c>
      <c r="D122" s="62">
        <v>164</v>
      </c>
      <c r="E122" s="62">
        <v>164</v>
      </c>
      <c r="F122" s="69" t="s">
        <v>36</v>
      </c>
      <c r="G122" s="70">
        <v>0</v>
      </c>
      <c r="H122" s="70">
        <v>0</v>
      </c>
      <c r="I122" s="70">
        <f t="shared" si="32"/>
        <v>0</v>
      </c>
      <c r="J122" s="70">
        <f t="shared" si="33"/>
        <v>0</v>
      </c>
    </row>
    <row r="123" spans="1:10" ht="47.25" x14ac:dyDescent="0.25">
      <c r="A123" s="66" t="s">
        <v>236</v>
      </c>
      <c r="B123" s="67" t="s">
        <v>235</v>
      </c>
      <c r="C123" s="68" t="s">
        <v>1352</v>
      </c>
      <c r="D123" s="62">
        <v>113</v>
      </c>
      <c r="E123" s="62">
        <v>113</v>
      </c>
      <c r="F123" s="69" t="s">
        <v>36</v>
      </c>
      <c r="G123" s="70">
        <v>0</v>
      </c>
      <c r="H123" s="70">
        <v>0</v>
      </c>
      <c r="I123" s="70">
        <f t="shared" si="32"/>
        <v>0</v>
      </c>
      <c r="J123" s="70">
        <f t="shared" si="33"/>
        <v>0</v>
      </c>
    </row>
    <row r="124" spans="1:10" ht="15" customHeight="1" x14ac:dyDescent="0.25">
      <c r="A124" s="84" t="s">
        <v>237</v>
      </c>
      <c r="B124" s="84"/>
      <c r="C124" s="84"/>
      <c r="D124" s="84"/>
      <c r="E124" s="84"/>
      <c r="F124" s="84"/>
      <c r="G124" s="84"/>
      <c r="H124" s="84"/>
      <c r="I124" s="84"/>
      <c r="J124" s="84"/>
    </row>
    <row r="125" spans="1:10" ht="31.5" x14ac:dyDescent="0.25">
      <c r="A125" s="66" t="s">
        <v>77</v>
      </c>
      <c r="B125" s="67" t="s">
        <v>238</v>
      </c>
      <c r="C125" s="75" t="s">
        <v>239</v>
      </c>
      <c r="D125" s="62">
        <v>2153</v>
      </c>
      <c r="E125" s="62">
        <v>2153</v>
      </c>
      <c r="F125" s="69" t="s">
        <v>36</v>
      </c>
      <c r="G125" s="70">
        <v>0</v>
      </c>
      <c r="H125" s="70">
        <v>0</v>
      </c>
      <c r="I125" s="70">
        <f t="shared" ref="I125:I133" si="34">D125*G125</f>
        <v>0</v>
      </c>
      <c r="J125" s="70">
        <f t="shared" ref="J125:J133" si="35">G125*I125</f>
        <v>0</v>
      </c>
    </row>
    <row r="126" spans="1:10" ht="47.25" x14ac:dyDescent="0.25">
      <c r="A126" s="66" t="s">
        <v>241</v>
      </c>
      <c r="B126" s="67" t="s">
        <v>240</v>
      </c>
      <c r="C126" s="68" t="s">
        <v>242</v>
      </c>
      <c r="D126" s="62">
        <v>102</v>
      </c>
      <c r="E126" s="62">
        <v>102</v>
      </c>
      <c r="F126" s="69" t="s">
        <v>36</v>
      </c>
      <c r="G126" s="70">
        <v>0</v>
      </c>
      <c r="H126" s="70">
        <v>0</v>
      </c>
      <c r="I126" s="70">
        <f t="shared" si="34"/>
        <v>0</v>
      </c>
      <c r="J126" s="70">
        <f t="shared" si="35"/>
        <v>0</v>
      </c>
    </row>
    <row r="127" spans="1:10" ht="31.5" x14ac:dyDescent="0.25">
      <c r="A127" s="66" t="s">
        <v>244</v>
      </c>
      <c r="B127" s="67" t="s">
        <v>243</v>
      </c>
      <c r="C127" s="68" t="s">
        <v>245</v>
      </c>
      <c r="D127" s="62">
        <v>50</v>
      </c>
      <c r="E127" s="62">
        <v>50</v>
      </c>
      <c r="F127" s="69" t="s">
        <v>36</v>
      </c>
      <c r="G127" s="70">
        <v>0</v>
      </c>
      <c r="H127" s="70">
        <v>0</v>
      </c>
      <c r="I127" s="70">
        <f t="shared" si="34"/>
        <v>0</v>
      </c>
      <c r="J127" s="70">
        <f t="shared" si="35"/>
        <v>0</v>
      </c>
    </row>
    <row r="128" spans="1:10" ht="47.25" x14ac:dyDescent="0.25">
      <c r="A128" s="66" t="s">
        <v>247</v>
      </c>
      <c r="B128" s="67" t="s">
        <v>246</v>
      </c>
      <c r="C128" s="68" t="s">
        <v>248</v>
      </c>
      <c r="D128" s="62">
        <v>13</v>
      </c>
      <c r="E128" s="62">
        <v>13</v>
      </c>
      <c r="F128" s="69" t="s">
        <v>36</v>
      </c>
      <c r="G128" s="70">
        <v>0</v>
      </c>
      <c r="H128" s="70">
        <v>0</v>
      </c>
      <c r="I128" s="70">
        <f t="shared" si="34"/>
        <v>0</v>
      </c>
      <c r="J128" s="70">
        <f t="shared" si="35"/>
        <v>0</v>
      </c>
    </row>
    <row r="129" spans="1:10" ht="47.25" x14ac:dyDescent="0.25">
      <c r="A129" s="66" t="s">
        <v>250</v>
      </c>
      <c r="B129" s="67" t="s">
        <v>249</v>
      </c>
      <c r="C129" s="68" t="s">
        <v>251</v>
      </c>
      <c r="D129" s="62">
        <v>7</v>
      </c>
      <c r="E129" s="62">
        <v>7</v>
      </c>
      <c r="F129" s="69" t="s">
        <v>36</v>
      </c>
      <c r="G129" s="70">
        <v>0</v>
      </c>
      <c r="H129" s="70">
        <v>0</v>
      </c>
      <c r="I129" s="70">
        <f t="shared" si="34"/>
        <v>0</v>
      </c>
      <c r="J129" s="70">
        <f t="shared" si="35"/>
        <v>0</v>
      </c>
    </row>
    <row r="130" spans="1:10" ht="31.5" x14ac:dyDescent="0.25">
      <c r="A130" s="66" t="s">
        <v>253</v>
      </c>
      <c r="B130" s="67" t="s">
        <v>252</v>
      </c>
      <c r="C130" s="68" t="s">
        <v>254</v>
      </c>
      <c r="D130" s="62">
        <v>2</v>
      </c>
      <c r="E130" s="62">
        <v>2</v>
      </c>
      <c r="F130" s="69" t="s">
        <v>36</v>
      </c>
      <c r="G130" s="70">
        <v>0</v>
      </c>
      <c r="H130" s="70">
        <v>0</v>
      </c>
      <c r="I130" s="70">
        <f t="shared" si="34"/>
        <v>0</v>
      </c>
      <c r="J130" s="70">
        <f t="shared" si="35"/>
        <v>0</v>
      </c>
    </row>
    <row r="131" spans="1:10" ht="31.5" x14ac:dyDescent="0.25">
      <c r="A131" s="66" t="s">
        <v>256</v>
      </c>
      <c r="B131" s="67" t="s">
        <v>255</v>
      </c>
      <c r="C131" s="68" t="s">
        <v>257</v>
      </c>
      <c r="D131" s="62">
        <v>50</v>
      </c>
      <c r="E131" s="62">
        <v>50</v>
      </c>
      <c r="F131" s="69" t="s">
        <v>36</v>
      </c>
      <c r="G131" s="70">
        <v>0</v>
      </c>
      <c r="H131" s="70">
        <v>0</v>
      </c>
      <c r="I131" s="70">
        <f t="shared" si="34"/>
        <v>0</v>
      </c>
      <c r="J131" s="70">
        <f t="shared" si="35"/>
        <v>0</v>
      </c>
    </row>
    <row r="132" spans="1:10" ht="47.25" x14ac:dyDescent="0.25">
      <c r="A132" s="66" t="s">
        <v>78</v>
      </c>
      <c r="B132" s="67" t="s">
        <v>79</v>
      </c>
      <c r="C132" s="72" t="s">
        <v>258</v>
      </c>
      <c r="D132" s="62">
        <v>50</v>
      </c>
      <c r="E132" s="62">
        <v>50</v>
      </c>
      <c r="F132" s="69" t="s">
        <v>36</v>
      </c>
      <c r="G132" s="70">
        <v>0</v>
      </c>
      <c r="H132" s="70">
        <v>0</v>
      </c>
      <c r="I132" s="70">
        <f t="shared" si="34"/>
        <v>0</v>
      </c>
      <c r="J132" s="70">
        <f t="shared" si="35"/>
        <v>0</v>
      </c>
    </row>
    <row r="133" spans="1:10" ht="78.75" x14ac:dyDescent="0.25">
      <c r="A133" s="66" t="s">
        <v>260</v>
      </c>
      <c r="B133" s="67" t="s">
        <v>259</v>
      </c>
      <c r="C133" s="68" t="s">
        <v>1368</v>
      </c>
      <c r="D133" s="62">
        <v>6</v>
      </c>
      <c r="E133" s="62">
        <v>6</v>
      </c>
      <c r="F133" s="69" t="s">
        <v>36</v>
      </c>
      <c r="G133" s="70">
        <v>0</v>
      </c>
      <c r="H133" s="70">
        <v>0</v>
      </c>
      <c r="I133" s="70">
        <f t="shared" si="34"/>
        <v>0</v>
      </c>
      <c r="J133" s="70">
        <f t="shared" si="35"/>
        <v>0</v>
      </c>
    </row>
    <row r="134" spans="1:10" ht="15" customHeight="1" x14ac:dyDescent="0.25">
      <c r="A134" s="84" t="s">
        <v>261</v>
      </c>
      <c r="B134" s="84"/>
      <c r="C134" s="84"/>
      <c r="D134" s="84"/>
      <c r="E134" s="84"/>
      <c r="F134" s="84"/>
      <c r="G134" s="84"/>
      <c r="H134" s="84"/>
      <c r="I134" s="84"/>
      <c r="J134" s="84"/>
    </row>
    <row r="135" spans="1:10" ht="31.5" x14ac:dyDescent="0.25">
      <c r="A135" s="66" t="s">
        <v>263</v>
      </c>
      <c r="B135" s="67" t="s">
        <v>262</v>
      </c>
      <c r="C135" s="75" t="s">
        <v>1353</v>
      </c>
      <c r="D135" s="62">
        <v>50</v>
      </c>
      <c r="E135" s="62">
        <v>50</v>
      </c>
      <c r="F135" s="69" t="s">
        <v>36</v>
      </c>
      <c r="G135" s="70">
        <v>0</v>
      </c>
      <c r="H135" s="70">
        <v>0</v>
      </c>
      <c r="I135" s="70">
        <f t="shared" ref="I135:I141" si="36">D135*G135</f>
        <v>0</v>
      </c>
      <c r="J135" s="70">
        <f t="shared" ref="J135:J142" si="37">G135*I135</f>
        <v>0</v>
      </c>
    </row>
    <row r="136" spans="1:10" ht="47.25" x14ac:dyDescent="0.25">
      <c r="A136" s="66" t="s">
        <v>265</v>
      </c>
      <c r="B136" s="67" t="s">
        <v>264</v>
      </c>
      <c r="C136" s="72" t="s">
        <v>266</v>
      </c>
      <c r="D136" s="62">
        <v>227</v>
      </c>
      <c r="E136" s="62">
        <v>227</v>
      </c>
      <c r="F136" s="69" t="s">
        <v>36</v>
      </c>
      <c r="G136" s="70">
        <v>0</v>
      </c>
      <c r="H136" s="70">
        <v>0</v>
      </c>
      <c r="I136" s="70">
        <f t="shared" si="36"/>
        <v>0</v>
      </c>
      <c r="J136" s="70">
        <f t="shared" si="37"/>
        <v>0</v>
      </c>
    </row>
    <row r="137" spans="1:10" ht="47.25" x14ac:dyDescent="0.25">
      <c r="A137" s="66" t="s">
        <v>268</v>
      </c>
      <c r="B137" s="67" t="s">
        <v>267</v>
      </c>
      <c r="C137" s="75" t="s">
        <v>269</v>
      </c>
      <c r="D137" s="62">
        <v>50</v>
      </c>
      <c r="E137" s="62">
        <v>50</v>
      </c>
      <c r="F137" s="69" t="s">
        <v>36</v>
      </c>
      <c r="G137" s="70">
        <v>0</v>
      </c>
      <c r="H137" s="70">
        <v>0</v>
      </c>
      <c r="I137" s="70">
        <f t="shared" si="36"/>
        <v>0</v>
      </c>
      <c r="J137" s="70">
        <f t="shared" si="37"/>
        <v>0</v>
      </c>
    </row>
    <row r="138" spans="1:10" ht="47.25" x14ac:dyDescent="0.25">
      <c r="A138" s="66" t="s">
        <v>271</v>
      </c>
      <c r="B138" s="67" t="s">
        <v>270</v>
      </c>
      <c r="C138" s="75" t="s">
        <v>272</v>
      </c>
      <c r="D138" s="62">
        <v>5560</v>
      </c>
      <c r="E138" s="62">
        <v>5560</v>
      </c>
      <c r="F138" s="69" t="s">
        <v>36</v>
      </c>
      <c r="G138" s="70">
        <v>0</v>
      </c>
      <c r="H138" s="70">
        <v>0</v>
      </c>
      <c r="I138" s="70">
        <f t="shared" si="36"/>
        <v>0</v>
      </c>
      <c r="J138" s="70">
        <f t="shared" si="37"/>
        <v>0</v>
      </c>
    </row>
    <row r="139" spans="1:10" ht="47.25" x14ac:dyDescent="0.25">
      <c r="A139" s="66" t="s">
        <v>274</v>
      </c>
      <c r="B139" s="67" t="s">
        <v>273</v>
      </c>
      <c r="C139" s="72" t="s">
        <v>275</v>
      </c>
      <c r="D139" s="62">
        <v>91340</v>
      </c>
      <c r="E139" s="62">
        <v>91340</v>
      </c>
      <c r="F139" s="69" t="s">
        <v>36</v>
      </c>
      <c r="G139" s="70">
        <v>0</v>
      </c>
      <c r="H139" s="70">
        <v>0</v>
      </c>
      <c r="I139" s="70">
        <f t="shared" si="36"/>
        <v>0</v>
      </c>
      <c r="J139" s="70">
        <f t="shared" si="37"/>
        <v>0</v>
      </c>
    </row>
    <row r="140" spans="1:10" ht="47.25" x14ac:dyDescent="0.25">
      <c r="A140" s="66" t="s">
        <v>277</v>
      </c>
      <c r="B140" s="67" t="s">
        <v>276</v>
      </c>
      <c r="C140" s="72" t="s">
        <v>278</v>
      </c>
      <c r="D140" s="62">
        <v>50</v>
      </c>
      <c r="E140" s="62">
        <v>50</v>
      </c>
      <c r="F140" s="69" t="s">
        <v>36</v>
      </c>
      <c r="G140" s="70">
        <v>0</v>
      </c>
      <c r="H140" s="70">
        <v>0</v>
      </c>
      <c r="I140" s="70">
        <f t="shared" si="36"/>
        <v>0</v>
      </c>
      <c r="J140" s="70">
        <f t="shared" si="37"/>
        <v>0</v>
      </c>
    </row>
    <row r="141" spans="1:10" x14ac:dyDescent="0.25">
      <c r="A141" s="66" t="s">
        <v>280</v>
      </c>
      <c r="B141" s="67" t="s">
        <v>279</v>
      </c>
      <c r="C141" s="75" t="s">
        <v>1362</v>
      </c>
      <c r="D141" s="62">
        <v>50</v>
      </c>
      <c r="E141" s="62">
        <v>50</v>
      </c>
      <c r="F141" s="69" t="s">
        <v>36</v>
      </c>
      <c r="G141" s="70">
        <v>0</v>
      </c>
      <c r="H141" s="70">
        <v>0</v>
      </c>
      <c r="I141" s="70">
        <f t="shared" si="36"/>
        <v>0</v>
      </c>
      <c r="J141" s="70">
        <f t="shared" si="37"/>
        <v>0</v>
      </c>
    </row>
    <row r="142" spans="1:10" ht="47.25" x14ac:dyDescent="0.25">
      <c r="A142" s="66" t="s">
        <v>282</v>
      </c>
      <c r="B142" s="67" t="s">
        <v>281</v>
      </c>
      <c r="C142" s="75" t="s">
        <v>1369</v>
      </c>
      <c r="D142" s="62">
        <v>50</v>
      </c>
      <c r="E142" s="62">
        <v>50</v>
      </c>
      <c r="F142" s="69" t="s">
        <v>36</v>
      </c>
      <c r="G142" s="70">
        <v>0</v>
      </c>
      <c r="H142" s="70">
        <v>0</v>
      </c>
      <c r="I142" s="70">
        <f>D142*G142</f>
        <v>0</v>
      </c>
      <c r="J142" s="70">
        <f t="shared" si="37"/>
        <v>0</v>
      </c>
    </row>
    <row r="143" spans="1:10" x14ac:dyDescent="0.25">
      <c r="H143" s="81" t="s">
        <v>283</v>
      </c>
      <c r="I143" s="82">
        <f>SUM(I3:I142)</f>
        <v>0</v>
      </c>
      <c r="J143" s="82">
        <f>SUM(J3:J142)</f>
        <v>0</v>
      </c>
    </row>
    <row r="144" spans="1:10" x14ac:dyDescent="0.25">
      <c r="H144" s="81" t="s">
        <v>284</v>
      </c>
      <c r="I144" s="82">
        <f>I143+J143</f>
        <v>0</v>
      </c>
      <c r="J144" s="83"/>
    </row>
  </sheetData>
  <mergeCells count="12">
    <mergeCell ref="A79:J79"/>
    <mergeCell ref="A91:J91"/>
    <mergeCell ref="A134:J134"/>
    <mergeCell ref="A101:J101"/>
    <mergeCell ref="A107:J107"/>
    <mergeCell ref="A120:J120"/>
    <mergeCell ref="A124:J124"/>
    <mergeCell ref="A1:J1"/>
    <mergeCell ref="A29:J29"/>
    <mergeCell ref="A46:J46"/>
    <mergeCell ref="A57:J57"/>
    <mergeCell ref="A66:J66"/>
  </mergeCells>
  <pageMargins left="0.25" right="0.25" top="0.75" bottom="0.75" header="0.3" footer="0.3"/>
  <pageSetup scale="4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76C8-66E5-4BF3-BA0C-CFAC650D23DF}">
  <sheetPr codeName="Sheet2">
    <tabColor rgb="FF0070C0"/>
  </sheetPr>
  <dimension ref="A1:F38"/>
  <sheetViews>
    <sheetView workbookViewId="0">
      <selection sqref="A1:E1"/>
    </sheetView>
  </sheetViews>
  <sheetFormatPr defaultColWidth="9.140625" defaultRowHeight="15" x14ac:dyDescent="0.25"/>
  <cols>
    <col min="1" max="4" width="15.7109375" style="2" customWidth="1"/>
    <col min="5" max="5" width="18" style="2" customWidth="1"/>
    <col min="6" max="6" width="15.7109375" style="2" customWidth="1"/>
    <col min="7" max="16384" width="9.140625" style="2"/>
  </cols>
  <sheetData>
    <row r="1" spans="1:6" ht="16.5" thickBot="1" x14ac:dyDescent="0.3">
      <c r="A1" s="86" t="s">
        <v>319</v>
      </c>
      <c r="B1" s="87"/>
      <c r="C1" s="87"/>
      <c r="D1" s="87"/>
      <c r="E1" s="88"/>
      <c r="F1" s="1"/>
    </row>
    <row r="2" spans="1:6" ht="16.5" thickBot="1" x14ac:dyDescent="0.3">
      <c r="A2" s="89" t="s">
        <v>320</v>
      </c>
      <c r="B2" s="90"/>
      <c r="C2" s="90"/>
      <c r="D2" s="90"/>
      <c r="E2" s="91"/>
    </row>
    <row r="3" spans="1:6" ht="16.5" thickBot="1" x14ac:dyDescent="0.3">
      <c r="A3" s="3" t="s">
        <v>321</v>
      </c>
      <c r="B3" s="4" t="s">
        <v>322</v>
      </c>
      <c r="C3" s="5" t="s">
        <v>323</v>
      </c>
      <c r="D3" s="5" t="s">
        <v>324</v>
      </c>
      <c r="E3" s="6" t="s">
        <v>325</v>
      </c>
    </row>
    <row r="4" spans="1:6" ht="31.5" x14ac:dyDescent="0.25">
      <c r="A4" s="7" t="s">
        <v>326</v>
      </c>
      <c r="B4" s="8" t="s">
        <v>327</v>
      </c>
      <c r="C4" s="8" t="s">
        <v>328</v>
      </c>
      <c r="D4" s="8" t="s">
        <v>329</v>
      </c>
      <c r="E4" s="9" t="s">
        <v>330</v>
      </c>
    </row>
    <row r="5" spans="1:6" ht="16.5" thickBot="1" x14ac:dyDescent="0.3">
      <c r="A5" s="10" t="s">
        <v>331</v>
      </c>
      <c r="B5" s="11" t="s">
        <v>10</v>
      </c>
      <c r="C5" s="12" t="s">
        <v>10</v>
      </c>
      <c r="D5" s="12" t="s">
        <v>10</v>
      </c>
      <c r="E5" s="13" t="s">
        <v>10</v>
      </c>
    </row>
    <row r="6" spans="1:6" ht="16.5" thickBot="1" x14ac:dyDescent="0.3">
      <c r="A6" s="3" t="s">
        <v>321</v>
      </c>
      <c r="B6" s="4" t="s">
        <v>332</v>
      </c>
      <c r="C6" s="5" t="s">
        <v>333</v>
      </c>
      <c r="D6" s="5" t="s">
        <v>334</v>
      </c>
      <c r="E6" s="6" t="s">
        <v>335</v>
      </c>
    </row>
    <row r="7" spans="1:6" ht="31.5" x14ac:dyDescent="0.25">
      <c r="A7" s="7" t="s">
        <v>326</v>
      </c>
      <c r="B7" s="8" t="s">
        <v>336</v>
      </c>
      <c r="C7" s="14" t="s">
        <v>337</v>
      </c>
      <c r="D7" s="14" t="s">
        <v>338</v>
      </c>
      <c r="E7" s="15" t="s">
        <v>339</v>
      </c>
    </row>
    <row r="8" spans="1:6" ht="16.5" thickBot="1" x14ac:dyDescent="0.3">
      <c r="A8" s="10" t="s">
        <v>331</v>
      </c>
      <c r="B8" s="11" t="s">
        <v>10</v>
      </c>
      <c r="C8" s="12" t="s">
        <v>10</v>
      </c>
      <c r="D8" s="16" t="s">
        <v>36</v>
      </c>
      <c r="E8" s="17" t="s">
        <v>67</v>
      </c>
    </row>
    <row r="9" spans="1:6" ht="15.75" thickBot="1" x14ac:dyDescent="0.3">
      <c r="A9" s="18"/>
      <c r="B9" s="18"/>
      <c r="C9" s="18"/>
      <c r="D9" s="18"/>
      <c r="E9" s="18"/>
      <c r="F9" s="1"/>
    </row>
    <row r="10" spans="1:6" ht="16.5" thickBot="1" x14ac:dyDescent="0.3">
      <c r="A10" s="89" t="s">
        <v>340</v>
      </c>
      <c r="B10" s="90"/>
      <c r="C10" s="90"/>
      <c r="D10" s="91"/>
      <c r="E10" s="1"/>
    </row>
    <row r="11" spans="1:6" ht="16.5" thickBot="1" x14ac:dyDescent="0.3">
      <c r="A11" s="3" t="s">
        <v>321</v>
      </c>
      <c r="B11" s="4" t="s">
        <v>341</v>
      </c>
      <c r="C11" s="5" t="s">
        <v>342</v>
      </c>
      <c r="D11" s="6" t="s">
        <v>343</v>
      </c>
      <c r="E11" s="1"/>
    </row>
    <row r="12" spans="1:6" ht="47.25" x14ac:dyDescent="0.25">
      <c r="A12" s="7" t="s">
        <v>344</v>
      </c>
      <c r="B12" s="19" t="s">
        <v>345</v>
      </c>
      <c r="C12" s="14" t="s">
        <v>346</v>
      </c>
      <c r="D12" s="15" t="s">
        <v>347</v>
      </c>
      <c r="E12" s="1"/>
    </row>
    <row r="13" spans="1:6" ht="16.5" thickBot="1" x14ac:dyDescent="0.3">
      <c r="A13" s="20" t="s">
        <v>331</v>
      </c>
      <c r="B13" s="21" t="s">
        <v>10</v>
      </c>
      <c r="C13" s="22" t="s">
        <v>10</v>
      </c>
      <c r="D13" s="23" t="s">
        <v>10</v>
      </c>
      <c r="E13" s="1"/>
    </row>
    <row r="14" spans="1:6" ht="15.75" thickBot="1" x14ac:dyDescent="0.3">
      <c r="A14" s="18"/>
      <c r="B14" s="18"/>
      <c r="C14" s="18"/>
      <c r="D14" s="18"/>
      <c r="E14" s="18"/>
      <c r="F14" s="1"/>
    </row>
    <row r="15" spans="1:6" ht="16.5" thickBot="1" x14ac:dyDescent="0.3">
      <c r="A15" s="92" t="s">
        <v>348</v>
      </c>
      <c r="B15" s="93"/>
      <c r="C15" s="93"/>
      <c r="D15" s="93"/>
      <c r="E15" s="94"/>
    </row>
    <row r="16" spans="1:6" ht="16.5" thickBot="1" x14ac:dyDescent="0.3">
      <c r="A16" s="3" t="s">
        <v>321</v>
      </c>
      <c r="B16" s="24" t="s">
        <v>349</v>
      </c>
      <c r="C16" s="25" t="s">
        <v>350</v>
      </c>
      <c r="D16" s="25" t="s">
        <v>351</v>
      </c>
      <c r="E16" s="26" t="s">
        <v>352</v>
      </c>
    </row>
    <row r="17" spans="1:6" ht="34.15" customHeight="1" x14ac:dyDescent="0.25">
      <c r="A17" s="95" t="s">
        <v>353</v>
      </c>
      <c r="B17" s="97" t="s">
        <v>354</v>
      </c>
      <c r="C17" s="98"/>
      <c r="D17" s="98"/>
      <c r="E17" s="99"/>
    </row>
    <row r="18" spans="1:6" ht="15.75" x14ac:dyDescent="0.25">
      <c r="A18" s="96"/>
      <c r="B18" s="27" t="s">
        <v>355</v>
      </c>
      <c r="C18" s="28" t="s">
        <v>356</v>
      </c>
      <c r="D18" s="28" t="s">
        <v>357</v>
      </c>
      <c r="E18" s="29" t="s">
        <v>358</v>
      </c>
    </row>
    <row r="19" spans="1:6" ht="15.75" x14ac:dyDescent="0.25">
      <c r="A19" s="30" t="s">
        <v>331</v>
      </c>
      <c r="B19" s="27" t="s">
        <v>36</v>
      </c>
      <c r="C19" s="28" t="s">
        <v>36</v>
      </c>
      <c r="D19" s="28" t="s">
        <v>36</v>
      </c>
      <c r="E19" s="29" t="s">
        <v>36</v>
      </c>
    </row>
    <row r="20" spans="1:6" ht="16.5" customHeight="1" thickBot="1" x14ac:dyDescent="0.3">
      <c r="A20" s="31" t="s">
        <v>359</v>
      </c>
      <c r="B20" s="100" t="s">
        <v>360</v>
      </c>
      <c r="C20" s="101"/>
      <c r="D20" s="101"/>
      <c r="E20" s="102"/>
    </row>
    <row r="21" spans="1:6" ht="16.5" thickBot="1" x14ac:dyDescent="0.3">
      <c r="A21" s="32" t="s">
        <v>321</v>
      </c>
      <c r="B21" s="33" t="s">
        <v>361</v>
      </c>
      <c r="C21" s="25" t="s">
        <v>362</v>
      </c>
      <c r="D21" s="25" t="s">
        <v>363</v>
      </c>
      <c r="E21" s="26" t="s">
        <v>364</v>
      </c>
      <c r="F21" s="26" t="s">
        <v>365</v>
      </c>
    </row>
    <row r="22" spans="1:6" ht="79.900000000000006" customHeight="1" x14ac:dyDescent="0.25">
      <c r="A22" s="34" t="s">
        <v>353</v>
      </c>
      <c r="B22" s="35" t="s">
        <v>366</v>
      </c>
      <c r="C22" s="36" t="s">
        <v>367</v>
      </c>
      <c r="D22" s="36" t="s">
        <v>366</v>
      </c>
      <c r="E22" s="37" t="s">
        <v>368</v>
      </c>
      <c r="F22" s="37" t="s">
        <v>369</v>
      </c>
    </row>
    <row r="23" spans="1:6" ht="31.9" customHeight="1" x14ac:dyDescent="0.25">
      <c r="A23" s="38" t="s">
        <v>331</v>
      </c>
      <c r="B23" s="27" t="s">
        <v>370</v>
      </c>
      <c r="C23" s="28" t="s">
        <v>371</v>
      </c>
      <c r="D23" s="28" t="s">
        <v>372</v>
      </c>
      <c r="E23" s="29" t="s">
        <v>373</v>
      </c>
    </row>
    <row r="24" spans="1:6" ht="31.9" customHeight="1" thickBot="1" x14ac:dyDescent="0.3">
      <c r="A24" s="39" t="s">
        <v>374</v>
      </c>
      <c r="B24" s="40" t="s">
        <v>375</v>
      </c>
      <c r="C24" s="41" t="s">
        <v>376</v>
      </c>
      <c r="D24" s="41" t="s">
        <v>377</v>
      </c>
      <c r="E24" s="42" t="s">
        <v>378</v>
      </c>
    </row>
    <row r="25" spans="1:6" ht="15.75" thickBot="1" x14ac:dyDescent="0.3"/>
    <row r="26" spans="1:6" ht="16.5" thickBot="1" x14ac:dyDescent="0.3">
      <c r="A26" s="89" t="s">
        <v>379</v>
      </c>
      <c r="B26" s="90"/>
      <c r="C26" s="90"/>
      <c r="D26" s="90"/>
      <c r="E26" s="91"/>
      <c r="F26" s="1"/>
    </row>
    <row r="27" spans="1:6" ht="16.5" thickBot="1" x14ac:dyDescent="0.3">
      <c r="A27" s="3" t="s">
        <v>321</v>
      </c>
      <c r="B27" s="33" t="s">
        <v>380</v>
      </c>
      <c r="C27" s="25" t="s">
        <v>381</v>
      </c>
      <c r="D27" s="25" t="s">
        <v>382</v>
      </c>
      <c r="E27" s="26" t="s">
        <v>383</v>
      </c>
      <c r="F27" s="1"/>
    </row>
    <row r="28" spans="1:6" ht="15.75" x14ac:dyDescent="0.25">
      <c r="A28" s="43" t="s">
        <v>384</v>
      </c>
      <c r="B28" s="44" t="s">
        <v>385</v>
      </c>
      <c r="C28" s="14" t="s">
        <v>386</v>
      </c>
      <c r="D28" s="14" t="s">
        <v>387</v>
      </c>
      <c r="E28" s="15" t="s">
        <v>388</v>
      </c>
      <c r="F28" s="1"/>
    </row>
    <row r="29" spans="1:6" ht="15.75" x14ac:dyDescent="0.25">
      <c r="A29" s="30" t="s">
        <v>389</v>
      </c>
      <c r="B29" s="45" t="s">
        <v>390</v>
      </c>
      <c r="C29" s="46" t="s">
        <v>391</v>
      </c>
      <c r="D29" s="46" t="s">
        <v>392</v>
      </c>
      <c r="E29" s="47" t="s">
        <v>393</v>
      </c>
      <c r="F29" s="1"/>
    </row>
    <row r="30" spans="1:6" ht="15.75" x14ac:dyDescent="0.25">
      <c r="A30" s="48" t="s">
        <v>331</v>
      </c>
      <c r="B30" s="49" t="s">
        <v>10</v>
      </c>
      <c r="C30" s="50" t="s">
        <v>10</v>
      </c>
      <c r="D30" s="50" t="s">
        <v>10</v>
      </c>
      <c r="E30" s="51" t="s">
        <v>10</v>
      </c>
      <c r="F30" s="1"/>
    </row>
    <row r="31" spans="1:6" ht="16.5" thickBot="1" x14ac:dyDescent="0.3">
      <c r="A31" s="10" t="s">
        <v>359</v>
      </c>
      <c r="B31" s="103" t="s">
        <v>394</v>
      </c>
      <c r="C31" s="104"/>
      <c r="D31" s="104"/>
      <c r="E31" s="105"/>
      <c r="F31" s="1"/>
    </row>
    <row r="32" spans="1:6" ht="16.5" thickBot="1" x14ac:dyDescent="0.3">
      <c r="A32" s="52"/>
      <c r="B32" s="52"/>
      <c r="C32" s="52"/>
      <c r="D32" s="52"/>
      <c r="E32" s="52"/>
      <c r="F32" s="1"/>
    </row>
    <row r="33" spans="1:6" ht="16.5" thickBot="1" x14ac:dyDescent="0.3">
      <c r="A33" s="106" t="s">
        <v>395</v>
      </c>
      <c r="B33" s="107"/>
      <c r="C33" s="107"/>
      <c r="D33" s="107"/>
      <c r="E33" s="108"/>
      <c r="F33" s="1"/>
    </row>
    <row r="34" spans="1:6" ht="16.5" thickBot="1" x14ac:dyDescent="0.3">
      <c r="A34" s="3" t="s">
        <v>321</v>
      </c>
      <c r="B34" s="24" t="s">
        <v>380</v>
      </c>
      <c r="C34" s="25" t="s">
        <v>381</v>
      </c>
      <c r="D34" s="25" t="s">
        <v>382</v>
      </c>
      <c r="E34" s="26" t="s">
        <v>383</v>
      </c>
      <c r="F34" s="1"/>
    </row>
    <row r="35" spans="1:6" ht="15.75" x14ac:dyDescent="0.25">
      <c r="A35" s="53" t="s">
        <v>396</v>
      </c>
      <c r="B35" s="54"/>
      <c r="C35" s="55" t="s">
        <v>397</v>
      </c>
      <c r="D35" s="55" t="s">
        <v>398</v>
      </c>
      <c r="E35" s="56"/>
      <c r="F35" s="1"/>
    </row>
    <row r="36" spans="1:6" ht="15.75" x14ac:dyDescent="0.25">
      <c r="A36" s="30" t="s">
        <v>399</v>
      </c>
      <c r="B36" s="57"/>
      <c r="C36" s="46" t="s">
        <v>400</v>
      </c>
      <c r="D36" s="46" t="s">
        <v>400</v>
      </c>
      <c r="E36" s="58"/>
      <c r="F36" s="1"/>
    </row>
    <row r="37" spans="1:6" ht="16.5" thickBot="1" x14ac:dyDescent="0.3">
      <c r="A37" s="10" t="s">
        <v>331</v>
      </c>
      <c r="B37" s="59"/>
      <c r="C37" s="12" t="s">
        <v>10</v>
      </c>
      <c r="D37" s="12" t="s">
        <v>10</v>
      </c>
      <c r="E37" s="17"/>
      <c r="F37" s="1"/>
    </row>
    <row r="38" spans="1:6" x14ac:dyDescent="0.25">
      <c r="A38" s="109" t="s">
        <v>401</v>
      </c>
      <c r="B38" s="109"/>
      <c r="C38" s="109"/>
      <c r="D38" s="109"/>
      <c r="E38" s="109"/>
      <c r="F38" s="1"/>
    </row>
  </sheetData>
  <mergeCells count="11">
    <mergeCell ref="B20:E20"/>
    <mergeCell ref="A26:E26"/>
    <mergeCell ref="B31:E31"/>
    <mergeCell ref="A33:E33"/>
    <mergeCell ref="A38:E38"/>
    <mergeCell ref="A1:E1"/>
    <mergeCell ref="A2:E2"/>
    <mergeCell ref="A10:D10"/>
    <mergeCell ref="A15:E15"/>
    <mergeCell ref="A17:A18"/>
    <mergeCell ref="B17:E17"/>
  </mergeCells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E0FB-778A-4FF4-A696-7A27E603B86D}">
  <dimension ref="A1:B908"/>
  <sheetViews>
    <sheetView zoomScale="130" zoomScaleNormal="130" workbookViewId="0">
      <pane ySplit="1" topLeftCell="A10" activePane="bottomLeft" state="frozen"/>
      <selection pane="bottomLeft"/>
    </sheetView>
  </sheetViews>
  <sheetFormatPr defaultRowHeight="15" x14ac:dyDescent="0.25"/>
  <cols>
    <col min="1" max="1" width="63.85546875" style="113" customWidth="1"/>
    <col min="2" max="2" width="16.28515625" style="113" customWidth="1"/>
    <col min="3" max="16384" width="9.140625" style="113"/>
  </cols>
  <sheetData>
    <row r="1" spans="1:2" ht="16.5" thickBot="1" x14ac:dyDescent="0.3">
      <c r="A1" s="111" t="s">
        <v>1397</v>
      </c>
      <c r="B1" s="112" t="s">
        <v>402</v>
      </c>
    </row>
    <row r="2" spans="1:2" ht="15.75" thickBot="1" x14ac:dyDescent="0.3">
      <c r="A2" s="114" t="s">
        <v>403</v>
      </c>
      <c r="B2" s="115" t="s">
        <v>404</v>
      </c>
    </row>
    <row r="3" spans="1:2" ht="15.75" thickBot="1" x14ac:dyDescent="0.3">
      <c r="A3" s="114" t="s">
        <v>405</v>
      </c>
      <c r="B3" s="115" t="s">
        <v>404</v>
      </c>
    </row>
    <row r="4" spans="1:2" ht="15.75" thickBot="1" x14ac:dyDescent="0.3">
      <c r="A4" s="114" t="s">
        <v>406</v>
      </c>
      <c r="B4" s="115" t="s">
        <v>404</v>
      </c>
    </row>
    <row r="5" spans="1:2" ht="15.75" thickBot="1" x14ac:dyDescent="0.3">
      <c r="A5" s="114" t="s">
        <v>407</v>
      </c>
      <c r="B5" s="115" t="s">
        <v>408</v>
      </c>
    </row>
    <row r="6" spans="1:2" ht="15.75" thickBot="1" x14ac:dyDescent="0.3">
      <c r="A6" s="114" t="s">
        <v>409</v>
      </c>
      <c r="B6" s="115" t="s">
        <v>408</v>
      </c>
    </row>
    <row r="7" spans="1:2" ht="15.75" thickBot="1" x14ac:dyDescent="0.3">
      <c r="A7" s="114" t="s">
        <v>412</v>
      </c>
      <c r="B7" s="115" t="s">
        <v>413</v>
      </c>
    </row>
    <row r="8" spans="1:2" ht="15.75" thickBot="1" x14ac:dyDescent="0.3">
      <c r="A8" s="114" t="s">
        <v>410</v>
      </c>
      <c r="B8" s="115" t="s">
        <v>411</v>
      </c>
    </row>
    <row r="9" spans="1:2" ht="15.75" thickBot="1" x14ac:dyDescent="0.3">
      <c r="A9" s="114" t="s">
        <v>414</v>
      </c>
      <c r="B9" s="115" t="s">
        <v>415</v>
      </c>
    </row>
    <row r="10" spans="1:2" ht="15.75" thickBot="1" x14ac:dyDescent="0.3">
      <c r="A10" s="114" t="s">
        <v>416</v>
      </c>
      <c r="B10" s="115" t="s">
        <v>408</v>
      </c>
    </row>
    <row r="11" spans="1:2" ht="15.75" thickBot="1" x14ac:dyDescent="0.3">
      <c r="A11" s="114" t="s">
        <v>417</v>
      </c>
      <c r="B11" s="115" t="s">
        <v>418</v>
      </c>
    </row>
    <row r="12" spans="1:2" ht="15.75" thickBot="1" x14ac:dyDescent="0.3">
      <c r="A12" s="114" t="s">
        <v>419</v>
      </c>
      <c r="B12" s="115" t="s">
        <v>420</v>
      </c>
    </row>
    <row r="13" spans="1:2" ht="15.75" thickBot="1" x14ac:dyDescent="0.3">
      <c r="A13" s="114" t="s">
        <v>421</v>
      </c>
      <c r="B13" s="115" t="s">
        <v>404</v>
      </c>
    </row>
    <row r="14" spans="1:2" ht="15.75" thickBot="1" x14ac:dyDescent="0.3">
      <c r="A14" s="114" t="s">
        <v>422</v>
      </c>
      <c r="B14" s="115" t="s">
        <v>420</v>
      </c>
    </row>
    <row r="15" spans="1:2" ht="15.75" thickBot="1" x14ac:dyDescent="0.3">
      <c r="A15" s="114" t="s">
        <v>423</v>
      </c>
      <c r="B15" s="115" t="s">
        <v>420</v>
      </c>
    </row>
    <row r="16" spans="1:2" ht="15.75" thickBot="1" x14ac:dyDescent="0.3">
      <c r="A16" s="114" t="s">
        <v>424</v>
      </c>
      <c r="B16" s="115" t="s">
        <v>420</v>
      </c>
    </row>
    <row r="17" spans="1:2" ht="15.75" thickBot="1" x14ac:dyDescent="0.3">
      <c r="A17" s="114" t="s">
        <v>425</v>
      </c>
      <c r="B17" s="115" t="s">
        <v>408</v>
      </c>
    </row>
    <row r="18" spans="1:2" ht="15.75" thickBot="1" x14ac:dyDescent="0.3">
      <c r="A18" s="114" t="s">
        <v>426</v>
      </c>
      <c r="B18" s="115" t="s">
        <v>404</v>
      </c>
    </row>
    <row r="19" spans="1:2" ht="15.75" thickBot="1" x14ac:dyDescent="0.3">
      <c r="A19" s="114" t="s">
        <v>427</v>
      </c>
      <c r="B19" s="115" t="s">
        <v>404</v>
      </c>
    </row>
    <row r="20" spans="1:2" ht="15.75" thickBot="1" x14ac:dyDescent="0.3">
      <c r="A20" s="114" t="s">
        <v>428</v>
      </c>
      <c r="B20" s="115" t="s">
        <v>408</v>
      </c>
    </row>
    <row r="21" spans="1:2" ht="15.75" thickBot="1" x14ac:dyDescent="0.3">
      <c r="A21" s="114" t="s">
        <v>429</v>
      </c>
      <c r="B21" s="115" t="s">
        <v>430</v>
      </c>
    </row>
    <row r="22" spans="1:2" ht="15.75" thickBot="1" x14ac:dyDescent="0.3">
      <c r="A22" s="114" t="s">
        <v>431</v>
      </c>
      <c r="B22" s="115" t="s">
        <v>430</v>
      </c>
    </row>
    <row r="23" spans="1:2" ht="15.75" thickBot="1" x14ac:dyDescent="0.3">
      <c r="A23" s="114" t="s">
        <v>432</v>
      </c>
      <c r="B23" s="115" t="s">
        <v>430</v>
      </c>
    </row>
    <row r="24" spans="1:2" ht="15.75" thickBot="1" x14ac:dyDescent="0.3">
      <c r="A24" s="114" t="s">
        <v>433</v>
      </c>
      <c r="B24" s="115" t="s">
        <v>408</v>
      </c>
    </row>
    <row r="25" spans="1:2" ht="15.75" thickBot="1" x14ac:dyDescent="0.3">
      <c r="A25" s="114" t="s">
        <v>434</v>
      </c>
      <c r="B25" s="115" t="s">
        <v>408</v>
      </c>
    </row>
    <row r="26" spans="1:2" ht="15.75" thickBot="1" x14ac:dyDescent="0.3">
      <c r="A26" s="114" t="s">
        <v>435</v>
      </c>
      <c r="B26" s="115" t="s">
        <v>415</v>
      </c>
    </row>
    <row r="27" spans="1:2" ht="15.75" thickBot="1" x14ac:dyDescent="0.3">
      <c r="A27" s="114" t="s">
        <v>436</v>
      </c>
      <c r="B27" s="115" t="s">
        <v>408</v>
      </c>
    </row>
    <row r="28" spans="1:2" ht="15.75" thickBot="1" x14ac:dyDescent="0.3">
      <c r="A28" s="114" t="s">
        <v>437</v>
      </c>
      <c r="B28" s="115" t="s">
        <v>408</v>
      </c>
    </row>
    <row r="29" spans="1:2" ht="15.75" thickBot="1" x14ac:dyDescent="0.3">
      <c r="A29" s="114" t="s">
        <v>438</v>
      </c>
      <c r="B29" s="115" t="s">
        <v>408</v>
      </c>
    </row>
    <row r="30" spans="1:2" ht="15.75" thickBot="1" x14ac:dyDescent="0.3">
      <c r="A30" s="114" t="s">
        <v>439</v>
      </c>
      <c r="B30" s="115" t="s">
        <v>408</v>
      </c>
    </row>
    <row r="31" spans="1:2" ht="15.75" thickBot="1" x14ac:dyDescent="0.3">
      <c r="A31" s="114" t="s">
        <v>440</v>
      </c>
      <c r="B31" s="115" t="s">
        <v>408</v>
      </c>
    </row>
    <row r="32" spans="1:2" ht="15.75" thickBot="1" x14ac:dyDescent="0.3">
      <c r="A32" s="114" t="s">
        <v>441</v>
      </c>
      <c r="B32" s="115" t="s">
        <v>418</v>
      </c>
    </row>
    <row r="33" spans="1:2" ht="15.75" thickBot="1" x14ac:dyDescent="0.3">
      <c r="A33" s="114" t="s">
        <v>442</v>
      </c>
      <c r="B33" s="115" t="s">
        <v>443</v>
      </c>
    </row>
    <row r="34" spans="1:2" ht="15.75" thickBot="1" x14ac:dyDescent="0.3">
      <c r="A34" s="114" t="s">
        <v>444</v>
      </c>
      <c r="B34" s="115" t="s">
        <v>420</v>
      </c>
    </row>
    <row r="35" spans="1:2" ht="15.75" thickBot="1" x14ac:dyDescent="0.3">
      <c r="A35" s="114" t="s">
        <v>445</v>
      </c>
      <c r="B35" s="115" t="s">
        <v>443</v>
      </c>
    </row>
    <row r="36" spans="1:2" ht="15.75" thickBot="1" x14ac:dyDescent="0.3">
      <c r="A36" s="114" t="s">
        <v>446</v>
      </c>
      <c r="B36" s="115" t="s">
        <v>443</v>
      </c>
    </row>
    <row r="37" spans="1:2" ht="15.75" thickBot="1" x14ac:dyDescent="0.3">
      <c r="A37" s="114" t="s">
        <v>447</v>
      </c>
      <c r="B37" s="115" t="s">
        <v>443</v>
      </c>
    </row>
    <row r="38" spans="1:2" ht="15.75" thickBot="1" x14ac:dyDescent="0.3">
      <c r="A38" s="114" t="s">
        <v>448</v>
      </c>
      <c r="B38" s="115" t="s">
        <v>443</v>
      </c>
    </row>
    <row r="39" spans="1:2" ht="15.75" thickBot="1" x14ac:dyDescent="0.3">
      <c r="A39" s="114" t="s">
        <v>449</v>
      </c>
      <c r="B39" s="115" t="s">
        <v>443</v>
      </c>
    </row>
    <row r="40" spans="1:2" ht="15.75" thickBot="1" x14ac:dyDescent="0.3">
      <c r="A40" s="114" t="s">
        <v>450</v>
      </c>
      <c r="B40" s="115" t="s">
        <v>408</v>
      </c>
    </row>
    <row r="41" spans="1:2" ht="15.75" thickBot="1" x14ac:dyDescent="0.3">
      <c r="A41" s="114" t="s">
        <v>451</v>
      </c>
      <c r="B41" s="115" t="s">
        <v>404</v>
      </c>
    </row>
    <row r="42" spans="1:2" ht="15.75" thickBot="1" x14ac:dyDescent="0.3">
      <c r="A42" s="114" t="s">
        <v>452</v>
      </c>
      <c r="B42" s="115" t="s">
        <v>420</v>
      </c>
    </row>
    <row r="43" spans="1:2" ht="15.75" thickBot="1" x14ac:dyDescent="0.3">
      <c r="A43" s="114" t="s">
        <v>453</v>
      </c>
      <c r="B43" s="115" t="s">
        <v>443</v>
      </c>
    </row>
    <row r="44" spans="1:2" ht="15.75" thickBot="1" x14ac:dyDescent="0.3">
      <c r="A44" s="114" t="s">
        <v>454</v>
      </c>
      <c r="B44" s="115" t="s">
        <v>420</v>
      </c>
    </row>
    <row r="45" spans="1:2" ht="15.75" thickBot="1" x14ac:dyDescent="0.3">
      <c r="A45" s="114" t="s">
        <v>455</v>
      </c>
      <c r="B45" s="115" t="s">
        <v>420</v>
      </c>
    </row>
    <row r="46" spans="1:2" ht="15.75" thickBot="1" x14ac:dyDescent="0.3">
      <c r="A46" s="114" t="s">
        <v>456</v>
      </c>
      <c r="B46" s="115" t="s">
        <v>420</v>
      </c>
    </row>
    <row r="47" spans="1:2" ht="15.75" thickBot="1" x14ac:dyDescent="0.3">
      <c r="A47" s="114" t="s">
        <v>457</v>
      </c>
      <c r="B47" s="115" t="s">
        <v>443</v>
      </c>
    </row>
    <row r="48" spans="1:2" ht="15.75" thickBot="1" x14ac:dyDescent="0.3">
      <c r="A48" s="114" t="s">
        <v>458</v>
      </c>
      <c r="B48" s="115" t="s">
        <v>415</v>
      </c>
    </row>
    <row r="49" spans="1:2" ht="15.75" thickBot="1" x14ac:dyDescent="0.3">
      <c r="A49" s="114" t="s">
        <v>459</v>
      </c>
      <c r="B49" s="115" t="s">
        <v>420</v>
      </c>
    </row>
    <row r="50" spans="1:2" ht="15.75" thickBot="1" x14ac:dyDescent="0.3">
      <c r="A50" s="114" t="s">
        <v>460</v>
      </c>
      <c r="B50" s="115" t="s">
        <v>418</v>
      </c>
    </row>
    <row r="51" spans="1:2" ht="15.75" thickBot="1" x14ac:dyDescent="0.3">
      <c r="A51" s="114" t="s">
        <v>461</v>
      </c>
      <c r="B51" s="115" t="s">
        <v>415</v>
      </c>
    </row>
    <row r="52" spans="1:2" ht="15.75" thickBot="1" x14ac:dyDescent="0.3">
      <c r="A52" s="114" t="s">
        <v>462</v>
      </c>
      <c r="B52" s="115" t="s">
        <v>420</v>
      </c>
    </row>
    <row r="53" spans="1:2" ht="15.75" thickBot="1" x14ac:dyDescent="0.3">
      <c r="A53" s="114" t="s">
        <v>463</v>
      </c>
      <c r="B53" s="115" t="s">
        <v>430</v>
      </c>
    </row>
    <row r="54" spans="1:2" ht="15.75" thickBot="1" x14ac:dyDescent="0.3">
      <c r="A54" s="114" t="s">
        <v>464</v>
      </c>
      <c r="B54" s="115" t="s">
        <v>430</v>
      </c>
    </row>
    <row r="55" spans="1:2" ht="15.75" thickBot="1" x14ac:dyDescent="0.3">
      <c r="A55" s="114" t="s">
        <v>465</v>
      </c>
      <c r="B55" s="115" t="s">
        <v>420</v>
      </c>
    </row>
    <row r="56" spans="1:2" ht="15.75" thickBot="1" x14ac:dyDescent="0.3">
      <c r="A56" s="114" t="s">
        <v>466</v>
      </c>
      <c r="B56" s="115" t="s">
        <v>430</v>
      </c>
    </row>
    <row r="57" spans="1:2" ht="15.75" thickBot="1" x14ac:dyDescent="0.3">
      <c r="A57" s="114" t="s">
        <v>467</v>
      </c>
      <c r="B57" s="115" t="s">
        <v>408</v>
      </c>
    </row>
    <row r="58" spans="1:2" ht="15.75" thickBot="1" x14ac:dyDescent="0.3">
      <c r="A58" s="114" t="s">
        <v>468</v>
      </c>
      <c r="B58" s="115" t="s">
        <v>415</v>
      </c>
    </row>
    <row r="59" spans="1:2" ht="15.75" thickBot="1" x14ac:dyDescent="0.3">
      <c r="A59" s="114" t="s">
        <v>469</v>
      </c>
      <c r="B59" s="115" t="s">
        <v>443</v>
      </c>
    </row>
    <row r="60" spans="1:2" ht="15.75" thickBot="1" x14ac:dyDescent="0.3">
      <c r="A60" s="114" t="s">
        <v>470</v>
      </c>
      <c r="B60" s="115" t="s">
        <v>415</v>
      </c>
    </row>
    <row r="61" spans="1:2" ht="15.75" thickBot="1" x14ac:dyDescent="0.3">
      <c r="A61" s="114" t="s">
        <v>471</v>
      </c>
      <c r="B61" s="115" t="s">
        <v>420</v>
      </c>
    </row>
    <row r="62" spans="1:2" ht="15.75" thickBot="1" x14ac:dyDescent="0.3">
      <c r="A62" s="114" t="s">
        <v>472</v>
      </c>
      <c r="B62" s="115" t="s">
        <v>420</v>
      </c>
    </row>
    <row r="63" spans="1:2" ht="15.75" thickBot="1" x14ac:dyDescent="0.3">
      <c r="A63" s="114" t="s">
        <v>473</v>
      </c>
      <c r="B63" s="115" t="s">
        <v>404</v>
      </c>
    </row>
    <row r="64" spans="1:2" ht="15.75" thickBot="1" x14ac:dyDescent="0.3">
      <c r="A64" s="114" t="s">
        <v>474</v>
      </c>
      <c r="B64" s="115" t="s">
        <v>408</v>
      </c>
    </row>
    <row r="65" spans="1:2" ht="15.75" thickBot="1" x14ac:dyDescent="0.3">
      <c r="A65" s="114" t="s">
        <v>475</v>
      </c>
      <c r="B65" s="115" t="s">
        <v>404</v>
      </c>
    </row>
    <row r="66" spans="1:2" ht="15.75" thickBot="1" x14ac:dyDescent="0.3">
      <c r="A66" s="114" t="s">
        <v>476</v>
      </c>
      <c r="B66" s="115" t="s">
        <v>408</v>
      </c>
    </row>
    <row r="67" spans="1:2" ht="15.75" thickBot="1" x14ac:dyDescent="0.3">
      <c r="A67" s="114" t="s">
        <v>477</v>
      </c>
      <c r="B67" s="115" t="s">
        <v>404</v>
      </c>
    </row>
    <row r="68" spans="1:2" ht="15.75" thickBot="1" x14ac:dyDescent="0.3">
      <c r="A68" s="114" t="s">
        <v>478</v>
      </c>
      <c r="B68" s="115" t="s">
        <v>404</v>
      </c>
    </row>
    <row r="69" spans="1:2" ht="15.75" thickBot="1" x14ac:dyDescent="0.3">
      <c r="A69" s="114" t="s">
        <v>479</v>
      </c>
      <c r="B69" s="115" t="s">
        <v>404</v>
      </c>
    </row>
    <row r="70" spans="1:2" ht="15.75" thickBot="1" x14ac:dyDescent="0.3">
      <c r="A70" s="114" t="s">
        <v>480</v>
      </c>
      <c r="B70" s="115" t="s">
        <v>404</v>
      </c>
    </row>
    <row r="71" spans="1:2" ht="15.75" thickBot="1" x14ac:dyDescent="0.3">
      <c r="A71" s="114" t="s">
        <v>481</v>
      </c>
      <c r="B71" s="115" t="s">
        <v>408</v>
      </c>
    </row>
    <row r="72" spans="1:2" ht="15.75" thickBot="1" x14ac:dyDescent="0.3">
      <c r="A72" s="114" t="s">
        <v>1398</v>
      </c>
      <c r="B72" s="115" t="s">
        <v>408</v>
      </c>
    </row>
    <row r="73" spans="1:2" ht="15.75" thickBot="1" x14ac:dyDescent="0.3">
      <c r="A73" s="114" t="s">
        <v>482</v>
      </c>
      <c r="B73" s="115" t="s">
        <v>404</v>
      </c>
    </row>
    <row r="74" spans="1:2" ht="15.75" thickBot="1" x14ac:dyDescent="0.3">
      <c r="A74" s="114" t="s">
        <v>483</v>
      </c>
      <c r="B74" s="115" t="s">
        <v>404</v>
      </c>
    </row>
    <row r="75" spans="1:2" ht="15.75" thickBot="1" x14ac:dyDescent="0.3">
      <c r="A75" s="114" t="s">
        <v>484</v>
      </c>
      <c r="B75" s="115" t="s">
        <v>404</v>
      </c>
    </row>
    <row r="76" spans="1:2" ht="15.75" thickBot="1" x14ac:dyDescent="0.3">
      <c r="A76" s="114" t="s">
        <v>485</v>
      </c>
      <c r="B76" s="115" t="s">
        <v>404</v>
      </c>
    </row>
    <row r="77" spans="1:2" ht="15.75" thickBot="1" x14ac:dyDescent="0.3">
      <c r="A77" s="114" t="s">
        <v>486</v>
      </c>
      <c r="B77" s="115" t="s">
        <v>404</v>
      </c>
    </row>
    <row r="78" spans="1:2" ht="15.75" thickBot="1" x14ac:dyDescent="0.3">
      <c r="A78" s="114" t="s">
        <v>487</v>
      </c>
      <c r="B78" s="115" t="s">
        <v>404</v>
      </c>
    </row>
    <row r="79" spans="1:2" ht="15.75" thickBot="1" x14ac:dyDescent="0.3">
      <c r="A79" s="114" t="s">
        <v>488</v>
      </c>
      <c r="B79" s="115" t="s">
        <v>443</v>
      </c>
    </row>
    <row r="80" spans="1:2" ht="15.75" thickBot="1" x14ac:dyDescent="0.3">
      <c r="A80" s="114" t="s">
        <v>489</v>
      </c>
      <c r="B80" s="115" t="s">
        <v>415</v>
      </c>
    </row>
    <row r="81" spans="1:2" ht="15.75" thickBot="1" x14ac:dyDescent="0.3">
      <c r="A81" s="114" t="s">
        <v>490</v>
      </c>
      <c r="B81" s="115" t="s">
        <v>404</v>
      </c>
    </row>
    <row r="82" spans="1:2" ht="15.75" thickBot="1" x14ac:dyDescent="0.3">
      <c r="A82" s="114" t="s">
        <v>491</v>
      </c>
      <c r="B82" s="115" t="s">
        <v>420</v>
      </c>
    </row>
    <row r="83" spans="1:2" ht="15.75" thickBot="1" x14ac:dyDescent="0.3">
      <c r="A83" s="114" t="s">
        <v>492</v>
      </c>
      <c r="B83" s="115" t="s">
        <v>420</v>
      </c>
    </row>
    <row r="84" spans="1:2" ht="15.75" thickBot="1" x14ac:dyDescent="0.3">
      <c r="A84" s="114" t="s">
        <v>493</v>
      </c>
      <c r="B84" s="115" t="s">
        <v>420</v>
      </c>
    </row>
    <row r="85" spans="1:2" ht="15.75" thickBot="1" x14ac:dyDescent="0.3">
      <c r="A85" s="114" t="s">
        <v>494</v>
      </c>
      <c r="B85" s="115" t="s">
        <v>420</v>
      </c>
    </row>
    <row r="86" spans="1:2" ht="15.75" thickBot="1" x14ac:dyDescent="0.3">
      <c r="A86" s="114" t="s">
        <v>495</v>
      </c>
      <c r="B86" s="115" t="s">
        <v>420</v>
      </c>
    </row>
    <row r="87" spans="1:2" ht="15.75" thickBot="1" x14ac:dyDescent="0.3">
      <c r="A87" s="114" t="s">
        <v>496</v>
      </c>
      <c r="B87" s="115" t="s">
        <v>420</v>
      </c>
    </row>
    <row r="88" spans="1:2" ht="15.75" thickBot="1" x14ac:dyDescent="0.3">
      <c r="A88" s="114" t="s">
        <v>497</v>
      </c>
      <c r="B88" s="115" t="s">
        <v>404</v>
      </c>
    </row>
    <row r="89" spans="1:2" ht="15.75" thickBot="1" x14ac:dyDescent="0.3">
      <c r="A89" s="114" t="s">
        <v>498</v>
      </c>
      <c r="B89" s="115" t="s">
        <v>404</v>
      </c>
    </row>
    <row r="90" spans="1:2" ht="15.75" thickBot="1" x14ac:dyDescent="0.3">
      <c r="A90" s="114" t="s">
        <v>499</v>
      </c>
      <c r="B90" s="115" t="s">
        <v>500</v>
      </c>
    </row>
    <row r="91" spans="1:2" ht="15.75" thickBot="1" x14ac:dyDescent="0.3">
      <c r="A91" s="114" t="s">
        <v>501</v>
      </c>
      <c r="B91" s="115" t="s">
        <v>443</v>
      </c>
    </row>
    <row r="92" spans="1:2" ht="15.75" thickBot="1" x14ac:dyDescent="0.3">
      <c r="A92" s="114" t="s">
        <v>502</v>
      </c>
      <c r="B92" s="115" t="s">
        <v>404</v>
      </c>
    </row>
    <row r="93" spans="1:2" ht="15.75" thickBot="1" x14ac:dyDescent="0.3">
      <c r="A93" s="114" t="s">
        <v>503</v>
      </c>
      <c r="B93" s="115" t="s">
        <v>443</v>
      </c>
    </row>
    <row r="94" spans="1:2" ht="15.75" thickBot="1" x14ac:dyDescent="0.3">
      <c r="A94" s="114" t="s">
        <v>504</v>
      </c>
      <c r="B94" s="115" t="s">
        <v>404</v>
      </c>
    </row>
    <row r="95" spans="1:2" ht="15.75" thickBot="1" x14ac:dyDescent="0.3">
      <c r="A95" s="114" t="s">
        <v>505</v>
      </c>
      <c r="B95" s="115" t="s">
        <v>404</v>
      </c>
    </row>
    <row r="96" spans="1:2" ht="15.75" thickBot="1" x14ac:dyDescent="0.3">
      <c r="A96" s="60" t="s">
        <v>506</v>
      </c>
      <c r="B96" s="115" t="s">
        <v>443</v>
      </c>
    </row>
    <row r="97" spans="1:2" ht="15.75" thickBot="1" x14ac:dyDescent="0.3">
      <c r="A97" s="114" t="s">
        <v>507</v>
      </c>
      <c r="B97" s="115" t="s">
        <v>443</v>
      </c>
    </row>
    <row r="98" spans="1:2" ht="15.75" thickBot="1" x14ac:dyDescent="0.3">
      <c r="A98" s="114" t="s">
        <v>508</v>
      </c>
      <c r="B98" s="115" t="s">
        <v>408</v>
      </c>
    </row>
    <row r="99" spans="1:2" ht="15.75" thickBot="1" x14ac:dyDescent="0.3">
      <c r="A99" s="114" t="s">
        <v>509</v>
      </c>
      <c r="B99" s="115" t="s">
        <v>443</v>
      </c>
    </row>
    <row r="100" spans="1:2" ht="15.75" thickBot="1" x14ac:dyDescent="0.3">
      <c r="A100" s="114" t="s">
        <v>510</v>
      </c>
      <c r="B100" s="115" t="s">
        <v>430</v>
      </c>
    </row>
    <row r="101" spans="1:2" ht="15.75" thickBot="1" x14ac:dyDescent="0.3">
      <c r="A101" s="114" t="s">
        <v>511</v>
      </c>
      <c r="B101" s="115" t="s">
        <v>420</v>
      </c>
    </row>
    <row r="102" spans="1:2" ht="15.75" thickBot="1" x14ac:dyDescent="0.3">
      <c r="A102" s="114" t="s">
        <v>512</v>
      </c>
      <c r="B102" s="115" t="s">
        <v>420</v>
      </c>
    </row>
    <row r="103" spans="1:2" ht="15.75" thickBot="1" x14ac:dyDescent="0.3">
      <c r="A103" s="114" t="s">
        <v>513</v>
      </c>
      <c r="B103" s="115" t="s">
        <v>420</v>
      </c>
    </row>
    <row r="104" spans="1:2" ht="15.75" thickBot="1" x14ac:dyDescent="0.3">
      <c r="A104" s="114" t="s">
        <v>514</v>
      </c>
      <c r="B104" s="115" t="s">
        <v>415</v>
      </c>
    </row>
    <row r="105" spans="1:2" ht="15.75" thickBot="1" x14ac:dyDescent="0.3">
      <c r="A105" s="114" t="s">
        <v>515</v>
      </c>
      <c r="B105" s="115" t="s">
        <v>404</v>
      </c>
    </row>
    <row r="106" spans="1:2" ht="15.75" thickBot="1" x14ac:dyDescent="0.3">
      <c r="A106" s="114" t="s">
        <v>516</v>
      </c>
      <c r="B106" s="115" t="s">
        <v>404</v>
      </c>
    </row>
    <row r="107" spans="1:2" ht="15.75" thickBot="1" x14ac:dyDescent="0.3">
      <c r="A107" s="114" t="s">
        <v>517</v>
      </c>
      <c r="B107" s="115" t="s">
        <v>404</v>
      </c>
    </row>
    <row r="108" spans="1:2" ht="15.75" thickBot="1" x14ac:dyDescent="0.3">
      <c r="A108" s="114" t="s">
        <v>518</v>
      </c>
      <c r="B108" s="115" t="s">
        <v>408</v>
      </c>
    </row>
    <row r="109" spans="1:2" ht="15.75" thickBot="1" x14ac:dyDescent="0.3">
      <c r="A109" s="114" t="s">
        <v>519</v>
      </c>
      <c r="B109" s="115" t="s">
        <v>404</v>
      </c>
    </row>
    <row r="110" spans="1:2" ht="15.75" thickBot="1" x14ac:dyDescent="0.3">
      <c r="A110" s="114" t="s">
        <v>520</v>
      </c>
      <c r="B110" s="115" t="s">
        <v>404</v>
      </c>
    </row>
    <row r="111" spans="1:2" ht="15.75" thickBot="1" x14ac:dyDescent="0.3">
      <c r="A111" s="114" t="s">
        <v>521</v>
      </c>
      <c r="B111" s="115" t="s">
        <v>404</v>
      </c>
    </row>
    <row r="112" spans="1:2" ht="15.75" thickBot="1" x14ac:dyDescent="0.3">
      <c r="A112" s="114" t="s">
        <v>522</v>
      </c>
      <c r="B112" s="115" t="s">
        <v>523</v>
      </c>
    </row>
    <row r="113" spans="1:2" ht="15.75" thickBot="1" x14ac:dyDescent="0.3">
      <c r="A113" s="114" t="s">
        <v>524</v>
      </c>
      <c r="B113" s="115" t="s">
        <v>404</v>
      </c>
    </row>
    <row r="114" spans="1:2" ht="15.75" thickBot="1" x14ac:dyDescent="0.3">
      <c r="A114" s="114" t="s">
        <v>525</v>
      </c>
      <c r="B114" s="115" t="s">
        <v>404</v>
      </c>
    </row>
    <row r="115" spans="1:2" ht="15.75" thickBot="1" x14ac:dyDescent="0.3">
      <c r="A115" s="114" t="s">
        <v>526</v>
      </c>
      <c r="B115" s="115" t="s">
        <v>404</v>
      </c>
    </row>
    <row r="116" spans="1:2" ht="15.75" thickBot="1" x14ac:dyDescent="0.3">
      <c r="A116" s="114" t="s">
        <v>527</v>
      </c>
      <c r="B116" s="115" t="s">
        <v>404</v>
      </c>
    </row>
    <row r="117" spans="1:2" ht="15.75" thickBot="1" x14ac:dyDescent="0.3">
      <c r="A117" s="114" t="s">
        <v>528</v>
      </c>
      <c r="B117" s="115" t="s">
        <v>404</v>
      </c>
    </row>
    <row r="118" spans="1:2" ht="15.75" thickBot="1" x14ac:dyDescent="0.3">
      <c r="A118" s="114" t="s">
        <v>529</v>
      </c>
      <c r="B118" s="115" t="s">
        <v>408</v>
      </c>
    </row>
    <row r="119" spans="1:2" ht="15.75" thickBot="1" x14ac:dyDescent="0.3">
      <c r="A119" s="114" t="s">
        <v>530</v>
      </c>
      <c r="B119" s="115" t="s">
        <v>408</v>
      </c>
    </row>
    <row r="120" spans="1:2" ht="15.75" thickBot="1" x14ac:dyDescent="0.3">
      <c r="A120" s="114" t="s">
        <v>531</v>
      </c>
      <c r="B120" s="115" t="s">
        <v>415</v>
      </c>
    </row>
    <row r="121" spans="1:2" ht="15.75" thickBot="1" x14ac:dyDescent="0.3">
      <c r="A121" s="114" t="s">
        <v>532</v>
      </c>
      <c r="B121" s="115" t="s">
        <v>404</v>
      </c>
    </row>
    <row r="122" spans="1:2" ht="15.75" thickBot="1" x14ac:dyDescent="0.3">
      <c r="A122" s="114" t="s">
        <v>533</v>
      </c>
      <c r="B122" s="115" t="s">
        <v>404</v>
      </c>
    </row>
    <row r="123" spans="1:2" ht="15.75" thickBot="1" x14ac:dyDescent="0.3">
      <c r="A123" s="114" t="s">
        <v>534</v>
      </c>
      <c r="B123" s="115" t="s">
        <v>408</v>
      </c>
    </row>
    <row r="124" spans="1:2" ht="15.75" thickBot="1" x14ac:dyDescent="0.3">
      <c r="A124" s="114" t="s">
        <v>535</v>
      </c>
      <c r="B124" s="115" t="s">
        <v>404</v>
      </c>
    </row>
    <row r="125" spans="1:2" ht="15.75" thickBot="1" x14ac:dyDescent="0.3">
      <c r="A125" s="114" t="s">
        <v>536</v>
      </c>
      <c r="B125" s="115" t="s">
        <v>404</v>
      </c>
    </row>
    <row r="126" spans="1:2" ht="15.75" thickBot="1" x14ac:dyDescent="0.3">
      <c r="A126" s="114" t="s">
        <v>537</v>
      </c>
      <c r="B126" s="115" t="s">
        <v>443</v>
      </c>
    </row>
    <row r="127" spans="1:2" ht="15.75" thickBot="1" x14ac:dyDescent="0.3">
      <c r="A127" s="114" t="s">
        <v>538</v>
      </c>
      <c r="B127" s="115" t="s">
        <v>408</v>
      </c>
    </row>
    <row r="128" spans="1:2" ht="15.75" thickBot="1" x14ac:dyDescent="0.3">
      <c r="A128" s="114" t="s">
        <v>539</v>
      </c>
      <c r="B128" s="115" t="s">
        <v>408</v>
      </c>
    </row>
    <row r="129" spans="1:2" ht="15.75" thickBot="1" x14ac:dyDescent="0.3">
      <c r="A129" s="114" t="s">
        <v>540</v>
      </c>
      <c r="B129" s="115" t="s">
        <v>408</v>
      </c>
    </row>
    <row r="130" spans="1:2" ht="15.75" thickBot="1" x14ac:dyDescent="0.3">
      <c r="A130" s="114" t="s">
        <v>541</v>
      </c>
      <c r="B130" s="115" t="s">
        <v>443</v>
      </c>
    </row>
    <row r="131" spans="1:2" ht="15.75" thickBot="1" x14ac:dyDescent="0.3">
      <c r="A131" s="114" t="s">
        <v>542</v>
      </c>
      <c r="B131" s="115" t="s">
        <v>415</v>
      </c>
    </row>
    <row r="132" spans="1:2" ht="15.75" thickBot="1" x14ac:dyDescent="0.3">
      <c r="A132" s="114" t="s">
        <v>543</v>
      </c>
      <c r="B132" s="115" t="s">
        <v>404</v>
      </c>
    </row>
    <row r="133" spans="1:2" ht="15.75" thickBot="1" x14ac:dyDescent="0.3">
      <c r="A133" s="114" t="s">
        <v>544</v>
      </c>
      <c r="B133" s="115" t="s">
        <v>404</v>
      </c>
    </row>
    <row r="134" spans="1:2" ht="15.75" thickBot="1" x14ac:dyDescent="0.3">
      <c r="A134" s="114" t="s">
        <v>545</v>
      </c>
      <c r="B134" s="115" t="s">
        <v>404</v>
      </c>
    </row>
    <row r="135" spans="1:2" ht="15.75" thickBot="1" x14ac:dyDescent="0.3">
      <c r="A135" s="114" t="s">
        <v>546</v>
      </c>
      <c r="B135" s="115" t="s">
        <v>415</v>
      </c>
    </row>
    <row r="136" spans="1:2" ht="15.75" thickBot="1" x14ac:dyDescent="0.3">
      <c r="A136" s="114" t="s">
        <v>547</v>
      </c>
      <c r="B136" s="115" t="s">
        <v>404</v>
      </c>
    </row>
    <row r="137" spans="1:2" ht="15.75" thickBot="1" x14ac:dyDescent="0.3">
      <c r="A137" s="114" t="s">
        <v>548</v>
      </c>
      <c r="B137" s="115" t="s">
        <v>404</v>
      </c>
    </row>
    <row r="138" spans="1:2" ht="15.75" thickBot="1" x14ac:dyDescent="0.3">
      <c r="A138" s="114" t="s">
        <v>549</v>
      </c>
      <c r="B138" s="115" t="s">
        <v>443</v>
      </c>
    </row>
    <row r="139" spans="1:2" ht="15.75" thickBot="1" x14ac:dyDescent="0.3">
      <c r="A139" s="114" t="s">
        <v>550</v>
      </c>
      <c r="B139" s="115" t="s">
        <v>404</v>
      </c>
    </row>
    <row r="140" spans="1:2" ht="15.75" thickBot="1" x14ac:dyDescent="0.3">
      <c r="A140" s="114" t="s">
        <v>551</v>
      </c>
      <c r="B140" s="115" t="s">
        <v>430</v>
      </c>
    </row>
    <row r="141" spans="1:2" ht="15.75" thickBot="1" x14ac:dyDescent="0.3">
      <c r="A141" s="114" t="s">
        <v>552</v>
      </c>
      <c r="B141" s="115" t="s">
        <v>430</v>
      </c>
    </row>
    <row r="142" spans="1:2" ht="15.75" thickBot="1" x14ac:dyDescent="0.3">
      <c r="A142" s="114" t="s">
        <v>553</v>
      </c>
      <c r="B142" s="115" t="s">
        <v>404</v>
      </c>
    </row>
    <row r="143" spans="1:2" ht="15.75" thickBot="1" x14ac:dyDescent="0.3">
      <c r="A143" s="114" t="s">
        <v>554</v>
      </c>
      <c r="B143" s="115" t="s">
        <v>404</v>
      </c>
    </row>
    <row r="144" spans="1:2" ht="15.75" thickBot="1" x14ac:dyDescent="0.3">
      <c r="A144" s="114" t="s">
        <v>555</v>
      </c>
      <c r="B144" s="115" t="s">
        <v>404</v>
      </c>
    </row>
    <row r="145" spans="1:2" ht="15.75" thickBot="1" x14ac:dyDescent="0.3">
      <c r="A145" s="114" t="s">
        <v>556</v>
      </c>
      <c r="B145" s="115" t="s">
        <v>415</v>
      </c>
    </row>
    <row r="146" spans="1:2" ht="15.75" thickBot="1" x14ac:dyDescent="0.3">
      <c r="A146" s="114" t="s">
        <v>557</v>
      </c>
      <c r="B146" s="115" t="s">
        <v>420</v>
      </c>
    </row>
    <row r="147" spans="1:2" ht="15.75" thickBot="1" x14ac:dyDescent="0.3">
      <c r="A147" s="114" t="s">
        <v>558</v>
      </c>
      <c r="B147" s="115" t="s">
        <v>443</v>
      </c>
    </row>
    <row r="148" spans="1:2" ht="15.75" thickBot="1" x14ac:dyDescent="0.3">
      <c r="A148" s="114" t="s">
        <v>559</v>
      </c>
      <c r="B148" s="115" t="s">
        <v>415</v>
      </c>
    </row>
    <row r="149" spans="1:2" ht="15.75" thickBot="1" x14ac:dyDescent="0.3">
      <c r="A149" s="114" t="s">
        <v>560</v>
      </c>
      <c r="B149" s="115" t="s">
        <v>404</v>
      </c>
    </row>
    <row r="150" spans="1:2" ht="15.75" thickBot="1" x14ac:dyDescent="0.3">
      <c r="A150" s="114" t="s">
        <v>561</v>
      </c>
      <c r="B150" s="115" t="s">
        <v>404</v>
      </c>
    </row>
    <row r="151" spans="1:2" ht="15.75" thickBot="1" x14ac:dyDescent="0.3">
      <c r="A151" s="114" t="s">
        <v>562</v>
      </c>
      <c r="B151" s="115" t="s">
        <v>420</v>
      </c>
    </row>
    <row r="152" spans="1:2" ht="15.75" thickBot="1" x14ac:dyDescent="0.3">
      <c r="A152" s="114" t="s">
        <v>563</v>
      </c>
      <c r="B152" s="115" t="s">
        <v>415</v>
      </c>
    </row>
    <row r="153" spans="1:2" ht="15.75" thickBot="1" x14ac:dyDescent="0.3">
      <c r="A153" s="114" t="s">
        <v>564</v>
      </c>
      <c r="B153" s="115" t="s">
        <v>404</v>
      </c>
    </row>
    <row r="154" spans="1:2" ht="15.75" thickBot="1" x14ac:dyDescent="0.3">
      <c r="A154" s="114" t="s">
        <v>565</v>
      </c>
      <c r="B154" s="115" t="s">
        <v>404</v>
      </c>
    </row>
    <row r="155" spans="1:2" ht="15.75" thickBot="1" x14ac:dyDescent="0.3">
      <c r="A155" s="114" t="s">
        <v>566</v>
      </c>
      <c r="B155" s="115" t="s">
        <v>420</v>
      </c>
    </row>
    <row r="156" spans="1:2" ht="15.75" thickBot="1" x14ac:dyDescent="0.3">
      <c r="A156" s="114" t="s">
        <v>567</v>
      </c>
      <c r="B156" s="115" t="s">
        <v>415</v>
      </c>
    </row>
    <row r="157" spans="1:2" ht="15.75" thickBot="1" x14ac:dyDescent="0.3">
      <c r="A157" s="114" t="s">
        <v>568</v>
      </c>
      <c r="B157" s="115" t="s">
        <v>404</v>
      </c>
    </row>
    <row r="158" spans="1:2" ht="15.75" thickBot="1" x14ac:dyDescent="0.3">
      <c r="A158" s="114" t="s">
        <v>569</v>
      </c>
      <c r="B158" s="115" t="s">
        <v>408</v>
      </c>
    </row>
    <row r="159" spans="1:2" ht="15.75" thickBot="1" x14ac:dyDescent="0.3">
      <c r="A159" s="114" t="s">
        <v>570</v>
      </c>
      <c r="B159" s="115" t="s">
        <v>404</v>
      </c>
    </row>
    <row r="160" spans="1:2" ht="15.75" thickBot="1" x14ac:dyDescent="0.3">
      <c r="A160" s="114" t="s">
        <v>571</v>
      </c>
      <c r="B160" s="115" t="s">
        <v>404</v>
      </c>
    </row>
    <row r="161" spans="1:2" ht="15.75" thickBot="1" x14ac:dyDescent="0.3">
      <c r="A161" s="114" t="s">
        <v>572</v>
      </c>
      <c r="B161" s="115" t="s">
        <v>404</v>
      </c>
    </row>
    <row r="162" spans="1:2" ht="15.75" thickBot="1" x14ac:dyDescent="0.3">
      <c r="A162" s="60" t="s">
        <v>573</v>
      </c>
      <c r="B162" s="115" t="s">
        <v>408</v>
      </c>
    </row>
    <row r="163" spans="1:2" ht="15.75" thickBot="1" x14ac:dyDescent="0.3">
      <c r="A163" s="114" t="s">
        <v>574</v>
      </c>
      <c r="B163" s="115" t="s">
        <v>430</v>
      </c>
    </row>
    <row r="164" spans="1:2" ht="15.75" thickBot="1" x14ac:dyDescent="0.3">
      <c r="A164" s="114" t="s">
        <v>575</v>
      </c>
      <c r="B164" s="115" t="s">
        <v>430</v>
      </c>
    </row>
    <row r="165" spans="1:2" ht="15.75" thickBot="1" x14ac:dyDescent="0.3">
      <c r="A165" s="114" t="s">
        <v>576</v>
      </c>
      <c r="B165" s="115" t="s">
        <v>415</v>
      </c>
    </row>
    <row r="166" spans="1:2" ht="15.75" thickBot="1" x14ac:dyDescent="0.3">
      <c r="A166" s="114" t="s">
        <v>577</v>
      </c>
      <c r="B166" s="115" t="s">
        <v>430</v>
      </c>
    </row>
    <row r="167" spans="1:2" ht="15.75" thickBot="1" x14ac:dyDescent="0.3">
      <c r="A167" s="114" t="s">
        <v>578</v>
      </c>
      <c r="B167" s="115" t="s">
        <v>420</v>
      </c>
    </row>
    <row r="168" spans="1:2" ht="15.75" thickBot="1" x14ac:dyDescent="0.3">
      <c r="A168" s="114" t="s">
        <v>579</v>
      </c>
      <c r="B168" s="115" t="s">
        <v>443</v>
      </c>
    </row>
    <row r="169" spans="1:2" ht="15.75" thickBot="1" x14ac:dyDescent="0.3">
      <c r="A169" s="114" t="s">
        <v>580</v>
      </c>
      <c r="B169" s="115" t="s">
        <v>443</v>
      </c>
    </row>
    <row r="170" spans="1:2" ht="15.75" thickBot="1" x14ac:dyDescent="0.3">
      <c r="A170" s="114" t="s">
        <v>581</v>
      </c>
      <c r="B170" s="115" t="s">
        <v>415</v>
      </c>
    </row>
    <row r="171" spans="1:2" ht="15.75" thickBot="1" x14ac:dyDescent="0.3">
      <c r="A171" s="114" t="s">
        <v>582</v>
      </c>
      <c r="B171" s="115" t="s">
        <v>404</v>
      </c>
    </row>
    <row r="172" spans="1:2" ht="15.75" thickBot="1" x14ac:dyDescent="0.3">
      <c r="A172" s="114" t="s">
        <v>583</v>
      </c>
      <c r="B172" s="115" t="s">
        <v>404</v>
      </c>
    </row>
    <row r="173" spans="1:2" ht="15.75" thickBot="1" x14ac:dyDescent="0.3">
      <c r="A173" s="114" t="s">
        <v>584</v>
      </c>
      <c r="B173" s="115" t="s">
        <v>404</v>
      </c>
    </row>
    <row r="174" spans="1:2" ht="15.75" thickBot="1" x14ac:dyDescent="0.3">
      <c r="A174" s="114" t="s">
        <v>585</v>
      </c>
      <c r="B174" s="115" t="s">
        <v>404</v>
      </c>
    </row>
    <row r="175" spans="1:2" ht="15.75" thickBot="1" x14ac:dyDescent="0.3">
      <c r="A175" s="114" t="s">
        <v>586</v>
      </c>
      <c r="B175" s="115" t="s">
        <v>404</v>
      </c>
    </row>
    <row r="176" spans="1:2" ht="15.75" thickBot="1" x14ac:dyDescent="0.3">
      <c r="A176" s="114" t="s">
        <v>587</v>
      </c>
      <c r="B176" s="115" t="s">
        <v>404</v>
      </c>
    </row>
    <row r="177" spans="1:2" ht="15.75" thickBot="1" x14ac:dyDescent="0.3">
      <c r="A177" s="114" t="s">
        <v>588</v>
      </c>
      <c r="B177" s="115" t="s">
        <v>420</v>
      </c>
    </row>
    <row r="178" spans="1:2" ht="15.75" thickBot="1" x14ac:dyDescent="0.3">
      <c r="A178" s="114" t="s">
        <v>589</v>
      </c>
      <c r="B178" s="115" t="s">
        <v>443</v>
      </c>
    </row>
    <row r="179" spans="1:2" ht="15.75" thickBot="1" x14ac:dyDescent="0.3">
      <c r="A179" s="114" t="s">
        <v>590</v>
      </c>
      <c r="B179" s="115" t="s">
        <v>420</v>
      </c>
    </row>
    <row r="180" spans="1:2" ht="15.75" thickBot="1" x14ac:dyDescent="0.3">
      <c r="A180" s="114" t="s">
        <v>591</v>
      </c>
      <c r="B180" s="115" t="s">
        <v>408</v>
      </c>
    </row>
    <row r="181" spans="1:2" ht="15.75" thickBot="1" x14ac:dyDescent="0.3">
      <c r="A181" s="114" t="s">
        <v>592</v>
      </c>
      <c r="B181" s="115" t="s">
        <v>404</v>
      </c>
    </row>
    <row r="182" spans="1:2" ht="15.75" thickBot="1" x14ac:dyDescent="0.3">
      <c r="A182" s="114" t="s">
        <v>593</v>
      </c>
      <c r="B182" s="115" t="s">
        <v>404</v>
      </c>
    </row>
    <row r="183" spans="1:2" ht="15.75" thickBot="1" x14ac:dyDescent="0.3">
      <c r="A183" s="114" t="s">
        <v>594</v>
      </c>
      <c r="B183" s="115" t="s">
        <v>404</v>
      </c>
    </row>
    <row r="184" spans="1:2" ht="15.75" thickBot="1" x14ac:dyDescent="0.3">
      <c r="A184" s="114" t="s">
        <v>595</v>
      </c>
      <c r="B184" s="115" t="s">
        <v>404</v>
      </c>
    </row>
    <row r="185" spans="1:2" ht="15.75" thickBot="1" x14ac:dyDescent="0.3">
      <c r="A185" s="114" t="s">
        <v>596</v>
      </c>
      <c r="B185" s="115" t="s">
        <v>523</v>
      </c>
    </row>
    <row r="186" spans="1:2" ht="15.75" thickBot="1" x14ac:dyDescent="0.3">
      <c r="A186" s="114" t="s">
        <v>597</v>
      </c>
      <c r="B186" s="115" t="s">
        <v>523</v>
      </c>
    </row>
    <row r="187" spans="1:2" ht="15.75" thickBot="1" x14ac:dyDescent="0.3">
      <c r="A187" s="114" t="s">
        <v>598</v>
      </c>
      <c r="B187" s="115" t="s">
        <v>443</v>
      </c>
    </row>
    <row r="188" spans="1:2" ht="15.75" thickBot="1" x14ac:dyDescent="0.3">
      <c r="A188" s="114" t="s">
        <v>599</v>
      </c>
      <c r="B188" s="115" t="s">
        <v>408</v>
      </c>
    </row>
    <row r="189" spans="1:2" ht="15.75" thickBot="1" x14ac:dyDescent="0.3">
      <c r="A189" s="114" t="s">
        <v>600</v>
      </c>
      <c r="B189" s="115" t="s">
        <v>408</v>
      </c>
    </row>
    <row r="190" spans="1:2" ht="15.75" thickBot="1" x14ac:dyDescent="0.3">
      <c r="A190" s="114" t="s">
        <v>601</v>
      </c>
      <c r="B190" s="115" t="s">
        <v>404</v>
      </c>
    </row>
    <row r="191" spans="1:2" ht="15.75" thickBot="1" x14ac:dyDescent="0.3">
      <c r="A191" s="114" t="s">
        <v>602</v>
      </c>
      <c r="B191" s="115" t="s">
        <v>404</v>
      </c>
    </row>
    <row r="192" spans="1:2" ht="15.75" thickBot="1" x14ac:dyDescent="0.3">
      <c r="A192" s="114" t="s">
        <v>603</v>
      </c>
      <c r="B192" s="115" t="s">
        <v>404</v>
      </c>
    </row>
    <row r="193" spans="1:2" ht="15.75" thickBot="1" x14ac:dyDescent="0.3">
      <c r="A193" s="114" t="s">
        <v>604</v>
      </c>
      <c r="B193" s="115" t="s">
        <v>404</v>
      </c>
    </row>
    <row r="194" spans="1:2" ht="15.75" thickBot="1" x14ac:dyDescent="0.3">
      <c r="A194" s="114" t="s">
        <v>605</v>
      </c>
      <c r="B194" s="115" t="s">
        <v>443</v>
      </c>
    </row>
    <row r="195" spans="1:2" ht="15.75" thickBot="1" x14ac:dyDescent="0.3">
      <c r="A195" s="114" t="s">
        <v>606</v>
      </c>
      <c r="B195" s="115" t="s">
        <v>415</v>
      </c>
    </row>
    <row r="196" spans="1:2" ht="15.75" thickBot="1" x14ac:dyDescent="0.3">
      <c r="A196" s="114" t="s">
        <v>607</v>
      </c>
      <c r="B196" s="115" t="s">
        <v>443</v>
      </c>
    </row>
    <row r="197" spans="1:2" ht="15.75" thickBot="1" x14ac:dyDescent="0.3">
      <c r="A197" s="114" t="s">
        <v>608</v>
      </c>
      <c r="B197" s="115" t="s">
        <v>523</v>
      </c>
    </row>
    <row r="198" spans="1:2" ht="15.75" thickBot="1" x14ac:dyDescent="0.3">
      <c r="A198" s="114" t="s">
        <v>609</v>
      </c>
      <c r="B198" s="115" t="s">
        <v>523</v>
      </c>
    </row>
    <row r="199" spans="1:2" ht="15.75" thickBot="1" x14ac:dyDescent="0.3">
      <c r="A199" s="114" t="s">
        <v>610</v>
      </c>
      <c r="B199" s="115" t="s">
        <v>408</v>
      </c>
    </row>
    <row r="200" spans="1:2" ht="15.75" thickBot="1" x14ac:dyDescent="0.3">
      <c r="A200" s="114" t="s">
        <v>611</v>
      </c>
      <c r="B200" s="115" t="s">
        <v>408</v>
      </c>
    </row>
    <row r="201" spans="1:2" ht="15.75" thickBot="1" x14ac:dyDescent="0.3">
      <c r="A201" s="114" t="s">
        <v>612</v>
      </c>
      <c r="B201" s="115" t="s">
        <v>420</v>
      </c>
    </row>
    <row r="202" spans="1:2" ht="15.75" thickBot="1" x14ac:dyDescent="0.3">
      <c r="A202" s="114" t="s">
        <v>613</v>
      </c>
      <c r="B202" s="115" t="s">
        <v>408</v>
      </c>
    </row>
    <row r="203" spans="1:2" ht="15.75" thickBot="1" x14ac:dyDescent="0.3">
      <c r="A203" s="114" t="s">
        <v>1399</v>
      </c>
      <c r="B203" s="115" t="s">
        <v>1400</v>
      </c>
    </row>
    <row r="204" spans="1:2" ht="15.75" thickBot="1" x14ac:dyDescent="0.3">
      <c r="A204" s="114" t="s">
        <v>614</v>
      </c>
      <c r="B204" s="115" t="s">
        <v>420</v>
      </c>
    </row>
    <row r="205" spans="1:2" ht="15.75" thickBot="1" x14ac:dyDescent="0.3">
      <c r="A205" s="114" t="s">
        <v>615</v>
      </c>
      <c r="B205" s="115" t="s">
        <v>420</v>
      </c>
    </row>
    <row r="206" spans="1:2" ht="15.75" thickBot="1" x14ac:dyDescent="0.3">
      <c r="A206" s="114" t="s">
        <v>616</v>
      </c>
      <c r="B206" s="115" t="s">
        <v>420</v>
      </c>
    </row>
    <row r="207" spans="1:2" ht="15.75" thickBot="1" x14ac:dyDescent="0.3">
      <c r="A207" s="114" t="s">
        <v>617</v>
      </c>
      <c r="B207" s="115" t="s">
        <v>415</v>
      </c>
    </row>
    <row r="208" spans="1:2" ht="15.75" thickBot="1" x14ac:dyDescent="0.3">
      <c r="A208" s="114" t="s">
        <v>618</v>
      </c>
      <c r="B208" s="115" t="s">
        <v>420</v>
      </c>
    </row>
    <row r="209" spans="1:2" ht="15.75" thickBot="1" x14ac:dyDescent="0.3">
      <c r="A209" s="114" t="s">
        <v>619</v>
      </c>
      <c r="B209" s="115" t="s">
        <v>420</v>
      </c>
    </row>
    <row r="210" spans="1:2" ht="15.75" thickBot="1" x14ac:dyDescent="0.3">
      <c r="A210" s="114" t="s">
        <v>620</v>
      </c>
      <c r="B210" s="115" t="s">
        <v>420</v>
      </c>
    </row>
    <row r="211" spans="1:2" ht="15.75" thickBot="1" x14ac:dyDescent="0.3">
      <c r="A211" s="114" t="s">
        <v>621</v>
      </c>
      <c r="B211" s="115" t="s">
        <v>404</v>
      </c>
    </row>
    <row r="212" spans="1:2" ht="15.75" thickBot="1" x14ac:dyDescent="0.3">
      <c r="A212" s="114" t="s">
        <v>622</v>
      </c>
      <c r="B212" s="115" t="s">
        <v>420</v>
      </c>
    </row>
    <row r="213" spans="1:2" ht="15.75" thickBot="1" x14ac:dyDescent="0.3">
      <c r="A213" s="114" t="s">
        <v>623</v>
      </c>
      <c r="B213" s="115" t="s">
        <v>420</v>
      </c>
    </row>
    <row r="214" spans="1:2" ht="15.75" thickBot="1" x14ac:dyDescent="0.3">
      <c r="A214" s="114" t="s">
        <v>624</v>
      </c>
      <c r="B214" s="115" t="s">
        <v>420</v>
      </c>
    </row>
    <row r="215" spans="1:2" ht="15.75" thickBot="1" x14ac:dyDescent="0.3">
      <c r="A215" s="114" t="s">
        <v>625</v>
      </c>
      <c r="B215" s="115" t="s">
        <v>420</v>
      </c>
    </row>
    <row r="216" spans="1:2" ht="15.75" thickBot="1" x14ac:dyDescent="0.3">
      <c r="A216" s="114" t="s">
        <v>626</v>
      </c>
      <c r="B216" s="115" t="s">
        <v>430</v>
      </c>
    </row>
    <row r="217" spans="1:2" ht="15.75" thickBot="1" x14ac:dyDescent="0.3">
      <c r="A217" s="114" t="s">
        <v>627</v>
      </c>
      <c r="B217" s="115" t="s">
        <v>415</v>
      </c>
    </row>
    <row r="218" spans="1:2" ht="15.75" thickBot="1" x14ac:dyDescent="0.3">
      <c r="A218" s="114" t="s">
        <v>628</v>
      </c>
      <c r="B218" s="115" t="s">
        <v>408</v>
      </c>
    </row>
    <row r="219" spans="1:2" ht="15.75" thickBot="1" x14ac:dyDescent="0.3">
      <c r="A219" s="114" t="s">
        <v>629</v>
      </c>
      <c r="B219" s="115" t="s">
        <v>408</v>
      </c>
    </row>
    <row r="220" spans="1:2" ht="15.75" thickBot="1" x14ac:dyDescent="0.3">
      <c r="A220" s="114" t="s">
        <v>630</v>
      </c>
      <c r="B220" s="115" t="s">
        <v>443</v>
      </c>
    </row>
    <row r="221" spans="1:2" ht="15.75" thickBot="1" x14ac:dyDescent="0.3">
      <c r="A221" s="114" t="s">
        <v>631</v>
      </c>
      <c r="B221" s="115" t="s">
        <v>415</v>
      </c>
    </row>
    <row r="222" spans="1:2" ht="15.75" thickBot="1" x14ac:dyDescent="0.3">
      <c r="A222" s="114" t="s">
        <v>632</v>
      </c>
      <c r="B222" s="115" t="s">
        <v>415</v>
      </c>
    </row>
    <row r="223" spans="1:2" ht="15.75" thickBot="1" x14ac:dyDescent="0.3">
      <c r="A223" s="114" t="s">
        <v>633</v>
      </c>
      <c r="B223" s="115" t="s">
        <v>404</v>
      </c>
    </row>
    <row r="224" spans="1:2" ht="15.75" thickBot="1" x14ac:dyDescent="0.3">
      <c r="A224" s="114" t="s">
        <v>634</v>
      </c>
      <c r="B224" s="115" t="s">
        <v>408</v>
      </c>
    </row>
    <row r="225" spans="1:2" ht="15.75" thickBot="1" x14ac:dyDescent="0.3">
      <c r="A225" s="114" t="s">
        <v>635</v>
      </c>
      <c r="B225" s="115" t="s">
        <v>408</v>
      </c>
    </row>
    <row r="226" spans="1:2" ht="15.75" thickBot="1" x14ac:dyDescent="0.3">
      <c r="A226" s="114" t="s">
        <v>636</v>
      </c>
      <c r="B226" s="115" t="s">
        <v>404</v>
      </c>
    </row>
    <row r="227" spans="1:2" ht="15.75" thickBot="1" x14ac:dyDescent="0.3">
      <c r="A227" s="114" t="s">
        <v>637</v>
      </c>
      <c r="B227" s="115" t="s">
        <v>420</v>
      </c>
    </row>
    <row r="228" spans="1:2" ht="15.75" thickBot="1" x14ac:dyDescent="0.3">
      <c r="A228" s="114" t="s">
        <v>638</v>
      </c>
      <c r="B228" s="115" t="s">
        <v>420</v>
      </c>
    </row>
    <row r="229" spans="1:2" ht="15.75" thickBot="1" x14ac:dyDescent="0.3">
      <c r="A229" s="114" t="s">
        <v>639</v>
      </c>
      <c r="B229" s="115" t="s">
        <v>420</v>
      </c>
    </row>
    <row r="230" spans="1:2" ht="15.75" thickBot="1" x14ac:dyDescent="0.3">
      <c r="A230" s="114" t="s">
        <v>640</v>
      </c>
      <c r="B230" s="115" t="s">
        <v>420</v>
      </c>
    </row>
    <row r="231" spans="1:2" ht="15.75" thickBot="1" x14ac:dyDescent="0.3">
      <c r="A231" s="114" t="s">
        <v>641</v>
      </c>
      <c r="B231" s="115" t="s">
        <v>420</v>
      </c>
    </row>
    <row r="232" spans="1:2" ht="15.75" thickBot="1" x14ac:dyDescent="0.3">
      <c r="A232" s="114" t="s">
        <v>642</v>
      </c>
      <c r="B232" s="115" t="s">
        <v>420</v>
      </c>
    </row>
    <row r="233" spans="1:2" ht="15.75" thickBot="1" x14ac:dyDescent="0.3">
      <c r="A233" s="114" t="s">
        <v>643</v>
      </c>
      <c r="B233" s="115" t="s">
        <v>420</v>
      </c>
    </row>
    <row r="234" spans="1:2" ht="15.75" thickBot="1" x14ac:dyDescent="0.3">
      <c r="A234" s="114" t="s">
        <v>644</v>
      </c>
      <c r="B234" s="115" t="s">
        <v>420</v>
      </c>
    </row>
    <row r="235" spans="1:2" ht="15.75" thickBot="1" x14ac:dyDescent="0.3">
      <c r="A235" s="114" t="s">
        <v>645</v>
      </c>
      <c r="B235" s="115" t="s">
        <v>404</v>
      </c>
    </row>
    <row r="236" spans="1:2" ht="15.75" thickBot="1" x14ac:dyDescent="0.3">
      <c r="A236" s="114" t="s">
        <v>646</v>
      </c>
      <c r="B236" s="115" t="s">
        <v>404</v>
      </c>
    </row>
    <row r="237" spans="1:2" ht="15.75" thickBot="1" x14ac:dyDescent="0.3">
      <c r="A237" s="114" t="s">
        <v>647</v>
      </c>
      <c r="B237" s="115" t="s">
        <v>420</v>
      </c>
    </row>
    <row r="238" spans="1:2" ht="15.75" thickBot="1" x14ac:dyDescent="0.3">
      <c r="A238" s="114" t="s">
        <v>648</v>
      </c>
      <c r="B238" s="115" t="s">
        <v>420</v>
      </c>
    </row>
    <row r="239" spans="1:2" ht="15.75" thickBot="1" x14ac:dyDescent="0.3">
      <c r="A239" s="114" t="s">
        <v>649</v>
      </c>
      <c r="B239" s="115" t="s">
        <v>420</v>
      </c>
    </row>
    <row r="240" spans="1:2" ht="15.75" thickBot="1" x14ac:dyDescent="0.3">
      <c r="A240" s="114" t="s">
        <v>650</v>
      </c>
      <c r="B240" s="115" t="s">
        <v>415</v>
      </c>
    </row>
    <row r="241" spans="1:2" ht="15.75" thickBot="1" x14ac:dyDescent="0.3">
      <c r="A241" s="114" t="s">
        <v>651</v>
      </c>
      <c r="B241" s="115" t="s">
        <v>420</v>
      </c>
    </row>
    <row r="242" spans="1:2" ht="15.75" thickBot="1" x14ac:dyDescent="0.3">
      <c r="A242" s="114" t="s">
        <v>652</v>
      </c>
      <c r="B242" s="115" t="s">
        <v>443</v>
      </c>
    </row>
    <row r="243" spans="1:2" ht="15.75" thickBot="1" x14ac:dyDescent="0.3">
      <c r="A243" s="114" t="s">
        <v>653</v>
      </c>
      <c r="B243" s="115" t="s">
        <v>443</v>
      </c>
    </row>
    <row r="244" spans="1:2" ht="15.75" thickBot="1" x14ac:dyDescent="0.3">
      <c r="A244" s="114" t="s">
        <v>654</v>
      </c>
      <c r="B244" s="115" t="s">
        <v>420</v>
      </c>
    </row>
    <row r="245" spans="1:2" ht="15.75" thickBot="1" x14ac:dyDescent="0.3">
      <c r="A245" s="114" t="s">
        <v>655</v>
      </c>
      <c r="B245" s="115" t="s">
        <v>404</v>
      </c>
    </row>
    <row r="246" spans="1:2" ht="15.75" thickBot="1" x14ac:dyDescent="0.3">
      <c r="A246" s="114" t="s">
        <v>656</v>
      </c>
      <c r="B246" s="115" t="s">
        <v>443</v>
      </c>
    </row>
    <row r="247" spans="1:2" ht="15.75" thickBot="1" x14ac:dyDescent="0.3">
      <c r="A247" s="114" t="s">
        <v>657</v>
      </c>
      <c r="B247" s="115" t="s">
        <v>523</v>
      </c>
    </row>
    <row r="248" spans="1:2" ht="15.75" thickBot="1" x14ac:dyDescent="0.3">
      <c r="A248" s="114" t="s">
        <v>658</v>
      </c>
      <c r="B248" s="115" t="s">
        <v>408</v>
      </c>
    </row>
    <row r="249" spans="1:2" ht="15.75" thickBot="1" x14ac:dyDescent="0.3">
      <c r="A249" s="114" t="s">
        <v>659</v>
      </c>
      <c r="B249" s="115" t="s">
        <v>404</v>
      </c>
    </row>
    <row r="250" spans="1:2" ht="15.75" thickBot="1" x14ac:dyDescent="0.3">
      <c r="A250" s="114" t="s">
        <v>660</v>
      </c>
      <c r="B250" s="115" t="s">
        <v>415</v>
      </c>
    </row>
    <row r="251" spans="1:2" ht="15.75" thickBot="1" x14ac:dyDescent="0.3">
      <c r="A251" s="114" t="s">
        <v>661</v>
      </c>
      <c r="B251" s="115" t="s">
        <v>404</v>
      </c>
    </row>
    <row r="252" spans="1:2" ht="15.75" thickBot="1" x14ac:dyDescent="0.3">
      <c r="A252" s="114" t="s">
        <v>662</v>
      </c>
      <c r="B252" s="115" t="s">
        <v>404</v>
      </c>
    </row>
    <row r="253" spans="1:2" ht="15.75" thickBot="1" x14ac:dyDescent="0.3">
      <c r="A253" s="114" t="s">
        <v>663</v>
      </c>
      <c r="B253" s="115" t="s">
        <v>420</v>
      </c>
    </row>
    <row r="254" spans="1:2" ht="15.75" thickBot="1" x14ac:dyDescent="0.3">
      <c r="A254" s="114" t="s">
        <v>664</v>
      </c>
      <c r="B254" s="115" t="s">
        <v>415</v>
      </c>
    </row>
    <row r="255" spans="1:2" ht="15.75" thickBot="1" x14ac:dyDescent="0.3">
      <c r="A255" s="114" t="s">
        <v>665</v>
      </c>
      <c r="B255" s="115" t="s">
        <v>415</v>
      </c>
    </row>
    <row r="256" spans="1:2" ht="15.75" thickBot="1" x14ac:dyDescent="0.3">
      <c r="A256" s="114" t="s">
        <v>666</v>
      </c>
      <c r="B256" s="115" t="s">
        <v>443</v>
      </c>
    </row>
    <row r="257" spans="1:2" ht="15.75" thickBot="1" x14ac:dyDescent="0.3">
      <c r="A257" s="114" t="s">
        <v>667</v>
      </c>
      <c r="B257" s="115" t="s">
        <v>420</v>
      </c>
    </row>
    <row r="258" spans="1:2" ht="15.75" thickBot="1" x14ac:dyDescent="0.3">
      <c r="A258" s="114" t="s">
        <v>668</v>
      </c>
      <c r="B258" s="115" t="s">
        <v>420</v>
      </c>
    </row>
    <row r="259" spans="1:2" ht="15.75" thickBot="1" x14ac:dyDescent="0.3">
      <c r="A259" s="114" t="s">
        <v>669</v>
      </c>
      <c r="B259" s="115" t="s">
        <v>420</v>
      </c>
    </row>
    <row r="260" spans="1:2" ht="15.75" thickBot="1" x14ac:dyDescent="0.3">
      <c r="A260" s="114" t="s">
        <v>670</v>
      </c>
      <c r="B260" s="115" t="s">
        <v>430</v>
      </c>
    </row>
    <row r="261" spans="1:2" ht="15.75" thickBot="1" x14ac:dyDescent="0.3">
      <c r="A261" s="114" t="s">
        <v>671</v>
      </c>
      <c r="B261" s="115" t="s">
        <v>443</v>
      </c>
    </row>
    <row r="262" spans="1:2" ht="15.75" thickBot="1" x14ac:dyDescent="0.3">
      <c r="A262" s="114" t="s">
        <v>672</v>
      </c>
      <c r="B262" s="115" t="s">
        <v>404</v>
      </c>
    </row>
    <row r="263" spans="1:2" ht="15.75" thickBot="1" x14ac:dyDescent="0.3">
      <c r="A263" s="114" t="s">
        <v>673</v>
      </c>
      <c r="B263" s="115" t="s">
        <v>443</v>
      </c>
    </row>
    <row r="264" spans="1:2" ht="15.75" thickBot="1" x14ac:dyDescent="0.3">
      <c r="A264" s="114" t="s">
        <v>674</v>
      </c>
      <c r="B264" s="115" t="s">
        <v>415</v>
      </c>
    </row>
    <row r="265" spans="1:2" ht="15.75" thickBot="1" x14ac:dyDescent="0.3">
      <c r="A265" s="114" t="s">
        <v>675</v>
      </c>
      <c r="B265" s="115" t="s">
        <v>408</v>
      </c>
    </row>
    <row r="266" spans="1:2" ht="15.75" thickBot="1" x14ac:dyDescent="0.3">
      <c r="A266" s="114" t="s">
        <v>676</v>
      </c>
      <c r="B266" s="115" t="s">
        <v>415</v>
      </c>
    </row>
    <row r="267" spans="1:2" ht="15.75" thickBot="1" x14ac:dyDescent="0.3">
      <c r="A267" s="114" t="s">
        <v>677</v>
      </c>
      <c r="B267" s="115" t="s">
        <v>443</v>
      </c>
    </row>
    <row r="268" spans="1:2" ht="15.75" thickBot="1" x14ac:dyDescent="0.3">
      <c r="A268" s="114" t="s">
        <v>678</v>
      </c>
      <c r="B268" s="115" t="s">
        <v>443</v>
      </c>
    </row>
    <row r="269" spans="1:2" ht="15.75" thickBot="1" x14ac:dyDescent="0.3">
      <c r="A269" s="114" t="s">
        <v>679</v>
      </c>
      <c r="B269" s="115" t="s">
        <v>443</v>
      </c>
    </row>
    <row r="270" spans="1:2" ht="15.75" thickBot="1" x14ac:dyDescent="0.3">
      <c r="A270" s="114" t="s">
        <v>680</v>
      </c>
      <c r="B270" s="115" t="s">
        <v>404</v>
      </c>
    </row>
    <row r="271" spans="1:2" ht="15.75" thickBot="1" x14ac:dyDescent="0.3">
      <c r="A271" s="114" t="s">
        <v>681</v>
      </c>
      <c r="B271" s="115" t="s">
        <v>430</v>
      </c>
    </row>
    <row r="272" spans="1:2" ht="15.75" thickBot="1" x14ac:dyDescent="0.3">
      <c r="A272" s="114" t="s">
        <v>682</v>
      </c>
      <c r="B272" s="115" t="s">
        <v>443</v>
      </c>
    </row>
    <row r="273" spans="1:2" ht="15.75" thickBot="1" x14ac:dyDescent="0.3">
      <c r="A273" s="114" t="s">
        <v>683</v>
      </c>
      <c r="B273" s="115" t="s">
        <v>443</v>
      </c>
    </row>
    <row r="274" spans="1:2" ht="15.75" thickBot="1" x14ac:dyDescent="0.3">
      <c r="A274" s="114" t="s">
        <v>684</v>
      </c>
      <c r="B274" s="115" t="s">
        <v>420</v>
      </c>
    </row>
    <row r="275" spans="1:2" ht="15.75" thickBot="1" x14ac:dyDescent="0.3">
      <c r="A275" s="114" t="s">
        <v>685</v>
      </c>
      <c r="B275" s="115" t="s">
        <v>408</v>
      </c>
    </row>
    <row r="276" spans="1:2" ht="15.75" thickBot="1" x14ac:dyDescent="0.3">
      <c r="A276" s="114" t="s">
        <v>686</v>
      </c>
      <c r="B276" s="115" t="s">
        <v>404</v>
      </c>
    </row>
    <row r="277" spans="1:2" ht="15.75" thickBot="1" x14ac:dyDescent="0.3">
      <c r="A277" s="114" t="s">
        <v>687</v>
      </c>
      <c r="B277" s="115" t="s">
        <v>443</v>
      </c>
    </row>
    <row r="278" spans="1:2" ht="15.75" thickBot="1" x14ac:dyDescent="0.3">
      <c r="A278" s="114" t="s">
        <v>688</v>
      </c>
      <c r="B278" s="115" t="s">
        <v>443</v>
      </c>
    </row>
    <row r="279" spans="1:2" ht="15.75" thickBot="1" x14ac:dyDescent="0.3">
      <c r="A279" s="114" t="s">
        <v>689</v>
      </c>
      <c r="B279" s="115" t="s">
        <v>408</v>
      </c>
    </row>
    <row r="280" spans="1:2" ht="15.75" thickBot="1" x14ac:dyDescent="0.3">
      <c r="A280" s="114" t="s">
        <v>690</v>
      </c>
      <c r="B280" s="115" t="s">
        <v>415</v>
      </c>
    </row>
    <row r="281" spans="1:2" ht="15.75" thickBot="1" x14ac:dyDescent="0.3">
      <c r="A281" s="114" t="s">
        <v>691</v>
      </c>
      <c r="B281" s="115" t="s">
        <v>415</v>
      </c>
    </row>
    <row r="282" spans="1:2" ht="15.75" thickBot="1" x14ac:dyDescent="0.3">
      <c r="A282" s="114" t="s">
        <v>692</v>
      </c>
      <c r="B282" s="115" t="s">
        <v>523</v>
      </c>
    </row>
    <row r="283" spans="1:2" ht="15.75" thickBot="1" x14ac:dyDescent="0.3">
      <c r="A283" s="114" t="s">
        <v>693</v>
      </c>
      <c r="B283" s="115" t="s">
        <v>408</v>
      </c>
    </row>
    <row r="284" spans="1:2" ht="15.75" thickBot="1" x14ac:dyDescent="0.3">
      <c r="A284" s="114" t="s">
        <v>694</v>
      </c>
      <c r="B284" s="115" t="s">
        <v>404</v>
      </c>
    </row>
    <row r="285" spans="1:2" ht="15.75" thickBot="1" x14ac:dyDescent="0.3">
      <c r="A285" s="114" t="s">
        <v>695</v>
      </c>
      <c r="B285" s="115" t="s">
        <v>404</v>
      </c>
    </row>
    <row r="286" spans="1:2" ht="15.75" thickBot="1" x14ac:dyDescent="0.3">
      <c r="A286" s="114" t="s">
        <v>696</v>
      </c>
      <c r="B286" s="115" t="s">
        <v>430</v>
      </c>
    </row>
    <row r="287" spans="1:2" ht="15.75" thickBot="1" x14ac:dyDescent="0.3">
      <c r="A287" s="114" t="s">
        <v>697</v>
      </c>
      <c r="B287" s="115" t="s">
        <v>404</v>
      </c>
    </row>
    <row r="288" spans="1:2" ht="15.75" thickBot="1" x14ac:dyDescent="0.3">
      <c r="A288" s="114" t="s">
        <v>698</v>
      </c>
      <c r="B288" s="115" t="s">
        <v>443</v>
      </c>
    </row>
    <row r="289" spans="1:2" ht="15.75" thickBot="1" x14ac:dyDescent="0.3">
      <c r="A289" s="114" t="s">
        <v>699</v>
      </c>
      <c r="B289" s="115" t="s">
        <v>404</v>
      </c>
    </row>
    <row r="290" spans="1:2" ht="15.75" thickBot="1" x14ac:dyDescent="0.3">
      <c r="A290" s="114" t="s">
        <v>700</v>
      </c>
      <c r="B290" s="115" t="s">
        <v>404</v>
      </c>
    </row>
    <row r="291" spans="1:2" ht="15.75" thickBot="1" x14ac:dyDescent="0.3">
      <c r="A291" s="114" t="s">
        <v>701</v>
      </c>
      <c r="B291" s="115" t="s">
        <v>404</v>
      </c>
    </row>
    <row r="292" spans="1:2" ht="15.75" thickBot="1" x14ac:dyDescent="0.3">
      <c r="A292" s="114" t="s">
        <v>702</v>
      </c>
      <c r="B292" s="115" t="s">
        <v>420</v>
      </c>
    </row>
    <row r="293" spans="1:2" ht="15.75" thickBot="1" x14ac:dyDescent="0.3">
      <c r="A293" s="114" t="s">
        <v>703</v>
      </c>
      <c r="B293" s="115" t="s">
        <v>420</v>
      </c>
    </row>
    <row r="294" spans="1:2" ht="15.75" thickBot="1" x14ac:dyDescent="0.3">
      <c r="A294" s="114" t="s">
        <v>704</v>
      </c>
      <c r="B294" s="115" t="s">
        <v>420</v>
      </c>
    </row>
    <row r="295" spans="1:2" ht="15.75" thickBot="1" x14ac:dyDescent="0.3">
      <c r="A295" s="114" t="s">
        <v>705</v>
      </c>
      <c r="B295" s="115" t="s">
        <v>430</v>
      </c>
    </row>
    <row r="296" spans="1:2" ht="15.75" thickBot="1" x14ac:dyDescent="0.3">
      <c r="A296" s="114" t="s">
        <v>706</v>
      </c>
      <c r="B296" s="115" t="s">
        <v>404</v>
      </c>
    </row>
    <row r="297" spans="1:2" ht="15.75" thickBot="1" x14ac:dyDescent="0.3">
      <c r="A297" s="114" t="s">
        <v>707</v>
      </c>
      <c r="B297" s="115" t="s">
        <v>404</v>
      </c>
    </row>
    <row r="298" spans="1:2" ht="15.75" thickBot="1" x14ac:dyDescent="0.3">
      <c r="A298" s="114" t="s">
        <v>708</v>
      </c>
      <c r="B298" s="115" t="s">
        <v>404</v>
      </c>
    </row>
    <row r="299" spans="1:2" ht="15.75" thickBot="1" x14ac:dyDescent="0.3">
      <c r="A299" s="114" t="s">
        <v>709</v>
      </c>
      <c r="B299" s="115" t="s">
        <v>415</v>
      </c>
    </row>
    <row r="300" spans="1:2" ht="15.75" thickBot="1" x14ac:dyDescent="0.3">
      <c r="A300" s="114" t="s">
        <v>710</v>
      </c>
      <c r="B300" s="115" t="s">
        <v>443</v>
      </c>
    </row>
    <row r="301" spans="1:2" ht="15.75" thickBot="1" x14ac:dyDescent="0.3">
      <c r="A301" s="114" t="s">
        <v>711</v>
      </c>
      <c r="B301" s="115" t="s">
        <v>420</v>
      </c>
    </row>
    <row r="302" spans="1:2" ht="15.75" thickBot="1" x14ac:dyDescent="0.3">
      <c r="A302" s="114" t="s">
        <v>712</v>
      </c>
      <c r="B302" s="115" t="s">
        <v>443</v>
      </c>
    </row>
    <row r="303" spans="1:2" ht="15.75" thickBot="1" x14ac:dyDescent="0.3">
      <c r="A303" s="114" t="s">
        <v>713</v>
      </c>
      <c r="B303" s="115" t="s">
        <v>404</v>
      </c>
    </row>
    <row r="304" spans="1:2" ht="15.75" thickBot="1" x14ac:dyDescent="0.3">
      <c r="A304" s="114" t="s">
        <v>714</v>
      </c>
      <c r="B304" s="115" t="s">
        <v>404</v>
      </c>
    </row>
    <row r="305" spans="1:2" ht="15.75" thickBot="1" x14ac:dyDescent="0.3">
      <c r="A305" s="114" t="s">
        <v>715</v>
      </c>
      <c r="B305" s="115" t="s">
        <v>443</v>
      </c>
    </row>
    <row r="306" spans="1:2" ht="15.75" thickBot="1" x14ac:dyDescent="0.3">
      <c r="A306" s="114" t="s">
        <v>716</v>
      </c>
      <c r="B306" s="115" t="s">
        <v>443</v>
      </c>
    </row>
    <row r="307" spans="1:2" ht="15.75" thickBot="1" x14ac:dyDescent="0.3">
      <c r="A307" s="114" t="s">
        <v>717</v>
      </c>
      <c r="B307" s="115" t="s">
        <v>443</v>
      </c>
    </row>
    <row r="308" spans="1:2" ht="15.75" thickBot="1" x14ac:dyDescent="0.3">
      <c r="A308" s="114" t="s">
        <v>718</v>
      </c>
      <c r="B308" s="115" t="s">
        <v>404</v>
      </c>
    </row>
    <row r="309" spans="1:2" ht="15.75" thickBot="1" x14ac:dyDescent="0.3">
      <c r="A309" s="114" t="s">
        <v>719</v>
      </c>
      <c r="B309" s="115" t="s">
        <v>404</v>
      </c>
    </row>
    <row r="310" spans="1:2" ht="15.75" thickBot="1" x14ac:dyDescent="0.3">
      <c r="A310" s="114" t="s">
        <v>720</v>
      </c>
      <c r="B310" s="115" t="s">
        <v>408</v>
      </c>
    </row>
    <row r="311" spans="1:2" ht="15.75" thickBot="1" x14ac:dyDescent="0.3">
      <c r="A311" s="114" t="s">
        <v>721</v>
      </c>
      <c r="B311" s="115" t="s">
        <v>408</v>
      </c>
    </row>
    <row r="312" spans="1:2" ht="15.75" thickBot="1" x14ac:dyDescent="0.3">
      <c r="A312" s="114" t="s">
        <v>722</v>
      </c>
      <c r="B312" s="115" t="s">
        <v>408</v>
      </c>
    </row>
    <row r="313" spans="1:2" ht="15.75" thickBot="1" x14ac:dyDescent="0.3">
      <c r="A313" s="114" t="s">
        <v>723</v>
      </c>
      <c r="B313" s="115" t="s">
        <v>420</v>
      </c>
    </row>
    <row r="314" spans="1:2" ht="15.75" thickBot="1" x14ac:dyDescent="0.3">
      <c r="A314" s="114" t="s">
        <v>724</v>
      </c>
      <c r="B314" s="115" t="s">
        <v>408</v>
      </c>
    </row>
    <row r="315" spans="1:2" ht="15.75" thickBot="1" x14ac:dyDescent="0.3">
      <c r="A315" s="114" t="s">
        <v>725</v>
      </c>
      <c r="B315" s="115" t="s">
        <v>404</v>
      </c>
    </row>
    <row r="316" spans="1:2" ht="15.75" thickBot="1" x14ac:dyDescent="0.3">
      <c r="A316" s="114" t="s">
        <v>726</v>
      </c>
      <c r="B316" s="115" t="s">
        <v>404</v>
      </c>
    </row>
    <row r="317" spans="1:2" ht="15.75" thickBot="1" x14ac:dyDescent="0.3">
      <c r="A317" s="114" t="s">
        <v>727</v>
      </c>
      <c r="B317" s="115" t="s">
        <v>523</v>
      </c>
    </row>
    <row r="318" spans="1:2" ht="15.75" thickBot="1" x14ac:dyDescent="0.3">
      <c r="A318" s="114" t="s">
        <v>1304</v>
      </c>
      <c r="B318" s="116"/>
    </row>
    <row r="319" spans="1:2" ht="15.75" thickBot="1" x14ac:dyDescent="0.3">
      <c r="A319" s="114" t="s">
        <v>1401</v>
      </c>
      <c r="B319" s="115" t="s">
        <v>1402</v>
      </c>
    </row>
    <row r="320" spans="1:2" ht="15.75" thickBot="1" x14ac:dyDescent="0.3">
      <c r="A320" s="114" t="s">
        <v>1403</v>
      </c>
      <c r="B320" s="115" t="s">
        <v>1404</v>
      </c>
    </row>
    <row r="321" spans="1:2" ht="15.75" thickBot="1" x14ac:dyDescent="0.3">
      <c r="A321" s="117" t="s">
        <v>1405</v>
      </c>
      <c r="B321" s="118" t="s">
        <v>1406</v>
      </c>
    </row>
    <row r="322" spans="1:2" ht="15.75" thickBot="1" x14ac:dyDescent="0.3">
      <c r="A322" s="114" t="s">
        <v>728</v>
      </c>
      <c r="B322" s="115" t="s">
        <v>404</v>
      </c>
    </row>
    <row r="323" spans="1:2" ht="15.75" thickBot="1" x14ac:dyDescent="0.3">
      <c r="A323" s="114" t="s">
        <v>1407</v>
      </c>
      <c r="B323" s="115" t="s">
        <v>420</v>
      </c>
    </row>
    <row r="324" spans="1:2" ht="15.75" thickBot="1" x14ac:dyDescent="0.3">
      <c r="A324" s="114" t="s">
        <v>729</v>
      </c>
      <c r="B324" s="115" t="s">
        <v>404</v>
      </c>
    </row>
    <row r="325" spans="1:2" ht="15.75" thickBot="1" x14ac:dyDescent="0.3">
      <c r="A325" s="114" t="s">
        <v>730</v>
      </c>
      <c r="B325" s="115" t="s">
        <v>404</v>
      </c>
    </row>
    <row r="326" spans="1:2" ht="15.75" thickBot="1" x14ac:dyDescent="0.3">
      <c r="A326" s="114" t="s">
        <v>731</v>
      </c>
      <c r="B326" s="115" t="s">
        <v>404</v>
      </c>
    </row>
    <row r="327" spans="1:2" ht="15.75" thickBot="1" x14ac:dyDescent="0.3">
      <c r="A327" s="114" t="s">
        <v>732</v>
      </c>
      <c r="B327" s="115" t="s">
        <v>404</v>
      </c>
    </row>
    <row r="328" spans="1:2" ht="15.75" thickBot="1" x14ac:dyDescent="0.3">
      <c r="A328" s="114" t="s">
        <v>733</v>
      </c>
      <c r="B328" s="115" t="s">
        <v>404</v>
      </c>
    </row>
    <row r="329" spans="1:2" ht="15.75" thickBot="1" x14ac:dyDescent="0.3">
      <c r="A329" s="114" t="s">
        <v>734</v>
      </c>
      <c r="B329" s="115" t="s">
        <v>404</v>
      </c>
    </row>
    <row r="330" spans="1:2" ht="15.75" thickBot="1" x14ac:dyDescent="0.3">
      <c r="A330" s="114" t="s">
        <v>735</v>
      </c>
      <c r="B330" s="115" t="s">
        <v>404</v>
      </c>
    </row>
    <row r="331" spans="1:2" ht="15.75" thickBot="1" x14ac:dyDescent="0.3">
      <c r="A331" s="114" t="s">
        <v>736</v>
      </c>
      <c r="B331" s="115" t="s">
        <v>404</v>
      </c>
    </row>
    <row r="332" spans="1:2" ht="15.75" thickBot="1" x14ac:dyDescent="0.3">
      <c r="A332" s="114" t="s">
        <v>737</v>
      </c>
      <c r="B332" s="115" t="s">
        <v>408</v>
      </c>
    </row>
    <row r="333" spans="1:2" ht="15.75" thickBot="1" x14ac:dyDescent="0.3">
      <c r="A333" s="114" t="s">
        <v>738</v>
      </c>
      <c r="B333" s="115" t="s">
        <v>408</v>
      </c>
    </row>
    <row r="334" spans="1:2" ht="15.75" thickBot="1" x14ac:dyDescent="0.3">
      <c r="A334" s="114" t="s">
        <v>739</v>
      </c>
      <c r="B334" s="115" t="s">
        <v>523</v>
      </c>
    </row>
    <row r="335" spans="1:2" ht="15.75" thickBot="1" x14ac:dyDescent="0.3">
      <c r="A335" s="114" t="s">
        <v>740</v>
      </c>
      <c r="B335" s="115" t="s">
        <v>408</v>
      </c>
    </row>
    <row r="336" spans="1:2" ht="15.75" thickBot="1" x14ac:dyDescent="0.3">
      <c r="A336" s="114" t="s">
        <v>741</v>
      </c>
      <c r="B336" s="115" t="s">
        <v>408</v>
      </c>
    </row>
    <row r="337" spans="1:2" ht="15.75" thickBot="1" x14ac:dyDescent="0.3">
      <c r="A337" s="114" t="s">
        <v>742</v>
      </c>
      <c r="B337" s="115" t="s">
        <v>408</v>
      </c>
    </row>
    <row r="338" spans="1:2" ht="15.75" thickBot="1" x14ac:dyDescent="0.3">
      <c r="A338" s="114" t="s">
        <v>743</v>
      </c>
      <c r="B338" s="115" t="s">
        <v>415</v>
      </c>
    </row>
    <row r="339" spans="1:2" ht="15.75" thickBot="1" x14ac:dyDescent="0.3">
      <c r="A339" s="114" t="s">
        <v>744</v>
      </c>
      <c r="B339" s="115" t="s">
        <v>430</v>
      </c>
    </row>
    <row r="340" spans="1:2" ht="15.75" thickBot="1" x14ac:dyDescent="0.3">
      <c r="A340" s="114" t="s">
        <v>745</v>
      </c>
      <c r="B340" s="115" t="s">
        <v>443</v>
      </c>
    </row>
    <row r="341" spans="1:2" ht="15.75" thickBot="1" x14ac:dyDescent="0.3">
      <c r="A341" s="114" t="s">
        <v>746</v>
      </c>
      <c r="B341" s="115" t="s">
        <v>415</v>
      </c>
    </row>
    <row r="342" spans="1:2" ht="15.75" thickBot="1" x14ac:dyDescent="0.3">
      <c r="A342" s="114" t="s">
        <v>747</v>
      </c>
      <c r="B342" s="115" t="s">
        <v>404</v>
      </c>
    </row>
    <row r="343" spans="1:2" ht="15.75" thickBot="1" x14ac:dyDescent="0.3">
      <c r="A343" s="114" t="s">
        <v>748</v>
      </c>
      <c r="B343" s="115" t="s">
        <v>404</v>
      </c>
    </row>
    <row r="344" spans="1:2" ht="15.75" thickBot="1" x14ac:dyDescent="0.3">
      <c r="A344" s="114" t="s">
        <v>749</v>
      </c>
      <c r="B344" s="115" t="s">
        <v>404</v>
      </c>
    </row>
    <row r="345" spans="1:2" ht="15.75" thickBot="1" x14ac:dyDescent="0.3">
      <c r="A345" s="114" t="s">
        <v>750</v>
      </c>
      <c r="B345" s="115" t="s">
        <v>418</v>
      </c>
    </row>
    <row r="346" spans="1:2" ht="15.75" thickBot="1" x14ac:dyDescent="0.3">
      <c r="A346" s="114" t="s">
        <v>751</v>
      </c>
      <c r="B346" s="115" t="s">
        <v>404</v>
      </c>
    </row>
    <row r="347" spans="1:2" ht="15.75" thickBot="1" x14ac:dyDescent="0.3">
      <c r="A347" s="114" t="s">
        <v>752</v>
      </c>
      <c r="B347" s="115" t="s">
        <v>420</v>
      </c>
    </row>
    <row r="348" spans="1:2" ht="15.75" thickBot="1" x14ac:dyDescent="0.3">
      <c r="A348" s="114" t="s">
        <v>753</v>
      </c>
      <c r="B348" s="115" t="s">
        <v>408</v>
      </c>
    </row>
    <row r="349" spans="1:2" ht="15.75" thickBot="1" x14ac:dyDescent="0.3">
      <c r="A349" s="114" t="s">
        <v>754</v>
      </c>
      <c r="B349" s="115" t="s">
        <v>404</v>
      </c>
    </row>
    <row r="350" spans="1:2" ht="15.75" thickBot="1" x14ac:dyDescent="0.3">
      <c r="A350" s="114" t="s">
        <v>755</v>
      </c>
      <c r="B350" s="115" t="s">
        <v>404</v>
      </c>
    </row>
    <row r="351" spans="1:2" ht="15.75" thickBot="1" x14ac:dyDescent="0.3">
      <c r="A351" s="114" t="s">
        <v>756</v>
      </c>
      <c r="B351" s="115" t="s">
        <v>408</v>
      </c>
    </row>
    <row r="352" spans="1:2" ht="15.75" thickBot="1" x14ac:dyDescent="0.3">
      <c r="A352" s="114" t="s">
        <v>757</v>
      </c>
      <c r="B352" s="115" t="s">
        <v>408</v>
      </c>
    </row>
    <row r="353" spans="1:2" ht="15.75" thickBot="1" x14ac:dyDescent="0.3">
      <c r="A353" s="114" t="s">
        <v>758</v>
      </c>
      <c r="B353" s="115" t="s">
        <v>404</v>
      </c>
    </row>
    <row r="354" spans="1:2" ht="15.75" thickBot="1" x14ac:dyDescent="0.3">
      <c r="A354" s="114" t="s">
        <v>759</v>
      </c>
      <c r="B354" s="115" t="s">
        <v>404</v>
      </c>
    </row>
    <row r="355" spans="1:2" ht="15.75" thickBot="1" x14ac:dyDescent="0.3">
      <c r="A355" s="114" t="s">
        <v>760</v>
      </c>
      <c r="B355" s="115" t="s">
        <v>404</v>
      </c>
    </row>
    <row r="356" spans="1:2" ht="15.75" thickBot="1" x14ac:dyDescent="0.3">
      <c r="A356" s="114" t="s">
        <v>761</v>
      </c>
      <c r="B356" s="115" t="s">
        <v>404</v>
      </c>
    </row>
    <row r="357" spans="1:2" ht="15.75" thickBot="1" x14ac:dyDescent="0.3">
      <c r="A357" s="114" t="s">
        <v>762</v>
      </c>
      <c r="B357" s="115" t="s">
        <v>404</v>
      </c>
    </row>
    <row r="358" spans="1:2" ht="15.75" thickBot="1" x14ac:dyDescent="0.3">
      <c r="A358" s="114" t="s">
        <v>763</v>
      </c>
      <c r="B358" s="115" t="s">
        <v>404</v>
      </c>
    </row>
    <row r="359" spans="1:2" ht="15.75" thickBot="1" x14ac:dyDescent="0.3">
      <c r="A359" s="114" t="s">
        <v>764</v>
      </c>
      <c r="B359" s="115" t="s">
        <v>408</v>
      </c>
    </row>
    <row r="360" spans="1:2" ht="15.75" thickBot="1" x14ac:dyDescent="0.3">
      <c r="A360" s="114" t="s">
        <v>765</v>
      </c>
      <c r="B360" s="115" t="s">
        <v>408</v>
      </c>
    </row>
    <row r="361" spans="1:2" ht="15.75" thickBot="1" x14ac:dyDescent="0.3">
      <c r="A361" s="114" t="s">
        <v>766</v>
      </c>
      <c r="B361" s="115" t="s">
        <v>408</v>
      </c>
    </row>
    <row r="362" spans="1:2" ht="15.75" thickBot="1" x14ac:dyDescent="0.3">
      <c r="A362" s="114" t="s">
        <v>767</v>
      </c>
      <c r="B362" s="115" t="s">
        <v>408</v>
      </c>
    </row>
    <row r="363" spans="1:2" ht="15.75" thickBot="1" x14ac:dyDescent="0.3">
      <c r="A363" s="114" t="s">
        <v>768</v>
      </c>
      <c r="B363" s="115" t="s">
        <v>404</v>
      </c>
    </row>
    <row r="364" spans="1:2" ht="15.75" thickBot="1" x14ac:dyDescent="0.3">
      <c r="A364" s="114" t="s">
        <v>769</v>
      </c>
      <c r="B364" s="115" t="s">
        <v>408</v>
      </c>
    </row>
    <row r="365" spans="1:2" ht="15.75" thickBot="1" x14ac:dyDescent="0.3">
      <c r="A365" s="114" t="s">
        <v>770</v>
      </c>
      <c r="B365" s="115" t="s">
        <v>404</v>
      </c>
    </row>
    <row r="366" spans="1:2" ht="15.75" thickBot="1" x14ac:dyDescent="0.3">
      <c r="A366" s="114" t="s">
        <v>771</v>
      </c>
      <c r="B366" s="115" t="s">
        <v>404</v>
      </c>
    </row>
    <row r="367" spans="1:2" ht="15.75" thickBot="1" x14ac:dyDescent="0.3">
      <c r="A367" s="114" t="s">
        <v>772</v>
      </c>
      <c r="B367" s="115" t="s">
        <v>404</v>
      </c>
    </row>
    <row r="368" spans="1:2" ht="15.75" thickBot="1" x14ac:dyDescent="0.3">
      <c r="A368" s="114" t="s">
        <v>773</v>
      </c>
      <c r="B368" s="115" t="s">
        <v>404</v>
      </c>
    </row>
    <row r="369" spans="1:2" ht="15.75" thickBot="1" x14ac:dyDescent="0.3">
      <c r="A369" s="114" t="s">
        <v>774</v>
      </c>
      <c r="B369" s="115" t="s">
        <v>408</v>
      </c>
    </row>
    <row r="370" spans="1:2" ht="15.75" thickBot="1" x14ac:dyDescent="0.3">
      <c r="A370" s="114" t="s">
        <v>775</v>
      </c>
      <c r="B370" s="115" t="s">
        <v>404</v>
      </c>
    </row>
    <row r="371" spans="1:2" ht="15.75" thickBot="1" x14ac:dyDescent="0.3">
      <c r="A371" s="114" t="s">
        <v>776</v>
      </c>
      <c r="B371" s="115" t="s">
        <v>408</v>
      </c>
    </row>
    <row r="372" spans="1:2" ht="15.75" thickBot="1" x14ac:dyDescent="0.3">
      <c r="A372" s="114" t="s">
        <v>777</v>
      </c>
      <c r="B372" s="115" t="s">
        <v>404</v>
      </c>
    </row>
    <row r="373" spans="1:2" ht="15.75" thickBot="1" x14ac:dyDescent="0.3">
      <c r="A373" s="114" t="s">
        <v>778</v>
      </c>
      <c r="B373" s="115" t="s">
        <v>404</v>
      </c>
    </row>
    <row r="374" spans="1:2" ht="15.75" thickBot="1" x14ac:dyDescent="0.3">
      <c r="A374" s="114" t="s">
        <v>779</v>
      </c>
      <c r="B374" s="115" t="s">
        <v>404</v>
      </c>
    </row>
    <row r="375" spans="1:2" ht="15.75" thickBot="1" x14ac:dyDescent="0.3">
      <c r="A375" s="114" t="s">
        <v>780</v>
      </c>
      <c r="B375" s="115" t="s">
        <v>430</v>
      </c>
    </row>
    <row r="376" spans="1:2" ht="15.75" thickBot="1" x14ac:dyDescent="0.3">
      <c r="A376" s="114" t="s">
        <v>781</v>
      </c>
      <c r="B376" s="115" t="s">
        <v>404</v>
      </c>
    </row>
    <row r="377" spans="1:2" ht="15.75" thickBot="1" x14ac:dyDescent="0.3">
      <c r="A377" s="114" t="s">
        <v>782</v>
      </c>
      <c r="B377" s="115" t="s">
        <v>404</v>
      </c>
    </row>
    <row r="378" spans="1:2" ht="15.75" thickBot="1" x14ac:dyDescent="0.3">
      <c r="A378" s="114" t="s">
        <v>783</v>
      </c>
      <c r="B378" s="115" t="s">
        <v>420</v>
      </c>
    </row>
    <row r="379" spans="1:2" ht="15.75" thickBot="1" x14ac:dyDescent="0.3">
      <c r="A379" s="114" t="s">
        <v>784</v>
      </c>
      <c r="B379" s="115" t="s">
        <v>443</v>
      </c>
    </row>
    <row r="380" spans="1:2" ht="15.75" thickBot="1" x14ac:dyDescent="0.3">
      <c r="A380" s="114" t="s">
        <v>785</v>
      </c>
      <c r="B380" s="115" t="s">
        <v>415</v>
      </c>
    </row>
    <row r="381" spans="1:2" ht="15.75" thickBot="1" x14ac:dyDescent="0.3">
      <c r="A381" s="114" t="s">
        <v>786</v>
      </c>
      <c r="B381" s="115" t="s">
        <v>415</v>
      </c>
    </row>
    <row r="382" spans="1:2" ht="15.75" thickBot="1" x14ac:dyDescent="0.3">
      <c r="A382" s="114" t="s">
        <v>787</v>
      </c>
      <c r="B382" s="115" t="s">
        <v>430</v>
      </c>
    </row>
    <row r="383" spans="1:2" ht="15.75" thickBot="1" x14ac:dyDescent="0.3">
      <c r="A383" s="114" t="s">
        <v>788</v>
      </c>
      <c r="B383" s="115" t="s">
        <v>430</v>
      </c>
    </row>
    <row r="384" spans="1:2" ht="15.75" thickBot="1" x14ac:dyDescent="0.3">
      <c r="A384" s="114" t="s">
        <v>789</v>
      </c>
      <c r="B384" s="115" t="s">
        <v>443</v>
      </c>
    </row>
    <row r="385" spans="1:2" ht="15.75" thickBot="1" x14ac:dyDescent="0.3">
      <c r="A385" s="114" t="s">
        <v>790</v>
      </c>
      <c r="B385" s="115" t="s">
        <v>430</v>
      </c>
    </row>
    <row r="386" spans="1:2" ht="15.75" thickBot="1" x14ac:dyDescent="0.3">
      <c r="A386" s="114" t="s">
        <v>791</v>
      </c>
      <c r="B386" s="115" t="s">
        <v>404</v>
      </c>
    </row>
    <row r="387" spans="1:2" ht="15.75" thickBot="1" x14ac:dyDescent="0.3">
      <c r="A387" s="60" t="s">
        <v>792</v>
      </c>
      <c r="B387" s="115" t="s">
        <v>408</v>
      </c>
    </row>
    <row r="388" spans="1:2" ht="15.75" thickBot="1" x14ac:dyDescent="0.3">
      <c r="A388" s="114" t="s">
        <v>793</v>
      </c>
      <c r="B388" s="115" t="s">
        <v>430</v>
      </c>
    </row>
    <row r="389" spans="1:2" ht="15.75" thickBot="1" x14ac:dyDescent="0.3">
      <c r="A389" s="114" t="s">
        <v>794</v>
      </c>
      <c r="B389" s="115" t="s">
        <v>443</v>
      </c>
    </row>
    <row r="390" spans="1:2" ht="15.75" thickBot="1" x14ac:dyDescent="0.3">
      <c r="A390" s="114" t="s">
        <v>795</v>
      </c>
      <c r="B390" s="115" t="s">
        <v>430</v>
      </c>
    </row>
    <row r="391" spans="1:2" ht="15.75" thickBot="1" x14ac:dyDescent="0.3">
      <c r="A391" s="114" t="s">
        <v>796</v>
      </c>
      <c r="B391" s="115" t="s">
        <v>430</v>
      </c>
    </row>
    <row r="392" spans="1:2" ht="15.75" thickBot="1" x14ac:dyDescent="0.3">
      <c r="A392" s="114" t="s">
        <v>797</v>
      </c>
      <c r="B392" s="115" t="s">
        <v>443</v>
      </c>
    </row>
    <row r="393" spans="1:2" ht="15.75" thickBot="1" x14ac:dyDescent="0.3">
      <c r="A393" s="114" t="s">
        <v>798</v>
      </c>
      <c r="B393" s="115" t="s">
        <v>420</v>
      </c>
    </row>
    <row r="394" spans="1:2" ht="15.75" thickBot="1" x14ac:dyDescent="0.3">
      <c r="A394" s="114" t="s">
        <v>799</v>
      </c>
      <c r="B394" s="115" t="s">
        <v>443</v>
      </c>
    </row>
    <row r="395" spans="1:2" ht="15.75" thickBot="1" x14ac:dyDescent="0.3">
      <c r="A395" s="114" t="s">
        <v>800</v>
      </c>
      <c r="B395" s="115" t="s">
        <v>443</v>
      </c>
    </row>
    <row r="396" spans="1:2" ht="15.75" thickBot="1" x14ac:dyDescent="0.3">
      <c r="A396" s="114" t="s">
        <v>801</v>
      </c>
      <c r="B396" s="115" t="s">
        <v>404</v>
      </c>
    </row>
    <row r="397" spans="1:2" ht="15.75" thickBot="1" x14ac:dyDescent="0.3">
      <c r="A397" s="114" t="s">
        <v>802</v>
      </c>
      <c r="B397" s="115" t="s">
        <v>404</v>
      </c>
    </row>
    <row r="398" spans="1:2" ht="15.75" thickBot="1" x14ac:dyDescent="0.3">
      <c r="A398" s="114" t="s">
        <v>803</v>
      </c>
      <c r="B398" s="115" t="s">
        <v>404</v>
      </c>
    </row>
    <row r="399" spans="1:2" ht="15.75" thickBot="1" x14ac:dyDescent="0.3">
      <c r="A399" s="114" t="s">
        <v>804</v>
      </c>
      <c r="B399" s="115" t="s">
        <v>404</v>
      </c>
    </row>
    <row r="400" spans="1:2" ht="15.75" thickBot="1" x14ac:dyDescent="0.3">
      <c r="A400" s="114" t="s">
        <v>805</v>
      </c>
      <c r="B400" s="115" t="s">
        <v>430</v>
      </c>
    </row>
    <row r="401" spans="1:2" ht="15.75" thickBot="1" x14ac:dyDescent="0.3">
      <c r="A401" s="114" t="s">
        <v>806</v>
      </c>
      <c r="B401" s="115" t="s">
        <v>415</v>
      </c>
    </row>
    <row r="402" spans="1:2" ht="15.75" thickBot="1" x14ac:dyDescent="0.3">
      <c r="A402" s="114" t="s">
        <v>807</v>
      </c>
      <c r="B402" s="115" t="s">
        <v>408</v>
      </c>
    </row>
    <row r="403" spans="1:2" ht="15.75" thickBot="1" x14ac:dyDescent="0.3">
      <c r="A403" s="114" t="s">
        <v>808</v>
      </c>
      <c r="B403" s="115" t="s">
        <v>443</v>
      </c>
    </row>
    <row r="404" spans="1:2" ht="15.75" thickBot="1" x14ac:dyDescent="0.3">
      <c r="A404" s="114" t="s">
        <v>809</v>
      </c>
      <c r="B404" s="115" t="s">
        <v>404</v>
      </c>
    </row>
    <row r="405" spans="1:2" ht="15.75" thickBot="1" x14ac:dyDescent="0.3">
      <c r="A405" s="114" t="s">
        <v>810</v>
      </c>
      <c r="B405" s="115" t="s">
        <v>811</v>
      </c>
    </row>
    <row r="406" spans="1:2" ht="15.75" thickBot="1" x14ac:dyDescent="0.3">
      <c r="A406" s="114" t="s">
        <v>812</v>
      </c>
      <c r="B406" s="115" t="s">
        <v>408</v>
      </c>
    </row>
    <row r="407" spans="1:2" ht="15.75" thickBot="1" x14ac:dyDescent="0.3">
      <c r="A407" s="114" t="s">
        <v>813</v>
      </c>
      <c r="B407" s="115" t="s">
        <v>408</v>
      </c>
    </row>
    <row r="408" spans="1:2" ht="15.75" thickBot="1" x14ac:dyDescent="0.3">
      <c r="A408" s="114" t="s">
        <v>814</v>
      </c>
      <c r="B408" s="115" t="s">
        <v>408</v>
      </c>
    </row>
    <row r="409" spans="1:2" ht="15.75" thickBot="1" x14ac:dyDescent="0.3">
      <c r="A409" s="114" t="s">
        <v>815</v>
      </c>
      <c r="B409" s="115" t="s">
        <v>408</v>
      </c>
    </row>
    <row r="410" spans="1:2" ht="15.75" thickBot="1" x14ac:dyDescent="0.3">
      <c r="A410" s="114" t="s">
        <v>816</v>
      </c>
      <c r="B410" s="115" t="s">
        <v>408</v>
      </c>
    </row>
    <row r="411" spans="1:2" ht="15.75" thickBot="1" x14ac:dyDescent="0.3">
      <c r="A411" s="114" t="s">
        <v>817</v>
      </c>
      <c r="B411" s="115" t="s">
        <v>443</v>
      </c>
    </row>
    <row r="412" spans="1:2" ht="15.75" thickBot="1" x14ac:dyDescent="0.3">
      <c r="A412" s="114" t="s">
        <v>818</v>
      </c>
      <c r="B412" s="115" t="s">
        <v>420</v>
      </c>
    </row>
    <row r="413" spans="1:2" ht="15.75" thickBot="1" x14ac:dyDescent="0.3">
      <c r="A413" s="114" t="s">
        <v>819</v>
      </c>
      <c r="B413" s="115" t="s">
        <v>404</v>
      </c>
    </row>
    <row r="414" spans="1:2" ht="15.75" thickBot="1" x14ac:dyDescent="0.3">
      <c r="A414" s="114" t="s">
        <v>820</v>
      </c>
      <c r="B414" s="115" t="s">
        <v>404</v>
      </c>
    </row>
    <row r="415" spans="1:2" ht="15.75" thickBot="1" x14ac:dyDescent="0.3">
      <c r="A415" s="114" t="s">
        <v>821</v>
      </c>
      <c r="B415" s="115" t="s">
        <v>420</v>
      </c>
    </row>
    <row r="416" spans="1:2" ht="15.75" thickBot="1" x14ac:dyDescent="0.3">
      <c r="A416" s="114" t="s">
        <v>822</v>
      </c>
      <c r="B416" s="115" t="s">
        <v>404</v>
      </c>
    </row>
    <row r="417" spans="1:2" ht="15.75" thickBot="1" x14ac:dyDescent="0.3">
      <c r="A417" s="114" t="s">
        <v>823</v>
      </c>
      <c r="B417" s="115" t="s">
        <v>420</v>
      </c>
    </row>
    <row r="418" spans="1:2" ht="15.75" thickBot="1" x14ac:dyDescent="0.3">
      <c r="A418" s="114" t="s">
        <v>824</v>
      </c>
      <c r="B418" s="115" t="s">
        <v>404</v>
      </c>
    </row>
    <row r="419" spans="1:2" ht="15.75" thickBot="1" x14ac:dyDescent="0.3">
      <c r="A419" s="114" t="s">
        <v>825</v>
      </c>
      <c r="B419" s="115" t="s">
        <v>404</v>
      </c>
    </row>
    <row r="420" spans="1:2" ht="15.75" thickBot="1" x14ac:dyDescent="0.3">
      <c r="A420" s="114" t="s">
        <v>826</v>
      </c>
      <c r="B420" s="115" t="s">
        <v>404</v>
      </c>
    </row>
    <row r="421" spans="1:2" ht="15.75" thickBot="1" x14ac:dyDescent="0.3">
      <c r="A421" s="114" t="s">
        <v>827</v>
      </c>
      <c r="B421" s="115" t="s">
        <v>404</v>
      </c>
    </row>
    <row r="422" spans="1:2" ht="15.75" thickBot="1" x14ac:dyDescent="0.3">
      <c r="A422" s="114" t="s">
        <v>828</v>
      </c>
      <c r="B422" s="115" t="s">
        <v>404</v>
      </c>
    </row>
    <row r="423" spans="1:2" ht="15.75" thickBot="1" x14ac:dyDescent="0.3">
      <c r="A423" s="114" t="s">
        <v>829</v>
      </c>
      <c r="B423" s="115" t="s">
        <v>404</v>
      </c>
    </row>
    <row r="424" spans="1:2" ht="15.75" thickBot="1" x14ac:dyDescent="0.3">
      <c r="A424" s="114" t="s">
        <v>830</v>
      </c>
      <c r="B424" s="115" t="s">
        <v>404</v>
      </c>
    </row>
    <row r="425" spans="1:2" ht="15.75" thickBot="1" x14ac:dyDescent="0.3">
      <c r="A425" s="114" t="s">
        <v>831</v>
      </c>
      <c r="B425" s="115" t="s">
        <v>404</v>
      </c>
    </row>
    <row r="426" spans="1:2" ht="15.75" thickBot="1" x14ac:dyDescent="0.3">
      <c r="A426" s="114" t="s">
        <v>832</v>
      </c>
      <c r="B426" s="115" t="s">
        <v>404</v>
      </c>
    </row>
    <row r="427" spans="1:2" ht="15.75" thickBot="1" x14ac:dyDescent="0.3">
      <c r="A427" s="114" t="s">
        <v>833</v>
      </c>
      <c r="B427" s="115" t="s">
        <v>420</v>
      </c>
    </row>
    <row r="428" spans="1:2" ht="15.75" thickBot="1" x14ac:dyDescent="0.3">
      <c r="A428" s="114" t="s">
        <v>834</v>
      </c>
      <c r="B428" s="115" t="s">
        <v>443</v>
      </c>
    </row>
    <row r="429" spans="1:2" ht="15.75" thickBot="1" x14ac:dyDescent="0.3">
      <c r="A429" s="114" t="s">
        <v>835</v>
      </c>
      <c r="B429" s="115" t="s">
        <v>430</v>
      </c>
    </row>
    <row r="430" spans="1:2" ht="15.75" thickBot="1" x14ac:dyDescent="0.3">
      <c r="A430" s="114" t="s">
        <v>836</v>
      </c>
      <c r="B430" s="115" t="s">
        <v>418</v>
      </c>
    </row>
    <row r="431" spans="1:2" ht="15.75" thickBot="1" x14ac:dyDescent="0.3">
      <c r="A431" s="114" t="s">
        <v>1303</v>
      </c>
      <c r="B431" s="116"/>
    </row>
    <row r="432" spans="1:2" ht="15.75" thickBot="1" x14ac:dyDescent="0.3">
      <c r="A432" s="114" t="s">
        <v>837</v>
      </c>
      <c r="B432" s="115" t="s">
        <v>408</v>
      </c>
    </row>
    <row r="433" spans="1:2" ht="15.75" thickBot="1" x14ac:dyDescent="0.3">
      <c r="A433" s="114" t="s">
        <v>838</v>
      </c>
      <c r="B433" s="115" t="s">
        <v>408</v>
      </c>
    </row>
    <row r="434" spans="1:2" ht="15.75" thickBot="1" x14ac:dyDescent="0.3">
      <c r="A434" s="114" t="s">
        <v>839</v>
      </c>
      <c r="B434" s="115" t="s">
        <v>408</v>
      </c>
    </row>
    <row r="435" spans="1:2" ht="15.75" thickBot="1" x14ac:dyDescent="0.3">
      <c r="A435" s="114" t="s">
        <v>840</v>
      </c>
      <c r="B435" s="115" t="s">
        <v>408</v>
      </c>
    </row>
    <row r="436" spans="1:2" ht="15.75" thickBot="1" x14ac:dyDescent="0.3">
      <c r="A436" s="114" t="s">
        <v>841</v>
      </c>
      <c r="B436" s="115" t="s">
        <v>408</v>
      </c>
    </row>
    <row r="437" spans="1:2" ht="15.75" thickBot="1" x14ac:dyDescent="0.3">
      <c r="A437" s="114" t="s">
        <v>842</v>
      </c>
      <c r="B437" s="115" t="s">
        <v>408</v>
      </c>
    </row>
    <row r="438" spans="1:2" ht="15.75" thickBot="1" x14ac:dyDescent="0.3">
      <c r="A438" s="114" t="s">
        <v>843</v>
      </c>
      <c r="B438" s="115" t="s">
        <v>408</v>
      </c>
    </row>
    <row r="439" spans="1:2" ht="15.75" thickBot="1" x14ac:dyDescent="0.3">
      <c r="A439" s="114" t="s">
        <v>844</v>
      </c>
      <c r="B439" s="115" t="s">
        <v>408</v>
      </c>
    </row>
    <row r="440" spans="1:2" ht="15.75" thickBot="1" x14ac:dyDescent="0.3">
      <c r="A440" s="114" t="s">
        <v>845</v>
      </c>
      <c r="B440" s="115" t="s">
        <v>408</v>
      </c>
    </row>
    <row r="441" spans="1:2" ht="15.75" thickBot="1" x14ac:dyDescent="0.3">
      <c r="A441" s="114" t="s">
        <v>846</v>
      </c>
      <c r="B441" s="115" t="s">
        <v>408</v>
      </c>
    </row>
    <row r="442" spans="1:2" ht="15.75" thickBot="1" x14ac:dyDescent="0.3">
      <c r="A442" s="114" t="s">
        <v>847</v>
      </c>
      <c r="B442" s="115" t="s">
        <v>408</v>
      </c>
    </row>
    <row r="443" spans="1:2" ht="15.75" thickBot="1" x14ac:dyDescent="0.3">
      <c r="A443" s="114" t="s">
        <v>848</v>
      </c>
      <c r="B443" s="115" t="s">
        <v>408</v>
      </c>
    </row>
    <row r="444" spans="1:2" ht="15.75" thickBot="1" x14ac:dyDescent="0.3">
      <c r="A444" s="114" t="s">
        <v>849</v>
      </c>
      <c r="B444" s="115" t="s">
        <v>420</v>
      </c>
    </row>
    <row r="445" spans="1:2" ht="15.75" thickBot="1" x14ac:dyDescent="0.3">
      <c r="A445" s="114" t="s">
        <v>850</v>
      </c>
      <c r="B445" s="115" t="s">
        <v>420</v>
      </c>
    </row>
    <row r="446" spans="1:2" ht="15.75" thickBot="1" x14ac:dyDescent="0.3">
      <c r="A446" s="114" t="s">
        <v>851</v>
      </c>
      <c r="B446" s="115" t="s">
        <v>420</v>
      </c>
    </row>
    <row r="447" spans="1:2" ht="15.75" thickBot="1" x14ac:dyDescent="0.3">
      <c r="A447" s="114" t="s">
        <v>1408</v>
      </c>
      <c r="B447" s="115" t="s">
        <v>523</v>
      </c>
    </row>
    <row r="448" spans="1:2" ht="15.75" thickBot="1" x14ac:dyDescent="0.3">
      <c r="A448" s="114" t="s">
        <v>852</v>
      </c>
      <c r="B448" s="115" t="s">
        <v>404</v>
      </c>
    </row>
    <row r="449" spans="1:2" ht="15.75" thickBot="1" x14ac:dyDescent="0.3">
      <c r="A449" s="114" t="s">
        <v>853</v>
      </c>
      <c r="B449" s="115" t="s">
        <v>404</v>
      </c>
    </row>
    <row r="450" spans="1:2" ht="15.75" thickBot="1" x14ac:dyDescent="0.3">
      <c r="A450" s="114" t="s">
        <v>1302</v>
      </c>
      <c r="B450" s="116"/>
    </row>
    <row r="451" spans="1:2" ht="15.75" thickBot="1" x14ac:dyDescent="0.3">
      <c r="A451" s="114" t="s">
        <v>854</v>
      </c>
      <c r="B451" s="115" t="s">
        <v>443</v>
      </c>
    </row>
    <row r="452" spans="1:2" ht="15.75" thickBot="1" x14ac:dyDescent="0.3">
      <c r="A452" s="114" t="s">
        <v>855</v>
      </c>
      <c r="B452" s="115" t="s">
        <v>404</v>
      </c>
    </row>
    <row r="453" spans="1:2" ht="15.75" thickBot="1" x14ac:dyDescent="0.3">
      <c r="A453" s="114" t="s">
        <v>856</v>
      </c>
      <c r="B453" s="115" t="s">
        <v>443</v>
      </c>
    </row>
    <row r="454" spans="1:2" ht="15.75" thickBot="1" x14ac:dyDescent="0.3">
      <c r="A454" s="114" t="s">
        <v>857</v>
      </c>
      <c r="B454" s="115" t="s">
        <v>404</v>
      </c>
    </row>
    <row r="455" spans="1:2" ht="15.75" thickBot="1" x14ac:dyDescent="0.3">
      <c r="A455" s="114" t="s">
        <v>858</v>
      </c>
      <c r="B455" s="115" t="s">
        <v>404</v>
      </c>
    </row>
    <row r="456" spans="1:2" ht="15.75" thickBot="1" x14ac:dyDescent="0.3">
      <c r="A456" s="114" t="s">
        <v>859</v>
      </c>
      <c r="B456" s="115" t="s">
        <v>404</v>
      </c>
    </row>
    <row r="457" spans="1:2" ht="15.75" thickBot="1" x14ac:dyDescent="0.3">
      <c r="A457" s="114" t="s">
        <v>860</v>
      </c>
      <c r="B457" s="115" t="s">
        <v>404</v>
      </c>
    </row>
    <row r="458" spans="1:2" ht="15.75" thickBot="1" x14ac:dyDescent="0.3">
      <c r="A458" s="114" t="s">
        <v>861</v>
      </c>
      <c r="B458" s="115" t="s">
        <v>415</v>
      </c>
    </row>
    <row r="459" spans="1:2" ht="15.75" thickBot="1" x14ac:dyDescent="0.3">
      <c r="A459" s="114" t="s">
        <v>862</v>
      </c>
      <c r="B459" s="115" t="s">
        <v>404</v>
      </c>
    </row>
    <row r="460" spans="1:2" ht="15.75" thickBot="1" x14ac:dyDescent="0.3">
      <c r="A460" s="114" t="s">
        <v>863</v>
      </c>
      <c r="B460" s="115" t="s">
        <v>420</v>
      </c>
    </row>
    <row r="461" spans="1:2" ht="15.75" thickBot="1" x14ac:dyDescent="0.3">
      <c r="A461" s="114" t="s">
        <v>864</v>
      </c>
      <c r="B461" s="115" t="s">
        <v>420</v>
      </c>
    </row>
    <row r="462" spans="1:2" ht="15.75" thickBot="1" x14ac:dyDescent="0.3">
      <c r="A462" s="114" t="s">
        <v>865</v>
      </c>
      <c r="B462" s="115" t="s">
        <v>420</v>
      </c>
    </row>
    <row r="463" spans="1:2" ht="15.75" thickBot="1" x14ac:dyDescent="0.3">
      <c r="A463" s="114" t="s">
        <v>866</v>
      </c>
      <c r="B463" s="115" t="s">
        <v>408</v>
      </c>
    </row>
    <row r="464" spans="1:2" ht="15.75" thickBot="1" x14ac:dyDescent="0.3">
      <c r="A464" s="114" t="s">
        <v>867</v>
      </c>
      <c r="B464" s="115" t="s">
        <v>408</v>
      </c>
    </row>
    <row r="465" spans="1:2" ht="15.75" thickBot="1" x14ac:dyDescent="0.3">
      <c r="A465" s="114" t="s">
        <v>868</v>
      </c>
      <c r="B465" s="115" t="s">
        <v>404</v>
      </c>
    </row>
    <row r="466" spans="1:2" ht="15.75" thickBot="1" x14ac:dyDescent="0.3">
      <c r="A466" s="114" t="s">
        <v>869</v>
      </c>
      <c r="B466" s="115" t="s">
        <v>443</v>
      </c>
    </row>
    <row r="467" spans="1:2" ht="15.75" thickBot="1" x14ac:dyDescent="0.3">
      <c r="A467" s="114" t="s">
        <v>870</v>
      </c>
      <c r="B467" s="115" t="s">
        <v>404</v>
      </c>
    </row>
    <row r="468" spans="1:2" ht="15.75" thickBot="1" x14ac:dyDescent="0.3">
      <c r="A468" s="114" t="s">
        <v>871</v>
      </c>
      <c r="B468" s="115" t="s">
        <v>404</v>
      </c>
    </row>
    <row r="469" spans="1:2" ht="15.75" thickBot="1" x14ac:dyDescent="0.3">
      <c r="A469" s="114" t="s">
        <v>872</v>
      </c>
      <c r="B469" s="115" t="s">
        <v>404</v>
      </c>
    </row>
    <row r="470" spans="1:2" ht="15.75" thickBot="1" x14ac:dyDescent="0.3">
      <c r="A470" s="114" t="s">
        <v>873</v>
      </c>
      <c r="B470" s="115" t="s">
        <v>404</v>
      </c>
    </row>
    <row r="471" spans="1:2" ht="15.75" thickBot="1" x14ac:dyDescent="0.3">
      <c r="A471" s="114" t="s">
        <v>874</v>
      </c>
      <c r="B471" s="115" t="s">
        <v>404</v>
      </c>
    </row>
    <row r="472" spans="1:2" ht="15.75" thickBot="1" x14ac:dyDescent="0.3">
      <c r="A472" s="114" t="s">
        <v>875</v>
      </c>
      <c r="B472" s="115" t="s">
        <v>404</v>
      </c>
    </row>
    <row r="473" spans="1:2" ht="15.75" thickBot="1" x14ac:dyDescent="0.3">
      <c r="A473" s="114" t="s">
        <v>876</v>
      </c>
      <c r="B473" s="115" t="s">
        <v>404</v>
      </c>
    </row>
    <row r="474" spans="1:2" ht="15.75" thickBot="1" x14ac:dyDescent="0.3">
      <c r="A474" s="114" t="s">
        <v>877</v>
      </c>
      <c r="B474" s="115" t="s">
        <v>404</v>
      </c>
    </row>
    <row r="475" spans="1:2" ht="15.75" thickBot="1" x14ac:dyDescent="0.3">
      <c r="A475" s="114" t="s">
        <v>878</v>
      </c>
      <c r="B475" s="115" t="s">
        <v>443</v>
      </c>
    </row>
    <row r="476" spans="1:2" ht="15.75" thickBot="1" x14ac:dyDescent="0.3">
      <c r="A476" s="114" t="s">
        <v>879</v>
      </c>
      <c r="B476" s="115" t="s">
        <v>404</v>
      </c>
    </row>
    <row r="477" spans="1:2" ht="15.75" thickBot="1" x14ac:dyDescent="0.3">
      <c r="A477" s="114" t="s">
        <v>880</v>
      </c>
      <c r="B477" s="115" t="s">
        <v>404</v>
      </c>
    </row>
    <row r="478" spans="1:2" ht="15.75" thickBot="1" x14ac:dyDescent="0.3">
      <c r="A478" s="114" t="s">
        <v>881</v>
      </c>
      <c r="B478" s="115" t="s">
        <v>443</v>
      </c>
    </row>
    <row r="479" spans="1:2" ht="15.75" thickBot="1" x14ac:dyDescent="0.3">
      <c r="A479" s="114" t="s">
        <v>882</v>
      </c>
      <c r="B479" s="115" t="s">
        <v>811</v>
      </c>
    </row>
    <row r="480" spans="1:2" ht="15.75" thickBot="1" x14ac:dyDescent="0.3">
      <c r="A480" s="114" t="s">
        <v>883</v>
      </c>
      <c r="B480" s="115" t="s">
        <v>420</v>
      </c>
    </row>
    <row r="481" spans="1:2" ht="15.75" thickBot="1" x14ac:dyDescent="0.3">
      <c r="A481" s="114" t="s">
        <v>884</v>
      </c>
      <c r="B481" s="115" t="s">
        <v>420</v>
      </c>
    </row>
    <row r="482" spans="1:2" ht="15.75" thickBot="1" x14ac:dyDescent="0.3">
      <c r="A482" s="114" t="s">
        <v>885</v>
      </c>
      <c r="B482" s="115" t="s">
        <v>420</v>
      </c>
    </row>
    <row r="483" spans="1:2" ht="15.75" thickBot="1" x14ac:dyDescent="0.3">
      <c r="A483" s="114" t="s">
        <v>886</v>
      </c>
      <c r="B483" s="115" t="s">
        <v>420</v>
      </c>
    </row>
    <row r="484" spans="1:2" ht="15.75" thickBot="1" x14ac:dyDescent="0.3">
      <c r="A484" s="114" t="s">
        <v>887</v>
      </c>
      <c r="B484" s="115" t="s">
        <v>443</v>
      </c>
    </row>
    <row r="485" spans="1:2" ht="15.75" thickBot="1" x14ac:dyDescent="0.3">
      <c r="A485" s="114" t="s">
        <v>888</v>
      </c>
      <c r="B485" s="115" t="s">
        <v>404</v>
      </c>
    </row>
    <row r="486" spans="1:2" ht="15.75" thickBot="1" x14ac:dyDescent="0.3">
      <c r="A486" s="114" t="s">
        <v>889</v>
      </c>
      <c r="B486" s="115" t="s">
        <v>404</v>
      </c>
    </row>
    <row r="487" spans="1:2" ht="15.75" thickBot="1" x14ac:dyDescent="0.3">
      <c r="A487" s="114" t="s">
        <v>890</v>
      </c>
      <c r="B487" s="115" t="s">
        <v>404</v>
      </c>
    </row>
    <row r="488" spans="1:2" ht="15.75" thickBot="1" x14ac:dyDescent="0.3">
      <c r="A488" s="114" t="s">
        <v>891</v>
      </c>
      <c r="B488" s="115" t="s">
        <v>443</v>
      </c>
    </row>
    <row r="489" spans="1:2" ht="15.75" thickBot="1" x14ac:dyDescent="0.3">
      <c r="A489" s="114" t="s">
        <v>892</v>
      </c>
      <c r="B489" s="115" t="s">
        <v>443</v>
      </c>
    </row>
    <row r="490" spans="1:2" ht="15.75" thickBot="1" x14ac:dyDescent="0.3">
      <c r="A490" s="114" t="s">
        <v>893</v>
      </c>
      <c r="B490" s="115" t="s">
        <v>443</v>
      </c>
    </row>
    <row r="491" spans="1:2" ht="15.75" thickBot="1" x14ac:dyDescent="0.3">
      <c r="A491" s="114" t="s">
        <v>894</v>
      </c>
      <c r="B491" s="115" t="s">
        <v>404</v>
      </c>
    </row>
    <row r="492" spans="1:2" ht="15.75" thickBot="1" x14ac:dyDescent="0.3">
      <c r="A492" s="114" t="s">
        <v>895</v>
      </c>
      <c r="B492" s="115" t="s">
        <v>420</v>
      </c>
    </row>
    <row r="493" spans="1:2" ht="15.75" thickBot="1" x14ac:dyDescent="0.3">
      <c r="A493" s="114" t="s">
        <v>896</v>
      </c>
      <c r="B493" s="115" t="s">
        <v>430</v>
      </c>
    </row>
    <row r="494" spans="1:2" ht="15.75" thickBot="1" x14ac:dyDescent="0.3">
      <c r="A494" s="114" t="s">
        <v>897</v>
      </c>
      <c r="B494" s="115" t="s">
        <v>415</v>
      </c>
    </row>
    <row r="495" spans="1:2" ht="15.75" thickBot="1" x14ac:dyDescent="0.3">
      <c r="A495" s="114" t="s">
        <v>898</v>
      </c>
      <c r="B495" s="115" t="s">
        <v>404</v>
      </c>
    </row>
    <row r="496" spans="1:2" ht="15.75" thickBot="1" x14ac:dyDescent="0.3">
      <c r="A496" s="114" t="s">
        <v>899</v>
      </c>
      <c r="B496" s="115" t="s">
        <v>404</v>
      </c>
    </row>
    <row r="497" spans="1:2" ht="15.75" thickBot="1" x14ac:dyDescent="0.3">
      <c r="A497" s="114" t="s">
        <v>900</v>
      </c>
      <c r="B497" s="115" t="s">
        <v>404</v>
      </c>
    </row>
    <row r="498" spans="1:2" ht="15.75" thickBot="1" x14ac:dyDescent="0.3">
      <c r="A498" s="114" t="s">
        <v>901</v>
      </c>
      <c r="B498" s="115" t="s">
        <v>404</v>
      </c>
    </row>
    <row r="499" spans="1:2" ht="15.75" thickBot="1" x14ac:dyDescent="0.3">
      <c r="A499" s="114" t="s">
        <v>902</v>
      </c>
      <c r="B499" s="115" t="s">
        <v>404</v>
      </c>
    </row>
    <row r="500" spans="1:2" ht="15.75" thickBot="1" x14ac:dyDescent="0.3">
      <c r="A500" s="114" t="s">
        <v>903</v>
      </c>
      <c r="B500" s="115" t="s">
        <v>404</v>
      </c>
    </row>
    <row r="501" spans="1:2" ht="15.75" thickBot="1" x14ac:dyDescent="0.3">
      <c r="A501" s="114" t="s">
        <v>904</v>
      </c>
      <c r="B501" s="115" t="s">
        <v>404</v>
      </c>
    </row>
    <row r="502" spans="1:2" ht="15.75" thickBot="1" x14ac:dyDescent="0.3">
      <c r="A502" s="114" t="s">
        <v>905</v>
      </c>
      <c r="B502" s="115" t="s">
        <v>404</v>
      </c>
    </row>
    <row r="503" spans="1:2" ht="15.75" thickBot="1" x14ac:dyDescent="0.3">
      <c r="A503" s="114" t="s">
        <v>906</v>
      </c>
      <c r="B503" s="115" t="s">
        <v>404</v>
      </c>
    </row>
    <row r="504" spans="1:2" ht="15.75" thickBot="1" x14ac:dyDescent="0.3">
      <c r="A504" s="114" t="s">
        <v>907</v>
      </c>
      <c r="B504" s="115" t="s">
        <v>408</v>
      </c>
    </row>
    <row r="505" spans="1:2" ht="15.75" thickBot="1" x14ac:dyDescent="0.3">
      <c r="A505" s="114" t="s">
        <v>908</v>
      </c>
      <c r="B505" s="115" t="s">
        <v>408</v>
      </c>
    </row>
    <row r="506" spans="1:2" ht="15.75" thickBot="1" x14ac:dyDescent="0.3">
      <c r="A506" s="114" t="s">
        <v>909</v>
      </c>
      <c r="B506" s="115" t="s">
        <v>430</v>
      </c>
    </row>
    <row r="507" spans="1:2" ht="15.75" thickBot="1" x14ac:dyDescent="0.3">
      <c r="A507" s="114" t="s">
        <v>910</v>
      </c>
      <c r="B507" s="115" t="s">
        <v>404</v>
      </c>
    </row>
    <row r="508" spans="1:2" ht="15.75" thickBot="1" x14ac:dyDescent="0.3">
      <c r="A508" s="114" t="s">
        <v>911</v>
      </c>
      <c r="B508" s="115" t="s">
        <v>415</v>
      </c>
    </row>
    <row r="509" spans="1:2" ht="15.75" thickBot="1" x14ac:dyDescent="0.3">
      <c r="A509" s="114" t="s">
        <v>912</v>
      </c>
      <c r="B509" s="115" t="s">
        <v>430</v>
      </c>
    </row>
    <row r="510" spans="1:2" ht="15.75" thickBot="1" x14ac:dyDescent="0.3">
      <c r="A510" s="114" t="s">
        <v>913</v>
      </c>
      <c r="B510" s="115" t="s">
        <v>430</v>
      </c>
    </row>
    <row r="511" spans="1:2" ht="15.75" thickBot="1" x14ac:dyDescent="0.3">
      <c r="A511" s="114" t="s">
        <v>914</v>
      </c>
      <c r="B511" s="115" t="s">
        <v>430</v>
      </c>
    </row>
    <row r="512" spans="1:2" ht="15.75" thickBot="1" x14ac:dyDescent="0.3">
      <c r="A512" s="114" t="s">
        <v>915</v>
      </c>
      <c r="B512" s="115" t="s">
        <v>404</v>
      </c>
    </row>
    <row r="513" spans="1:2" ht="15.75" thickBot="1" x14ac:dyDescent="0.3">
      <c r="A513" s="114" t="s">
        <v>916</v>
      </c>
      <c r="B513" s="115" t="s">
        <v>404</v>
      </c>
    </row>
    <row r="514" spans="1:2" ht="15.75" thickBot="1" x14ac:dyDescent="0.3">
      <c r="A514" s="114" t="s">
        <v>917</v>
      </c>
      <c r="B514" s="115" t="s">
        <v>404</v>
      </c>
    </row>
    <row r="515" spans="1:2" ht="15.75" thickBot="1" x14ac:dyDescent="0.3">
      <c r="A515" s="114" t="s">
        <v>918</v>
      </c>
      <c r="B515" s="115" t="s">
        <v>443</v>
      </c>
    </row>
    <row r="516" spans="1:2" ht="15.75" thickBot="1" x14ac:dyDescent="0.3">
      <c r="A516" s="114" t="s">
        <v>919</v>
      </c>
      <c r="B516" s="115" t="s">
        <v>418</v>
      </c>
    </row>
    <row r="517" spans="1:2" ht="15.75" thickBot="1" x14ac:dyDescent="0.3">
      <c r="A517" s="114" t="s">
        <v>920</v>
      </c>
      <c r="B517" s="115" t="s">
        <v>404</v>
      </c>
    </row>
    <row r="518" spans="1:2" ht="15.75" thickBot="1" x14ac:dyDescent="0.3">
      <c r="A518" s="114" t="s">
        <v>921</v>
      </c>
      <c r="B518" s="115" t="s">
        <v>408</v>
      </c>
    </row>
    <row r="519" spans="1:2" ht="15.75" thickBot="1" x14ac:dyDescent="0.3">
      <c r="A519" s="114" t="s">
        <v>922</v>
      </c>
      <c r="B519" s="115" t="s">
        <v>443</v>
      </c>
    </row>
    <row r="520" spans="1:2" ht="15.75" thickBot="1" x14ac:dyDescent="0.3">
      <c r="A520" s="114" t="s">
        <v>923</v>
      </c>
      <c r="B520" s="115" t="s">
        <v>420</v>
      </c>
    </row>
    <row r="521" spans="1:2" ht="15.75" thickBot="1" x14ac:dyDescent="0.3">
      <c r="A521" s="114" t="s">
        <v>924</v>
      </c>
      <c r="B521" s="115" t="s">
        <v>408</v>
      </c>
    </row>
    <row r="522" spans="1:2" ht="15.75" thickBot="1" x14ac:dyDescent="0.3">
      <c r="A522" s="114" t="s">
        <v>925</v>
      </c>
      <c r="B522" s="115" t="s">
        <v>500</v>
      </c>
    </row>
    <row r="523" spans="1:2" ht="15.75" thickBot="1" x14ac:dyDescent="0.3">
      <c r="A523" s="114" t="s">
        <v>926</v>
      </c>
      <c r="B523" s="115" t="s">
        <v>408</v>
      </c>
    </row>
    <row r="524" spans="1:2" ht="15.75" thickBot="1" x14ac:dyDescent="0.3">
      <c r="A524" s="117" t="s">
        <v>1409</v>
      </c>
      <c r="B524" s="118" t="s">
        <v>1406</v>
      </c>
    </row>
    <row r="525" spans="1:2" ht="15.75" thickBot="1" x14ac:dyDescent="0.3">
      <c r="A525" s="114" t="s">
        <v>927</v>
      </c>
      <c r="B525" s="115" t="s">
        <v>408</v>
      </c>
    </row>
    <row r="526" spans="1:2" ht="15.75" thickBot="1" x14ac:dyDescent="0.3">
      <c r="A526" s="114" t="s">
        <v>928</v>
      </c>
      <c r="B526" s="115" t="s">
        <v>415</v>
      </c>
    </row>
    <row r="527" spans="1:2" ht="15.75" thickBot="1" x14ac:dyDescent="0.3">
      <c r="A527" s="114" t="s">
        <v>929</v>
      </c>
      <c r="B527" s="115" t="s">
        <v>408</v>
      </c>
    </row>
    <row r="528" spans="1:2" ht="15.75" thickBot="1" x14ac:dyDescent="0.3">
      <c r="A528" s="114" t="s">
        <v>930</v>
      </c>
      <c r="B528" s="115" t="s">
        <v>443</v>
      </c>
    </row>
    <row r="529" spans="1:2" ht="15.75" thickBot="1" x14ac:dyDescent="0.3">
      <c r="A529" s="114" t="s">
        <v>931</v>
      </c>
      <c r="B529" s="115" t="s">
        <v>420</v>
      </c>
    </row>
    <row r="530" spans="1:2" ht="15.75" thickBot="1" x14ac:dyDescent="0.3">
      <c r="A530" s="114" t="s">
        <v>932</v>
      </c>
      <c r="B530" s="115" t="s">
        <v>418</v>
      </c>
    </row>
    <row r="531" spans="1:2" ht="15.75" thickBot="1" x14ac:dyDescent="0.3">
      <c r="A531" s="114" t="s">
        <v>933</v>
      </c>
      <c r="B531" s="115" t="s">
        <v>415</v>
      </c>
    </row>
    <row r="532" spans="1:2" ht="15.75" thickBot="1" x14ac:dyDescent="0.3">
      <c r="A532" s="114" t="s">
        <v>934</v>
      </c>
      <c r="B532" s="115" t="s">
        <v>443</v>
      </c>
    </row>
    <row r="533" spans="1:2" ht="15.75" thickBot="1" x14ac:dyDescent="0.3">
      <c r="A533" s="114" t="s">
        <v>935</v>
      </c>
      <c r="B533" s="115" t="s">
        <v>404</v>
      </c>
    </row>
    <row r="534" spans="1:2" ht="15.75" thickBot="1" x14ac:dyDescent="0.3">
      <c r="A534" s="114" t="s">
        <v>936</v>
      </c>
      <c r="B534" s="115" t="s">
        <v>408</v>
      </c>
    </row>
    <row r="535" spans="1:2" ht="15.75" thickBot="1" x14ac:dyDescent="0.3">
      <c r="A535" s="114" t="s">
        <v>937</v>
      </c>
      <c r="B535" s="115" t="s">
        <v>404</v>
      </c>
    </row>
    <row r="536" spans="1:2" ht="15.75" thickBot="1" x14ac:dyDescent="0.3">
      <c r="A536" s="114" t="s">
        <v>938</v>
      </c>
      <c r="B536" s="115" t="s">
        <v>404</v>
      </c>
    </row>
    <row r="537" spans="1:2" ht="15.75" thickBot="1" x14ac:dyDescent="0.3">
      <c r="A537" s="114" t="s">
        <v>939</v>
      </c>
      <c r="B537" s="115" t="s">
        <v>404</v>
      </c>
    </row>
    <row r="538" spans="1:2" ht="15.75" thickBot="1" x14ac:dyDescent="0.3">
      <c r="A538" s="114" t="s">
        <v>940</v>
      </c>
      <c r="B538" s="115" t="s">
        <v>404</v>
      </c>
    </row>
    <row r="539" spans="1:2" ht="15.75" thickBot="1" x14ac:dyDescent="0.3">
      <c r="A539" s="114" t="s">
        <v>941</v>
      </c>
      <c r="B539" s="115" t="s">
        <v>443</v>
      </c>
    </row>
    <row r="540" spans="1:2" ht="15.75" thickBot="1" x14ac:dyDescent="0.3">
      <c r="A540" s="114" t="s">
        <v>942</v>
      </c>
      <c r="B540" s="115" t="s">
        <v>408</v>
      </c>
    </row>
    <row r="541" spans="1:2" ht="15.75" thickBot="1" x14ac:dyDescent="0.3">
      <c r="A541" s="114" t="s">
        <v>943</v>
      </c>
      <c r="B541" s="115" t="s">
        <v>404</v>
      </c>
    </row>
    <row r="542" spans="1:2" ht="15.75" thickBot="1" x14ac:dyDescent="0.3">
      <c r="A542" s="114" t="s">
        <v>944</v>
      </c>
      <c r="B542" s="115" t="s">
        <v>443</v>
      </c>
    </row>
    <row r="543" spans="1:2" ht="15.75" thickBot="1" x14ac:dyDescent="0.3">
      <c r="A543" s="114" t="s">
        <v>945</v>
      </c>
      <c r="B543" s="115" t="s">
        <v>408</v>
      </c>
    </row>
    <row r="544" spans="1:2" ht="15.75" thickBot="1" x14ac:dyDescent="0.3">
      <c r="A544" s="114" t="s">
        <v>946</v>
      </c>
      <c r="B544" s="115" t="s">
        <v>418</v>
      </c>
    </row>
    <row r="545" spans="1:2" ht="15.75" thickBot="1" x14ac:dyDescent="0.3">
      <c r="A545" s="114" t="s">
        <v>947</v>
      </c>
      <c r="B545" s="115" t="s">
        <v>415</v>
      </c>
    </row>
    <row r="546" spans="1:2" ht="15.75" thickBot="1" x14ac:dyDescent="0.3">
      <c r="A546" s="114" t="s">
        <v>948</v>
      </c>
      <c r="B546" s="115" t="s">
        <v>408</v>
      </c>
    </row>
    <row r="547" spans="1:2" ht="15.75" thickBot="1" x14ac:dyDescent="0.3">
      <c r="A547" s="114" t="s">
        <v>949</v>
      </c>
      <c r="B547" s="115" t="s">
        <v>408</v>
      </c>
    </row>
    <row r="548" spans="1:2" ht="15.75" thickBot="1" x14ac:dyDescent="0.3">
      <c r="A548" s="114" t="s">
        <v>950</v>
      </c>
      <c r="B548" s="115" t="s">
        <v>404</v>
      </c>
    </row>
    <row r="549" spans="1:2" ht="15.75" thickBot="1" x14ac:dyDescent="0.3">
      <c r="A549" s="114" t="s">
        <v>951</v>
      </c>
      <c r="B549" s="115" t="s">
        <v>415</v>
      </c>
    </row>
    <row r="550" spans="1:2" ht="15.75" thickBot="1" x14ac:dyDescent="0.3">
      <c r="A550" s="114" t="s">
        <v>952</v>
      </c>
      <c r="B550" s="115" t="s">
        <v>404</v>
      </c>
    </row>
    <row r="551" spans="1:2" ht="15.75" thickBot="1" x14ac:dyDescent="0.3">
      <c r="A551" s="114" t="s">
        <v>953</v>
      </c>
      <c r="B551" s="115" t="s">
        <v>408</v>
      </c>
    </row>
    <row r="552" spans="1:2" ht="15.75" thickBot="1" x14ac:dyDescent="0.3">
      <c r="A552" s="114" t="s">
        <v>954</v>
      </c>
      <c r="B552" s="115" t="s">
        <v>404</v>
      </c>
    </row>
    <row r="553" spans="1:2" ht="15.75" thickBot="1" x14ac:dyDescent="0.3">
      <c r="A553" s="114" t="s">
        <v>955</v>
      </c>
      <c r="B553" s="115" t="s">
        <v>408</v>
      </c>
    </row>
    <row r="554" spans="1:2" ht="15.75" thickBot="1" x14ac:dyDescent="0.3">
      <c r="A554" s="114" t="s">
        <v>956</v>
      </c>
      <c r="B554" s="115" t="s">
        <v>408</v>
      </c>
    </row>
    <row r="555" spans="1:2" ht="15.75" thickBot="1" x14ac:dyDescent="0.3">
      <c r="A555" s="114" t="s">
        <v>957</v>
      </c>
      <c r="B555" s="115" t="s">
        <v>408</v>
      </c>
    </row>
    <row r="556" spans="1:2" ht="15.75" thickBot="1" x14ac:dyDescent="0.3">
      <c r="A556" s="114" t="s">
        <v>958</v>
      </c>
      <c r="B556" s="115" t="s">
        <v>408</v>
      </c>
    </row>
    <row r="557" spans="1:2" ht="15.75" thickBot="1" x14ac:dyDescent="0.3">
      <c r="A557" s="114" t="s">
        <v>959</v>
      </c>
      <c r="B557" s="115" t="s">
        <v>404</v>
      </c>
    </row>
    <row r="558" spans="1:2" ht="15.75" thickBot="1" x14ac:dyDescent="0.3">
      <c r="A558" s="114" t="s">
        <v>960</v>
      </c>
      <c r="B558" s="115" t="s">
        <v>408</v>
      </c>
    </row>
    <row r="559" spans="1:2" ht="15.75" thickBot="1" x14ac:dyDescent="0.3">
      <c r="A559" s="114" t="s">
        <v>961</v>
      </c>
      <c r="B559" s="115" t="s">
        <v>408</v>
      </c>
    </row>
    <row r="560" spans="1:2" ht="15.75" thickBot="1" x14ac:dyDescent="0.3">
      <c r="A560" s="114" t="s">
        <v>962</v>
      </c>
      <c r="B560" s="115" t="s">
        <v>408</v>
      </c>
    </row>
    <row r="561" spans="1:2" ht="15.75" thickBot="1" x14ac:dyDescent="0.3">
      <c r="A561" s="114" t="s">
        <v>963</v>
      </c>
      <c r="B561" s="115" t="s">
        <v>408</v>
      </c>
    </row>
    <row r="562" spans="1:2" ht="15.75" thickBot="1" x14ac:dyDescent="0.3">
      <c r="A562" s="114" t="s">
        <v>964</v>
      </c>
      <c r="B562" s="115" t="s">
        <v>408</v>
      </c>
    </row>
    <row r="563" spans="1:2" ht="15.75" thickBot="1" x14ac:dyDescent="0.3">
      <c r="A563" s="114" t="s">
        <v>965</v>
      </c>
      <c r="B563" s="115" t="s">
        <v>408</v>
      </c>
    </row>
    <row r="564" spans="1:2" ht="15.75" thickBot="1" x14ac:dyDescent="0.3">
      <c r="A564" s="114" t="s">
        <v>966</v>
      </c>
      <c r="B564" s="115" t="s">
        <v>408</v>
      </c>
    </row>
    <row r="565" spans="1:2" ht="15.75" thickBot="1" x14ac:dyDescent="0.3">
      <c r="A565" s="114" t="s">
        <v>967</v>
      </c>
      <c r="B565" s="115" t="s">
        <v>404</v>
      </c>
    </row>
    <row r="566" spans="1:2" ht="15.75" thickBot="1" x14ac:dyDescent="0.3">
      <c r="A566" s="114" t="s">
        <v>968</v>
      </c>
      <c r="B566" s="115" t="s">
        <v>404</v>
      </c>
    </row>
    <row r="567" spans="1:2" ht="15.75" thickBot="1" x14ac:dyDescent="0.3">
      <c r="A567" s="114" t="s">
        <v>969</v>
      </c>
      <c r="B567" s="115" t="s">
        <v>404</v>
      </c>
    </row>
    <row r="568" spans="1:2" ht="15.75" thickBot="1" x14ac:dyDescent="0.3">
      <c r="A568" s="114" t="s">
        <v>970</v>
      </c>
      <c r="B568" s="115" t="s">
        <v>420</v>
      </c>
    </row>
    <row r="569" spans="1:2" ht="15.75" thickBot="1" x14ac:dyDescent="0.3">
      <c r="A569" s="114" t="s">
        <v>971</v>
      </c>
      <c r="B569" s="115" t="s">
        <v>404</v>
      </c>
    </row>
    <row r="570" spans="1:2" ht="15.75" thickBot="1" x14ac:dyDescent="0.3">
      <c r="A570" s="114" t="s">
        <v>972</v>
      </c>
      <c r="B570" s="115" t="s">
        <v>408</v>
      </c>
    </row>
    <row r="571" spans="1:2" ht="15.75" thickBot="1" x14ac:dyDescent="0.3">
      <c r="A571" s="114" t="s">
        <v>973</v>
      </c>
      <c r="B571" s="115" t="s">
        <v>408</v>
      </c>
    </row>
    <row r="572" spans="1:2" ht="15.75" thickBot="1" x14ac:dyDescent="0.3">
      <c r="A572" s="114" t="s">
        <v>974</v>
      </c>
      <c r="B572" s="115" t="s">
        <v>408</v>
      </c>
    </row>
    <row r="573" spans="1:2" ht="15.75" thickBot="1" x14ac:dyDescent="0.3">
      <c r="A573" s="114" t="s">
        <v>975</v>
      </c>
      <c r="B573" s="115" t="s">
        <v>408</v>
      </c>
    </row>
    <row r="574" spans="1:2" ht="15.75" thickBot="1" x14ac:dyDescent="0.3">
      <c r="A574" s="114" t="s">
        <v>976</v>
      </c>
      <c r="B574" s="115" t="s">
        <v>408</v>
      </c>
    </row>
    <row r="575" spans="1:2" ht="15.75" thickBot="1" x14ac:dyDescent="0.3">
      <c r="A575" s="114" t="s">
        <v>977</v>
      </c>
      <c r="B575" s="115" t="s">
        <v>408</v>
      </c>
    </row>
    <row r="576" spans="1:2" ht="15.75" thickBot="1" x14ac:dyDescent="0.3">
      <c r="A576" s="114" t="s">
        <v>978</v>
      </c>
      <c r="B576" s="115" t="s">
        <v>408</v>
      </c>
    </row>
    <row r="577" spans="1:2" ht="15.75" thickBot="1" x14ac:dyDescent="0.3">
      <c r="A577" s="114" t="s">
        <v>979</v>
      </c>
      <c r="B577" s="115" t="s">
        <v>408</v>
      </c>
    </row>
    <row r="578" spans="1:2" ht="15.75" thickBot="1" x14ac:dyDescent="0.3">
      <c r="A578" s="114" t="s">
        <v>980</v>
      </c>
      <c r="B578" s="115" t="s">
        <v>404</v>
      </c>
    </row>
    <row r="579" spans="1:2" ht="15.75" thickBot="1" x14ac:dyDescent="0.3">
      <c r="A579" s="114" t="s">
        <v>981</v>
      </c>
      <c r="B579" s="115" t="s">
        <v>408</v>
      </c>
    </row>
    <row r="580" spans="1:2" ht="15.75" thickBot="1" x14ac:dyDescent="0.3">
      <c r="A580" s="114" t="s">
        <v>982</v>
      </c>
      <c r="B580" s="115" t="s">
        <v>408</v>
      </c>
    </row>
    <row r="581" spans="1:2" ht="15.75" thickBot="1" x14ac:dyDescent="0.3">
      <c r="A581" s="114" t="s">
        <v>983</v>
      </c>
      <c r="B581" s="115" t="s">
        <v>408</v>
      </c>
    </row>
    <row r="582" spans="1:2" ht="15.75" thickBot="1" x14ac:dyDescent="0.3">
      <c r="A582" s="114" t="s">
        <v>984</v>
      </c>
      <c r="B582" s="115" t="s">
        <v>404</v>
      </c>
    </row>
    <row r="583" spans="1:2" ht="15.75" thickBot="1" x14ac:dyDescent="0.3">
      <c r="A583" s="114" t="s">
        <v>985</v>
      </c>
      <c r="B583" s="115" t="s">
        <v>404</v>
      </c>
    </row>
    <row r="584" spans="1:2" ht="15.75" thickBot="1" x14ac:dyDescent="0.3">
      <c r="A584" s="114" t="s">
        <v>986</v>
      </c>
      <c r="B584" s="115" t="s">
        <v>408</v>
      </c>
    </row>
    <row r="585" spans="1:2" ht="15.75" thickBot="1" x14ac:dyDescent="0.3">
      <c r="A585" s="114" t="s">
        <v>987</v>
      </c>
      <c r="B585" s="115" t="s">
        <v>420</v>
      </c>
    </row>
    <row r="586" spans="1:2" ht="15.75" thickBot="1" x14ac:dyDescent="0.3">
      <c r="A586" s="114" t="s">
        <v>988</v>
      </c>
      <c r="B586" s="115" t="s">
        <v>420</v>
      </c>
    </row>
    <row r="587" spans="1:2" ht="15.75" thickBot="1" x14ac:dyDescent="0.3">
      <c r="A587" s="114" t="s">
        <v>989</v>
      </c>
      <c r="B587" s="115" t="s">
        <v>408</v>
      </c>
    </row>
    <row r="588" spans="1:2" ht="15.75" thickBot="1" x14ac:dyDescent="0.3">
      <c r="A588" s="114" t="s">
        <v>990</v>
      </c>
      <c r="B588" s="115" t="s">
        <v>408</v>
      </c>
    </row>
    <row r="589" spans="1:2" ht="15.75" thickBot="1" x14ac:dyDescent="0.3">
      <c r="A589" s="114" t="s">
        <v>991</v>
      </c>
      <c r="B589" s="115" t="s">
        <v>408</v>
      </c>
    </row>
    <row r="590" spans="1:2" ht="15.75" thickBot="1" x14ac:dyDescent="0.3">
      <c r="A590" s="114" t="s">
        <v>992</v>
      </c>
      <c r="B590" s="115" t="s">
        <v>404</v>
      </c>
    </row>
    <row r="591" spans="1:2" ht="15.75" thickBot="1" x14ac:dyDescent="0.3">
      <c r="A591" s="114" t="s">
        <v>993</v>
      </c>
      <c r="B591" s="115" t="s">
        <v>404</v>
      </c>
    </row>
    <row r="592" spans="1:2" ht="15.75" thickBot="1" x14ac:dyDescent="0.3">
      <c r="A592" s="114" t="s">
        <v>994</v>
      </c>
      <c r="B592" s="115" t="s">
        <v>408</v>
      </c>
    </row>
    <row r="593" spans="1:2" ht="15.75" thickBot="1" x14ac:dyDescent="0.3">
      <c r="A593" s="114" t="s">
        <v>995</v>
      </c>
      <c r="B593" s="115" t="s">
        <v>404</v>
      </c>
    </row>
    <row r="594" spans="1:2" ht="15.75" thickBot="1" x14ac:dyDescent="0.3">
      <c r="A594" s="114" t="s">
        <v>996</v>
      </c>
      <c r="B594" s="115" t="s">
        <v>404</v>
      </c>
    </row>
    <row r="595" spans="1:2" ht="15.75" thickBot="1" x14ac:dyDescent="0.3">
      <c r="A595" s="114" t="s">
        <v>997</v>
      </c>
      <c r="B595" s="115" t="s">
        <v>404</v>
      </c>
    </row>
    <row r="596" spans="1:2" ht="15.75" thickBot="1" x14ac:dyDescent="0.3">
      <c r="A596" s="114" t="s">
        <v>998</v>
      </c>
      <c r="B596" s="115" t="s">
        <v>404</v>
      </c>
    </row>
    <row r="597" spans="1:2" ht="15.75" thickBot="1" x14ac:dyDescent="0.3">
      <c r="A597" s="114" t="s">
        <v>1410</v>
      </c>
      <c r="B597" s="115" t="s">
        <v>523</v>
      </c>
    </row>
    <row r="598" spans="1:2" ht="15.75" thickBot="1" x14ac:dyDescent="0.3">
      <c r="A598" s="114" t="s">
        <v>999</v>
      </c>
      <c r="B598" s="115" t="s">
        <v>420</v>
      </c>
    </row>
    <row r="599" spans="1:2" ht="15.75" thickBot="1" x14ac:dyDescent="0.3">
      <c r="A599" s="114" t="s">
        <v>1000</v>
      </c>
      <c r="B599" s="115" t="s">
        <v>420</v>
      </c>
    </row>
    <row r="600" spans="1:2" ht="15.75" thickBot="1" x14ac:dyDescent="0.3">
      <c r="A600" s="114" t="s">
        <v>1001</v>
      </c>
      <c r="B600" s="115" t="s">
        <v>420</v>
      </c>
    </row>
    <row r="601" spans="1:2" ht="15.75" thickBot="1" x14ac:dyDescent="0.3">
      <c r="A601" s="114" t="s">
        <v>1002</v>
      </c>
      <c r="B601" s="115" t="s">
        <v>443</v>
      </c>
    </row>
    <row r="602" spans="1:2" ht="15.75" thickBot="1" x14ac:dyDescent="0.3">
      <c r="A602" s="114" t="s">
        <v>1003</v>
      </c>
      <c r="B602" s="115" t="s">
        <v>415</v>
      </c>
    </row>
    <row r="603" spans="1:2" ht="15.75" thickBot="1" x14ac:dyDescent="0.3">
      <c r="A603" s="114" t="s">
        <v>1004</v>
      </c>
      <c r="B603" s="115" t="s">
        <v>408</v>
      </c>
    </row>
    <row r="604" spans="1:2" ht="15.75" thickBot="1" x14ac:dyDescent="0.3">
      <c r="A604" s="60" t="s">
        <v>1005</v>
      </c>
      <c r="B604" s="115" t="s">
        <v>443</v>
      </c>
    </row>
    <row r="605" spans="1:2" ht="15.75" thickBot="1" x14ac:dyDescent="0.3">
      <c r="A605" s="114" t="s">
        <v>1006</v>
      </c>
      <c r="B605" s="115" t="s">
        <v>443</v>
      </c>
    </row>
    <row r="606" spans="1:2" ht="15.75" thickBot="1" x14ac:dyDescent="0.3">
      <c r="A606" s="114" t="s">
        <v>1007</v>
      </c>
      <c r="B606" s="115" t="s">
        <v>430</v>
      </c>
    </row>
    <row r="607" spans="1:2" ht="15.75" thickBot="1" x14ac:dyDescent="0.3">
      <c r="A607" s="114" t="s">
        <v>1008</v>
      </c>
      <c r="B607" s="115" t="s">
        <v>408</v>
      </c>
    </row>
    <row r="608" spans="1:2" ht="15.75" thickBot="1" x14ac:dyDescent="0.3">
      <c r="A608" s="114" t="s">
        <v>1009</v>
      </c>
      <c r="B608" s="115" t="s">
        <v>430</v>
      </c>
    </row>
    <row r="609" spans="1:2" ht="15.75" thickBot="1" x14ac:dyDescent="0.3">
      <c r="A609" s="114" t="s">
        <v>1010</v>
      </c>
      <c r="B609" s="115" t="s">
        <v>430</v>
      </c>
    </row>
    <row r="610" spans="1:2" ht="15.75" thickBot="1" x14ac:dyDescent="0.3">
      <c r="A610" s="114" t="s">
        <v>1011</v>
      </c>
      <c r="B610" s="115" t="s">
        <v>408</v>
      </c>
    </row>
    <row r="611" spans="1:2" ht="15.75" thickBot="1" x14ac:dyDescent="0.3">
      <c r="A611" s="114" t="s">
        <v>1012</v>
      </c>
      <c r="B611" s="115" t="s">
        <v>430</v>
      </c>
    </row>
    <row r="612" spans="1:2" ht="15.75" thickBot="1" x14ac:dyDescent="0.3">
      <c r="A612" s="114" t="s">
        <v>1013</v>
      </c>
      <c r="B612" s="115" t="s">
        <v>420</v>
      </c>
    </row>
    <row r="613" spans="1:2" ht="15.75" thickBot="1" x14ac:dyDescent="0.3">
      <c r="A613" s="114" t="s">
        <v>1014</v>
      </c>
      <c r="B613" s="115" t="s">
        <v>443</v>
      </c>
    </row>
    <row r="614" spans="1:2" ht="15.75" thickBot="1" x14ac:dyDescent="0.3">
      <c r="A614" s="114" t="s">
        <v>1015</v>
      </c>
      <c r="B614" s="115" t="s">
        <v>404</v>
      </c>
    </row>
    <row r="615" spans="1:2" ht="15.75" thickBot="1" x14ac:dyDescent="0.3">
      <c r="A615" s="114" t="s">
        <v>1016</v>
      </c>
      <c r="B615" s="115" t="s">
        <v>408</v>
      </c>
    </row>
    <row r="616" spans="1:2" ht="15.75" thickBot="1" x14ac:dyDescent="0.3">
      <c r="A616" s="114" t="s">
        <v>1017</v>
      </c>
      <c r="B616" s="115" t="s">
        <v>404</v>
      </c>
    </row>
    <row r="617" spans="1:2" ht="15.75" thickBot="1" x14ac:dyDescent="0.3">
      <c r="A617" s="114" t="s">
        <v>1018</v>
      </c>
      <c r="B617" s="115" t="s">
        <v>404</v>
      </c>
    </row>
    <row r="618" spans="1:2" ht="15.75" thickBot="1" x14ac:dyDescent="0.3">
      <c r="A618" s="114" t="s">
        <v>1019</v>
      </c>
      <c r="B618" s="115" t="s">
        <v>420</v>
      </c>
    </row>
    <row r="619" spans="1:2" ht="15.75" thickBot="1" x14ac:dyDescent="0.3">
      <c r="A619" s="114" t="s">
        <v>1020</v>
      </c>
      <c r="B619" s="115" t="s">
        <v>404</v>
      </c>
    </row>
    <row r="620" spans="1:2" ht="15.75" thickBot="1" x14ac:dyDescent="0.3">
      <c r="A620" s="114" t="s">
        <v>1021</v>
      </c>
      <c r="B620" s="115" t="s">
        <v>404</v>
      </c>
    </row>
    <row r="621" spans="1:2" ht="15.75" thickBot="1" x14ac:dyDescent="0.3">
      <c r="A621" s="114" t="s">
        <v>1022</v>
      </c>
      <c r="B621" s="115" t="s">
        <v>1023</v>
      </c>
    </row>
    <row r="622" spans="1:2" ht="15.75" thickBot="1" x14ac:dyDescent="0.3">
      <c r="A622" s="114" t="s">
        <v>1025</v>
      </c>
      <c r="B622" s="115" t="s">
        <v>404</v>
      </c>
    </row>
    <row r="623" spans="1:2" ht="15.75" thickBot="1" x14ac:dyDescent="0.3">
      <c r="A623" s="117" t="s">
        <v>1411</v>
      </c>
      <c r="B623" s="118" t="s">
        <v>1024</v>
      </c>
    </row>
    <row r="624" spans="1:2" ht="15.75" thickBot="1" x14ac:dyDescent="0.3">
      <c r="A624" s="114" t="s">
        <v>1026</v>
      </c>
      <c r="B624" s="115" t="s">
        <v>443</v>
      </c>
    </row>
    <row r="625" spans="1:2" ht="15.75" thickBot="1" x14ac:dyDescent="0.3">
      <c r="A625" s="114" t="s">
        <v>1027</v>
      </c>
      <c r="B625" s="115" t="s">
        <v>443</v>
      </c>
    </row>
    <row r="626" spans="1:2" ht="15.75" thickBot="1" x14ac:dyDescent="0.3">
      <c r="A626" s="117" t="s">
        <v>1412</v>
      </c>
      <c r="B626" s="118" t="s">
        <v>1413</v>
      </c>
    </row>
    <row r="627" spans="1:2" ht="15.75" thickBot="1" x14ac:dyDescent="0.3">
      <c r="A627" s="114" t="s">
        <v>1028</v>
      </c>
      <c r="B627" s="115" t="s">
        <v>443</v>
      </c>
    </row>
    <row r="628" spans="1:2" ht="15.75" thickBot="1" x14ac:dyDescent="0.3">
      <c r="A628" s="114" t="s">
        <v>1029</v>
      </c>
      <c r="B628" s="115" t="s">
        <v>404</v>
      </c>
    </row>
    <row r="629" spans="1:2" ht="15.75" thickBot="1" x14ac:dyDescent="0.3">
      <c r="A629" s="114" t="s">
        <v>1030</v>
      </c>
      <c r="B629" s="115" t="s">
        <v>408</v>
      </c>
    </row>
    <row r="630" spans="1:2" ht="15.75" thickBot="1" x14ac:dyDescent="0.3">
      <c r="A630" s="114" t="s">
        <v>1031</v>
      </c>
      <c r="B630" s="115" t="s">
        <v>443</v>
      </c>
    </row>
    <row r="631" spans="1:2" ht="15.75" thickBot="1" x14ac:dyDescent="0.3">
      <c r="A631" s="114" t="s">
        <v>1032</v>
      </c>
      <c r="B631" s="115" t="s">
        <v>404</v>
      </c>
    </row>
    <row r="632" spans="1:2" ht="15.75" thickBot="1" x14ac:dyDescent="0.3">
      <c r="A632" s="114" t="s">
        <v>1033</v>
      </c>
      <c r="B632" s="115" t="s">
        <v>404</v>
      </c>
    </row>
    <row r="633" spans="1:2" ht="15.75" thickBot="1" x14ac:dyDescent="0.3">
      <c r="A633" s="114" t="s">
        <v>1034</v>
      </c>
      <c r="B633" s="115" t="s">
        <v>404</v>
      </c>
    </row>
    <row r="634" spans="1:2" ht="15.75" thickBot="1" x14ac:dyDescent="0.3">
      <c r="A634" s="114" t="s">
        <v>1035</v>
      </c>
      <c r="B634" s="115" t="s">
        <v>418</v>
      </c>
    </row>
    <row r="635" spans="1:2" ht="15.75" thickBot="1" x14ac:dyDescent="0.3">
      <c r="A635" s="114" t="s">
        <v>1036</v>
      </c>
      <c r="B635" s="115" t="s">
        <v>408</v>
      </c>
    </row>
    <row r="636" spans="1:2" ht="15.75" thickBot="1" x14ac:dyDescent="0.3">
      <c r="A636" s="114" t="s">
        <v>1037</v>
      </c>
      <c r="B636" s="115" t="s">
        <v>408</v>
      </c>
    </row>
    <row r="637" spans="1:2" ht="15.75" thickBot="1" x14ac:dyDescent="0.3">
      <c r="A637" s="114" t="s">
        <v>1038</v>
      </c>
      <c r="B637" s="115" t="s">
        <v>523</v>
      </c>
    </row>
    <row r="638" spans="1:2" ht="15.75" thickBot="1" x14ac:dyDescent="0.3">
      <c r="A638" s="114" t="s">
        <v>1039</v>
      </c>
      <c r="B638" s="115" t="s">
        <v>404</v>
      </c>
    </row>
    <row r="639" spans="1:2" ht="15.75" thickBot="1" x14ac:dyDescent="0.3">
      <c r="A639" s="114" t="s">
        <v>1040</v>
      </c>
      <c r="B639" s="115" t="s">
        <v>404</v>
      </c>
    </row>
    <row r="640" spans="1:2" ht="15.75" thickBot="1" x14ac:dyDescent="0.3">
      <c r="A640" s="114" t="s">
        <v>1041</v>
      </c>
      <c r="B640" s="115" t="s">
        <v>415</v>
      </c>
    </row>
    <row r="641" spans="1:2" ht="15.75" thickBot="1" x14ac:dyDescent="0.3">
      <c r="A641" s="114" t="s">
        <v>1042</v>
      </c>
      <c r="B641" s="115" t="s">
        <v>404</v>
      </c>
    </row>
    <row r="642" spans="1:2" ht="15.75" thickBot="1" x14ac:dyDescent="0.3">
      <c r="A642" s="114" t="s">
        <v>1043</v>
      </c>
      <c r="B642" s="115" t="s">
        <v>404</v>
      </c>
    </row>
    <row r="643" spans="1:2" ht="15.75" thickBot="1" x14ac:dyDescent="0.3">
      <c r="A643" s="114" t="s">
        <v>1044</v>
      </c>
      <c r="B643" s="115" t="s">
        <v>404</v>
      </c>
    </row>
    <row r="644" spans="1:2" ht="15.75" thickBot="1" x14ac:dyDescent="0.3">
      <c r="A644" s="114" t="s">
        <v>1045</v>
      </c>
      <c r="B644" s="115" t="s">
        <v>404</v>
      </c>
    </row>
    <row r="645" spans="1:2" ht="15.75" thickBot="1" x14ac:dyDescent="0.3">
      <c r="A645" s="114" t="s">
        <v>1046</v>
      </c>
      <c r="B645" s="115" t="s">
        <v>404</v>
      </c>
    </row>
    <row r="646" spans="1:2" ht="15.75" thickBot="1" x14ac:dyDescent="0.3">
      <c r="A646" s="114" t="s">
        <v>1047</v>
      </c>
      <c r="B646" s="115" t="s">
        <v>404</v>
      </c>
    </row>
    <row r="647" spans="1:2" ht="15.75" thickBot="1" x14ac:dyDescent="0.3">
      <c r="A647" s="114" t="s">
        <v>1048</v>
      </c>
      <c r="B647" s="115" t="s">
        <v>523</v>
      </c>
    </row>
    <row r="648" spans="1:2" ht="15.75" thickBot="1" x14ac:dyDescent="0.3">
      <c r="A648" s="114" t="s">
        <v>1049</v>
      </c>
      <c r="B648" s="115" t="s">
        <v>404</v>
      </c>
    </row>
    <row r="649" spans="1:2" ht="15.75" thickBot="1" x14ac:dyDescent="0.3">
      <c r="A649" s="114" t="s">
        <v>1050</v>
      </c>
      <c r="B649" s="115" t="s">
        <v>404</v>
      </c>
    </row>
    <row r="650" spans="1:2" ht="15.75" thickBot="1" x14ac:dyDescent="0.3">
      <c r="A650" s="114" t="s">
        <v>1051</v>
      </c>
      <c r="B650" s="115" t="s">
        <v>523</v>
      </c>
    </row>
    <row r="651" spans="1:2" ht="15.75" thickBot="1" x14ac:dyDescent="0.3">
      <c r="A651" s="114" t="s">
        <v>1052</v>
      </c>
      <c r="B651" s="115" t="s">
        <v>404</v>
      </c>
    </row>
    <row r="652" spans="1:2" ht="15.75" thickBot="1" x14ac:dyDescent="0.3">
      <c r="A652" s="114" t="s">
        <v>1053</v>
      </c>
      <c r="B652" s="115" t="s">
        <v>404</v>
      </c>
    </row>
    <row r="653" spans="1:2" ht="15.75" thickBot="1" x14ac:dyDescent="0.3">
      <c r="A653" s="114" t="s">
        <v>1054</v>
      </c>
      <c r="B653" s="115" t="s">
        <v>523</v>
      </c>
    </row>
    <row r="654" spans="1:2" ht="15.75" thickBot="1" x14ac:dyDescent="0.3">
      <c r="A654" s="114" t="s">
        <v>1055</v>
      </c>
      <c r="B654" s="115" t="s">
        <v>404</v>
      </c>
    </row>
    <row r="655" spans="1:2" ht="15.75" thickBot="1" x14ac:dyDescent="0.3">
      <c r="A655" s="114" t="s">
        <v>1056</v>
      </c>
      <c r="B655" s="115" t="s">
        <v>404</v>
      </c>
    </row>
    <row r="656" spans="1:2" ht="15.75" thickBot="1" x14ac:dyDescent="0.3">
      <c r="A656" s="114" t="s">
        <v>1057</v>
      </c>
      <c r="B656" s="115" t="s">
        <v>404</v>
      </c>
    </row>
    <row r="657" spans="1:2" ht="15.75" thickBot="1" x14ac:dyDescent="0.3">
      <c r="A657" s="114" t="s">
        <v>1058</v>
      </c>
      <c r="B657" s="115" t="s">
        <v>404</v>
      </c>
    </row>
    <row r="658" spans="1:2" ht="15.75" thickBot="1" x14ac:dyDescent="0.3">
      <c r="A658" s="114" t="s">
        <v>1059</v>
      </c>
      <c r="B658" s="115" t="s">
        <v>404</v>
      </c>
    </row>
    <row r="659" spans="1:2" ht="15.75" thickBot="1" x14ac:dyDescent="0.3">
      <c r="A659" s="114" t="s">
        <v>1060</v>
      </c>
      <c r="B659" s="115" t="s">
        <v>404</v>
      </c>
    </row>
    <row r="660" spans="1:2" ht="15.75" thickBot="1" x14ac:dyDescent="0.3">
      <c r="A660" s="114" t="s">
        <v>1061</v>
      </c>
      <c r="B660" s="115" t="s">
        <v>404</v>
      </c>
    </row>
    <row r="661" spans="1:2" ht="15.75" thickBot="1" x14ac:dyDescent="0.3">
      <c r="A661" s="114" t="s">
        <v>1062</v>
      </c>
      <c r="B661" s="115" t="s">
        <v>523</v>
      </c>
    </row>
    <row r="662" spans="1:2" ht="15.75" thickBot="1" x14ac:dyDescent="0.3">
      <c r="A662" s="114" t="s">
        <v>1063</v>
      </c>
      <c r="B662" s="115" t="s">
        <v>404</v>
      </c>
    </row>
    <row r="663" spans="1:2" ht="15.75" thickBot="1" x14ac:dyDescent="0.3">
      <c r="A663" s="114" t="s">
        <v>1064</v>
      </c>
      <c r="B663" s="115" t="s">
        <v>404</v>
      </c>
    </row>
    <row r="664" spans="1:2" ht="15.75" thickBot="1" x14ac:dyDescent="0.3">
      <c r="A664" s="114" t="s">
        <v>1065</v>
      </c>
      <c r="B664" s="115" t="s">
        <v>404</v>
      </c>
    </row>
    <row r="665" spans="1:2" ht="15.75" thickBot="1" x14ac:dyDescent="0.3">
      <c r="A665" s="114" t="s">
        <v>1066</v>
      </c>
      <c r="B665" s="115" t="s">
        <v>404</v>
      </c>
    </row>
    <row r="666" spans="1:2" ht="15.75" thickBot="1" x14ac:dyDescent="0.3">
      <c r="A666" s="114" t="s">
        <v>1067</v>
      </c>
      <c r="B666" s="115" t="s">
        <v>404</v>
      </c>
    </row>
    <row r="667" spans="1:2" ht="15.75" thickBot="1" x14ac:dyDescent="0.3">
      <c r="A667" s="114" t="s">
        <v>1068</v>
      </c>
      <c r="B667" s="115" t="s">
        <v>404</v>
      </c>
    </row>
    <row r="668" spans="1:2" ht="15.75" thickBot="1" x14ac:dyDescent="0.3">
      <c r="A668" s="114" t="s">
        <v>1069</v>
      </c>
      <c r="B668" s="115" t="s">
        <v>404</v>
      </c>
    </row>
    <row r="669" spans="1:2" ht="15.75" thickBot="1" x14ac:dyDescent="0.3">
      <c r="A669" s="114" t="s">
        <v>1070</v>
      </c>
      <c r="B669" s="115" t="s">
        <v>404</v>
      </c>
    </row>
    <row r="670" spans="1:2" ht="15.75" thickBot="1" x14ac:dyDescent="0.3">
      <c r="A670" s="114" t="s">
        <v>1071</v>
      </c>
      <c r="B670" s="115" t="s">
        <v>404</v>
      </c>
    </row>
    <row r="671" spans="1:2" ht="15.75" thickBot="1" x14ac:dyDescent="0.3">
      <c r="A671" s="114" t="s">
        <v>1072</v>
      </c>
      <c r="B671" s="115" t="s">
        <v>404</v>
      </c>
    </row>
    <row r="672" spans="1:2" ht="15.75" thickBot="1" x14ac:dyDescent="0.3">
      <c r="A672" s="114" t="s">
        <v>1073</v>
      </c>
      <c r="B672" s="115" t="s">
        <v>404</v>
      </c>
    </row>
    <row r="673" spans="1:2" ht="15.75" thickBot="1" x14ac:dyDescent="0.3">
      <c r="A673" s="114" t="s">
        <v>1074</v>
      </c>
      <c r="B673" s="115" t="s">
        <v>404</v>
      </c>
    </row>
    <row r="674" spans="1:2" ht="15.75" thickBot="1" x14ac:dyDescent="0.3">
      <c r="A674" s="114" t="s">
        <v>1075</v>
      </c>
      <c r="B674" s="115" t="s">
        <v>404</v>
      </c>
    </row>
    <row r="675" spans="1:2" ht="15.75" thickBot="1" x14ac:dyDescent="0.3">
      <c r="A675" s="114" t="s">
        <v>1076</v>
      </c>
      <c r="B675" s="115" t="s">
        <v>523</v>
      </c>
    </row>
    <row r="676" spans="1:2" ht="15.75" thickBot="1" x14ac:dyDescent="0.3">
      <c r="A676" s="114" t="s">
        <v>1077</v>
      </c>
      <c r="B676" s="115" t="s">
        <v>404</v>
      </c>
    </row>
    <row r="677" spans="1:2" ht="15.75" thickBot="1" x14ac:dyDescent="0.3">
      <c r="A677" s="114" t="s">
        <v>1078</v>
      </c>
      <c r="B677" s="115" t="s">
        <v>404</v>
      </c>
    </row>
    <row r="678" spans="1:2" ht="15.75" thickBot="1" x14ac:dyDescent="0.3">
      <c r="A678" s="114" t="s">
        <v>1079</v>
      </c>
      <c r="B678" s="115" t="s">
        <v>404</v>
      </c>
    </row>
    <row r="679" spans="1:2" ht="15.75" thickBot="1" x14ac:dyDescent="0.3">
      <c r="A679" s="114" t="s">
        <v>1080</v>
      </c>
      <c r="B679" s="115" t="s">
        <v>404</v>
      </c>
    </row>
    <row r="680" spans="1:2" ht="15.75" thickBot="1" x14ac:dyDescent="0.3">
      <c r="A680" s="114" t="s">
        <v>1081</v>
      </c>
      <c r="B680" s="115" t="s">
        <v>404</v>
      </c>
    </row>
    <row r="681" spans="1:2" ht="15.75" thickBot="1" x14ac:dyDescent="0.3">
      <c r="A681" s="114" t="s">
        <v>1082</v>
      </c>
      <c r="B681" s="115" t="s">
        <v>404</v>
      </c>
    </row>
    <row r="682" spans="1:2" ht="15.75" thickBot="1" x14ac:dyDescent="0.3">
      <c r="A682" s="114" t="s">
        <v>1083</v>
      </c>
      <c r="B682" s="115" t="s">
        <v>404</v>
      </c>
    </row>
    <row r="683" spans="1:2" ht="15.75" thickBot="1" x14ac:dyDescent="0.3">
      <c r="A683" s="114" t="s">
        <v>1084</v>
      </c>
      <c r="B683" s="115" t="s">
        <v>404</v>
      </c>
    </row>
    <row r="684" spans="1:2" ht="15.75" thickBot="1" x14ac:dyDescent="0.3">
      <c r="A684" s="114" t="s">
        <v>1085</v>
      </c>
      <c r="B684" s="115" t="s">
        <v>404</v>
      </c>
    </row>
    <row r="685" spans="1:2" ht="15.75" thickBot="1" x14ac:dyDescent="0.3">
      <c r="A685" s="114" t="s">
        <v>1086</v>
      </c>
      <c r="B685" s="115" t="s">
        <v>523</v>
      </c>
    </row>
    <row r="686" spans="1:2" ht="15.75" thickBot="1" x14ac:dyDescent="0.3">
      <c r="A686" s="114" t="s">
        <v>1087</v>
      </c>
      <c r="B686" s="115" t="s">
        <v>523</v>
      </c>
    </row>
    <row r="687" spans="1:2" ht="15.75" thickBot="1" x14ac:dyDescent="0.3">
      <c r="A687" s="114" t="s">
        <v>1088</v>
      </c>
      <c r="B687" s="115" t="s">
        <v>404</v>
      </c>
    </row>
    <row r="688" spans="1:2" ht="15.75" thickBot="1" x14ac:dyDescent="0.3">
      <c r="A688" s="114" t="s">
        <v>1089</v>
      </c>
      <c r="B688" s="115" t="s">
        <v>404</v>
      </c>
    </row>
    <row r="689" spans="1:2" ht="15.75" thickBot="1" x14ac:dyDescent="0.3">
      <c r="A689" s="114" t="s">
        <v>1090</v>
      </c>
      <c r="B689" s="115" t="s">
        <v>408</v>
      </c>
    </row>
    <row r="690" spans="1:2" ht="15.75" thickBot="1" x14ac:dyDescent="0.3">
      <c r="A690" s="114" t="s">
        <v>1091</v>
      </c>
      <c r="B690" s="115" t="s">
        <v>415</v>
      </c>
    </row>
    <row r="691" spans="1:2" ht="15.75" thickBot="1" x14ac:dyDescent="0.3">
      <c r="A691" s="114" t="s">
        <v>1092</v>
      </c>
      <c r="B691" s="115" t="s">
        <v>420</v>
      </c>
    </row>
    <row r="692" spans="1:2" ht="15.75" thickBot="1" x14ac:dyDescent="0.3">
      <c r="A692" s="114" t="s">
        <v>1093</v>
      </c>
      <c r="B692" s="115" t="s">
        <v>430</v>
      </c>
    </row>
    <row r="693" spans="1:2" ht="15.75" thickBot="1" x14ac:dyDescent="0.3">
      <c r="A693" s="114" t="s">
        <v>1094</v>
      </c>
      <c r="B693" s="115" t="s">
        <v>443</v>
      </c>
    </row>
    <row r="694" spans="1:2" ht="15.75" thickBot="1" x14ac:dyDescent="0.3">
      <c r="A694" s="114" t="s">
        <v>1095</v>
      </c>
      <c r="B694" s="115" t="s">
        <v>430</v>
      </c>
    </row>
    <row r="695" spans="1:2" ht="15.75" thickBot="1" x14ac:dyDescent="0.3">
      <c r="A695" s="114" t="s">
        <v>1096</v>
      </c>
      <c r="B695" s="115" t="s">
        <v>430</v>
      </c>
    </row>
    <row r="696" spans="1:2" ht="15.75" thickBot="1" x14ac:dyDescent="0.3">
      <c r="A696" s="114" t="s">
        <v>1097</v>
      </c>
      <c r="B696" s="115" t="s">
        <v>430</v>
      </c>
    </row>
    <row r="697" spans="1:2" ht="15.75" thickBot="1" x14ac:dyDescent="0.3">
      <c r="A697" s="114" t="s">
        <v>1098</v>
      </c>
      <c r="B697" s="115" t="s">
        <v>408</v>
      </c>
    </row>
    <row r="698" spans="1:2" ht="15.75" thickBot="1" x14ac:dyDescent="0.3">
      <c r="A698" s="114" t="s">
        <v>1099</v>
      </c>
      <c r="B698" s="115" t="s">
        <v>443</v>
      </c>
    </row>
    <row r="699" spans="1:2" ht="15.75" thickBot="1" x14ac:dyDescent="0.3">
      <c r="A699" s="114" t="s">
        <v>1100</v>
      </c>
      <c r="B699" s="115" t="s">
        <v>430</v>
      </c>
    </row>
    <row r="700" spans="1:2" ht="15.75" thickBot="1" x14ac:dyDescent="0.3">
      <c r="A700" s="114" t="s">
        <v>1101</v>
      </c>
      <c r="B700" s="115" t="s">
        <v>420</v>
      </c>
    </row>
    <row r="701" spans="1:2" ht="15.75" thickBot="1" x14ac:dyDescent="0.3">
      <c r="A701" s="114" t="s">
        <v>1102</v>
      </c>
      <c r="B701" s="115" t="s">
        <v>420</v>
      </c>
    </row>
    <row r="702" spans="1:2" ht="15.75" thickBot="1" x14ac:dyDescent="0.3">
      <c r="A702" s="114" t="s">
        <v>1103</v>
      </c>
      <c r="B702" s="115" t="s">
        <v>415</v>
      </c>
    </row>
    <row r="703" spans="1:2" ht="15.75" thickBot="1" x14ac:dyDescent="0.3">
      <c r="A703" s="114" t="s">
        <v>1104</v>
      </c>
      <c r="B703" s="115" t="s">
        <v>408</v>
      </c>
    </row>
    <row r="704" spans="1:2" ht="15.75" thickBot="1" x14ac:dyDescent="0.3">
      <c r="A704" s="114" t="s">
        <v>1105</v>
      </c>
      <c r="B704" s="115" t="s">
        <v>408</v>
      </c>
    </row>
    <row r="705" spans="1:2" ht="15.75" thickBot="1" x14ac:dyDescent="0.3">
      <c r="A705" s="114" t="s">
        <v>1106</v>
      </c>
      <c r="B705" s="115" t="s">
        <v>408</v>
      </c>
    </row>
    <row r="706" spans="1:2" ht="15.75" thickBot="1" x14ac:dyDescent="0.3">
      <c r="A706" s="114" t="s">
        <v>1107</v>
      </c>
      <c r="B706" s="115" t="s">
        <v>430</v>
      </c>
    </row>
    <row r="707" spans="1:2" ht="15.75" thickBot="1" x14ac:dyDescent="0.3">
      <c r="A707" s="114" t="s">
        <v>1108</v>
      </c>
      <c r="B707" s="115" t="s">
        <v>443</v>
      </c>
    </row>
    <row r="708" spans="1:2" ht="15.75" thickBot="1" x14ac:dyDescent="0.3">
      <c r="A708" s="114" t="s">
        <v>1109</v>
      </c>
      <c r="B708" s="115" t="s">
        <v>430</v>
      </c>
    </row>
    <row r="709" spans="1:2" ht="15.75" thickBot="1" x14ac:dyDescent="0.3">
      <c r="A709" s="114" t="s">
        <v>1110</v>
      </c>
      <c r="B709" s="115" t="s">
        <v>430</v>
      </c>
    </row>
    <row r="710" spans="1:2" ht="15.75" thickBot="1" x14ac:dyDescent="0.3">
      <c r="A710" s="114" t="s">
        <v>1111</v>
      </c>
      <c r="B710" s="115" t="s">
        <v>430</v>
      </c>
    </row>
    <row r="711" spans="1:2" ht="15.75" thickBot="1" x14ac:dyDescent="0.3">
      <c r="A711" s="114" t="s">
        <v>1112</v>
      </c>
      <c r="B711" s="115" t="s">
        <v>430</v>
      </c>
    </row>
    <row r="712" spans="1:2" ht="15.75" thickBot="1" x14ac:dyDescent="0.3">
      <c r="A712" s="114" t="s">
        <v>1113</v>
      </c>
      <c r="B712" s="115" t="s">
        <v>443</v>
      </c>
    </row>
    <row r="713" spans="1:2" ht="15.75" thickBot="1" x14ac:dyDescent="0.3">
      <c r="A713" s="114" t="s">
        <v>1114</v>
      </c>
      <c r="B713" s="115" t="s">
        <v>430</v>
      </c>
    </row>
    <row r="714" spans="1:2" ht="15.75" thickBot="1" x14ac:dyDescent="0.3">
      <c r="A714" s="114" t="s">
        <v>1115</v>
      </c>
      <c r="B714" s="115" t="s">
        <v>443</v>
      </c>
    </row>
    <row r="715" spans="1:2" ht="15.75" thickBot="1" x14ac:dyDescent="0.3">
      <c r="A715" s="114" t="s">
        <v>1116</v>
      </c>
      <c r="B715" s="115" t="s">
        <v>415</v>
      </c>
    </row>
    <row r="716" spans="1:2" ht="15.75" thickBot="1" x14ac:dyDescent="0.3">
      <c r="A716" s="114" t="s">
        <v>1117</v>
      </c>
      <c r="B716" s="115" t="s">
        <v>430</v>
      </c>
    </row>
    <row r="717" spans="1:2" ht="15.75" thickBot="1" x14ac:dyDescent="0.3">
      <c r="A717" s="114" t="s">
        <v>1118</v>
      </c>
      <c r="B717" s="115" t="s">
        <v>443</v>
      </c>
    </row>
    <row r="718" spans="1:2" ht="15.75" thickBot="1" x14ac:dyDescent="0.3">
      <c r="A718" s="114" t="s">
        <v>1119</v>
      </c>
      <c r="B718" s="115" t="s">
        <v>415</v>
      </c>
    </row>
    <row r="719" spans="1:2" ht="15.75" thickBot="1" x14ac:dyDescent="0.3">
      <c r="A719" s="114" t="s">
        <v>1120</v>
      </c>
      <c r="B719" s="115" t="s">
        <v>443</v>
      </c>
    </row>
    <row r="720" spans="1:2" ht="15.75" thickBot="1" x14ac:dyDescent="0.3">
      <c r="A720" s="114" t="s">
        <v>1121</v>
      </c>
      <c r="B720" s="115" t="s">
        <v>415</v>
      </c>
    </row>
    <row r="721" spans="1:2" ht="15.75" thickBot="1" x14ac:dyDescent="0.3">
      <c r="A721" s="114" t="s">
        <v>1122</v>
      </c>
      <c r="B721" s="115" t="s">
        <v>443</v>
      </c>
    </row>
    <row r="722" spans="1:2" ht="15.75" thickBot="1" x14ac:dyDescent="0.3">
      <c r="A722" s="114" t="s">
        <v>1123</v>
      </c>
      <c r="B722" s="115" t="s">
        <v>420</v>
      </c>
    </row>
    <row r="723" spans="1:2" ht="15.75" thickBot="1" x14ac:dyDescent="0.3">
      <c r="A723" s="114" t="s">
        <v>1124</v>
      </c>
      <c r="B723" s="115" t="s">
        <v>408</v>
      </c>
    </row>
    <row r="724" spans="1:2" ht="15.75" thickBot="1" x14ac:dyDescent="0.3">
      <c r="A724" s="114" t="s">
        <v>1125</v>
      </c>
      <c r="B724" s="115" t="s">
        <v>443</v>
      </c>
    </row>
    <row r="725" spans="1:2" ht="15.75" thickBot="1" x14ac:dyDescent="0.3">
      <c r="A725" s="114" t="s">
        <v>1126</v>
      </c>
      <c r="B725" s="115" t="s">
        <v>420</v>
      </c>
    </row>
    <row r="726" spans="1:2" ht="15.75" thickBot="1" x14ac:dyDescent="0.3">
      <c r="A726" s="114" t="s">
        <v>1127</v>
      </c>
      <c r="B726" s="115" t="s">
        <v>443</v>
      </c>
    </row>
    <row r="727" spans="1:2" ht="15.75" thickBot="1" x14ac:dyDescent="0.3">
      <c r="A727" s="114" t="s">
        <v>1128</v>
      </c>
      <c r="B727" s="115" t="s">
        <v>443</v>
      </c>
    </row>
    <row r="728" spans="1:2" ht="15.75" thickBot="1" x14ac:dyDescent="0.3">
      <c r="A728" s="114" t="s">
        <v>1129</v>
      </c>
      <c r="B728" s="115" t="s">
        <v>443</v>
      </c>
    </row>
    <row r="729" spans="1:2" ht="15.75" thickBot="1" x14ac:dyDescent="0.3">
      <c r="A729" s="114" t="s">
        <v>1130</v>
      </c>
      <c r="B729" s="115" t="s">
        <v>420</v>
      </c>
    </row>
    <row r="730" spans="1:2" ht="15.75" thickBot="1" x14ac:dyDescent="0.3">
      <c r="A730" s="114" t="s">
        <v>1131</v>
      </c>
      <c r="B730" s="115" t="s">
        <v>443</v>
      </c>
    </row>
    <row r="731" spans="1:2" ht="15.75" thickBot="1" x14ac:dyDescent="0.3">
      <c r="A731" s="114" t="s">
        <v>1132</v>
      </c>
      <c r="B731" s="115" t="s">
        <v>404</v>
      </c>
    </row>
    <row r="732" spans="1:2" ht="15.75" thickBot="1" x14ac:dyDescent="0.3">
      <c r="A732" s="114" t="s">
        <v>1133</v>
      </c>
      <c r="B732" s="115" t="s">
        <v>408</v>
      </c>
    </row>
    <row r="733" spans="1:2" ht="15.75" thickBot="1" x14ac:dyDescent="0.3">
      <c r="A733" s="114" t="s">
        <v>1134</v>
      </c>
      <c r="B733" s="115" t="s">
        <v>420</v>
      </c>
    </row>
    <row r="734" spans="1:2" ht="15.75" thickBot="1" x14ac:dyDescent="0.3">
      <c r="A734" s="114" t="s">
        <v>1135</v>
      </c>
      <c r="B734" s="115" t="s">
        <v>404</v>
      </c>
    </row>
    <row r="735" spans="1:2" ht="15.75" thickBot="1" x14ac:dyDescent="0.3">
      <c r="A735" s="114" t="s">
        <v>1136</v>
      </c>
      <c r="B735" s="115" t="s">
        <v>404</v>
      </c>
    </row>
    <row r="736" spans="1:2" ht="15.75" thickBot="1" x14ac:dyDescent="0.3">
      <c r="A736" s="114" t="s">
        <v>1137</v>
      </c>
      <c r="B736" s="115" t="s">
        <v>408</v>
      </c>
    </row>
    <row r="737" spans="1:2" ht="15.75" thickBot="1" x14ac:dyDescent="0.3">
      <c r="A737" s="114" t="s">
        <v>1138</v>
      </c>
      <c r="B737" s="115" t="s">
        <v>420</v>
      </c>
    </row>
    <row r="738" spans="1:2" ht="15.75" thickBot="1" x14ac:dyDescent="0.3">
      <c r="A738" s="114" t="s">
        <v>1139</v>
      </c>
      <c r="B738" s="115" t="s">
        <v>404</v>
      </c>
    </row>
    <row r="739" spans="1:2" ht="15.75" thickBot="1" x14ac:dyDescent="0.3">
      <c r="A739" s="114" t="s">
        <v>1140</v>
      </c>
      <c r="B739" s="115" t="s">
        <v>408</v>
      </c>
    </row>
    <row r="740" spans="1:2" ht="15.75" thickBot="1" x14ac:dyDescent="0.3">
      <c r="A740" s="114" t="s">
        <v>1141</v>
      </c>
      <c r="B740" s="115" t="s">
        <v>420</v>
      </c>
    </row>
    <row r="741" spans="1:2" ht="15.75" thickBot="1" x14ac:dyDescent="0.3">
      <c r="A741" s="114" t="s">
        <v>1142</v>
      </c>
      <c r="B741" s="115" t="s">
        <v>408</v>
      </c>
    </row>
    <row r="742" spans="1:2" ht="15.75" thickBot="1" x14ac:dyDescent="0.3">
      <c r="A742" s="114" t="s">
        <v>1143</v>
      </c>
      <c r="B742" s="115" t="s">
        <v>408</v>
      </c>
    </row>
    <row r="743" spans="1:2" ht="15.75" thickBot="1" x14ac:dyDescent="0.3">
      <c r="A743" s="114" t="s">
        <v>1144</v>
      </c>
      <c r="B743" s="115" t="s">
        <v>523</v>
      </c>
    </row>
    <row r="744" spans="1:2" ht="15.75" thickBot="1" x14ac:dyDescent="0.3">
      <c r="A744" s="114" t="s">
        <v>1145</v>
      </c>
      <c r="B744" s="115" t="s">
        <v>404</v>
      </c>
    </row>
    <row r="745" spans="1:2" ht="15.75" thickBot="1" x14ac:dyDescent="0.3">
      <c r="A745" s="114" t="s">
        <v>1146</v>
      </c>
      <c r="B745" s="115" t="s">
        <v>415</v>
      </c>
    </row>
    <row r="746" spans="1:2" ht="15.75" thickBot="1" x14ac:dyDescent="0.3">
      <c r="A746" s="114" t="s">
        <v>1147</v>
      </c>
      <c r="B746" s="115" t="s">
        <v>404</v>
      </c>
    </row>
    <row r="747" spans="1:2" ht="15.75" thickBot="1" x14ac:dyDescent="0.3">
      <c r="A747" s="114" t="s">
        <v>1148</v>
      </c>
      <c r="B747" s="115" t="s">
        <v>443</v>
      </c>
    </row>
    <row r="748" spans="1:2" ht="15.75" thickBot="1" x14ac:dyDescent="0.3">
      <c r="A748" s="114" t="s">
        <v>1149</v>
      </c>
      <c r="B748" s="115" t="s">
        <v>404</v>
      </c>
    </row>
    <row r="749" spans="1:2" ht="15.75" thickBot="1" x14ac:dyDescent="0.3">
      <c r="A749" s="114" t="s">
        <v>1150</v>
      </c>
      <c r="B749" s="115" t="s">
        <v>404</v>
      </c>
    </row>
    <row r="750" spans="1:2" ht="15.75" thickBot="1" x14ac:dyDescent="0.3">
      <c r="A750" s="114" t="s">
        <v>1151</v>
      </c>
      <c r="B750" s="115" t="s">
        <v>408</v>
      </c>
    </row>
    <row r="751" spans="1:2" ht="15.75" thickBot="1" x14ac:dyDescent="0.3">
      <c r="A751" s="114" t="s">
        <v>1152</v>
      </c>
      <c r="B751" s="115" t="s">
        <v>404</v>
      </c>
    </row>
    <row r="752" spans="1:2" ht="15.75" thickBot="1" x14ac:dyDescent="0.3">
      <c r="A752" s="114" t="s">
        <v>1153</v>
      </c>
      <c r="B752" s="115" t="s">
        <v>443</v>
      </c>
    </row>
    <row r="753" spans="1:2" ht="15.75" thickBot="1" x14ac:dyDescent="0.3">
      <c r="A753" s="114" t="s">
        <v>1154</v>
      </c>
      <c r="B753" s="115" t="s">
        <v>404</v>
      </c>
    </row>
    <row r="754" spans="1:2" ht="15.75" thickBot="1" x14ac:dyDescent="0.3">
      <c r="A754" s="114" t="s">
        <v>1155</v>
      </c>
      <c r="B754" s="115" t="s">
        <v>404</v>
      </c>
    </row>
    <row r="755" spans="1:2" ht="15.75" thickBot="1" x14ac:dyDescent="0.3">
      <c r="A755" s="114" t="s">
        <v>1156</v>
      </c>
      <c r="B755" s="115" t="s">
        <v>415</v>
      </c>
    </row>
    <row r="756" spans="1:2" ht="15.75" thickBot="1" x14ac:dyDescent="0.3">
      <c r="A756" s="114" t="s">
        <v>1157</v>
      </c>
      <c r="B756" s="115" t="s">
        <v>415</v>
      </c>
    </row>
    <row r="757" spans="1:2" ht="15.75" thickBot="1" x14ac:dyDescent="0.3">
      <c r="A757" s="114" t="s">
        <v>1158</v>
      </c>
      <c r="B757" s="115" t="s">
        <v>404</v>
      </c>
    </row>
    <row r="758" spans="1:2" ht="15.75" thickBot="1" x14ac:dyDescent="0.3">
      <c r="A758" s="114" t="s">
        <v>1159</v>
      </c>
      <c r="B758" s="115" t="s">
        <v>443</v>
      </c>
    </row>
    <row r="759" spans="1:2" ht="15.75" thickBot="1" x14ac:dyDescent="0.3">
      <c r="A759" s="114" t="s">
        <v>1160</v>
      </c>
      <c r="B759" s="115" t="s">
        <v>443</v>
      </c>
    </row>
    <row r="760" spans="1:2" ht="15.75" thickBot="1" x14ac:dyDescent="0.3">
      <c r="A760" s="114" t="s">
        <v>1161</v>
      </c>
      <c r="B760" s="115" t="s">
        <v>408</v>
      </c>
    </row>
    <row r="761" spans="1:2" ht="15.75" thickBot="1" x14ac:dyDescent="0.3">
      <c r="A761" s="114" t="s">
        <v>1162</v>
      </c>
      <c r="B761" s="115" t="s">
        <v>408</v>
      </c>
    </row>
    <row r="762" spans="1:2" ht="15.75" thickBot="1" x14ac:dyDescent="0.3">
      <c r="A762" s="114" t="s">
        <v>1163</v>
      </c>
      <c r="B762" s="115" t="s">
        <v>408</v>
      </c>
    </row>
    <row r="763" spans="1:2" ht="15.75" thickBot="1" x14ac:dyDescent="0.3">
      <c r="A763" s="114" t="s">
        <v>1164</v>
      </c>
      <c r="B763" s="115" t="s">
        <v>408</v>
      </c>
    </row>
    <row r="764" spans="1:2" ht="15.75" thickBot="1" x14ac:dyDescent="0.3">
      <c r="A764" s="114" t="s">
        <v>1165</v>
      </c>
      <c r="B764" s="115" t="s">
        <v>408</v>
      </c>
    </row>
    <row r="765" spans="1:2" ht="15.75" thickBot="1" x14ac:dyDescent="0.3">
      <c r="A765" s="114" t="s">
        <v>1166</v>
      </c>
      <c r="B765" s="115" t="s">
        <v>408</v>
      </c>
    </row>
    <row r="766" spans="1:2" ht="15.75" thickBot="1" x14ac:dyDescent="0.3">
      <c r="A766" s="114" t="s">
        <v>1167</v>
      </c>
      <c r="B766" s="115" t="s">
        <v>408</v>
      </c>
    </row>
    <row r="767" spans="1:2" ht="15.75" thickBot="1" x14ac:dyDescent="0.3">
      <c r="A767" s="114" t="s">
        <v>1168</v>
      </c>
      <c r="B767" s="115" t="s">
        <v>408</v>
      </c>
    </row>
    <row r="768" spans="1:2" ht="15.75" thickBot="1" x14ac:dyDescent="0.3">
      <c r="A768" s="114" t="s">
        <v>1169</v>
      </c>
      <c r="B768" s="115" t="s">
        <v>408</v>
      </c>
    </row>
    <row r="769" spans="1:2" ht="15.75" thickBot="1" x14ac:dyDescent="0.3">
      <c r="A769" s="114" t="s">
        <v>1170</v>
      </c>
      <c r="B769" s="115" t="s">
        <v>415</v>
      </c>
    </row>
    <row r="770" spans="1:2" ht="15.75" thickBot="1" x14ac:dyDescent="0.3">
      <c r="A770" s="114" t="s">
        <v>1171</v>
      </c>
      <c r="B770" s="115" t="s">
        <v>404</v>
      </c>
    </row>
    <row r="771" spans="1:2" ht="15.75" thickBot="1" x14ac:dyDescent="0.3">
      <c r="A771" s="114" t="s">
        <v>1172</v>
      </c>
      <c r="B771" s="115" t="s">
        <v>443</v>
      </c>
    </row>
    <row r="772" spans="1:2" ht="15.75" thickBot="1" x14ac:dyDescent="0.3">
      <c r="A772" s="114" t="s">
        <v>1173</v>
      </c>
      <c r="B772" s="115" t="s">
        <v>404</v>
      </c>
    </row>
    <row r="773" spans="1:2" ht="15.75" thickBot="1" x14ac:dyDescent="0.3">
      <c r="A773" s="114" t="s">
        <v>1174</v>
      </c>
      <c r="B773" s="115" t="s">
        <v>415</v>
      </c>
    </row>
    <row r="774" spans="1:2" ht="15.75" thickBot="1" x14ac:dyDescent="0.3">
      <c r="A774" s="114" t="s">
        <v>1175</v>
      </c>
      <c r="B774" s="115" t="s">
        <v>420</v>
      </c>
    </row>
    <row r="775" spans="1:2" ht="15.75" thickBot="1" x14ac:dyDescent="0.3">
      <c r="A775" s="114" t="s">
        <v>1176</v>
      </c>
      <c r="B775" s="115" t="s">
        <v>404</v>
      </c>
    </row>
    <row r="776" spans="1:2" ht="15.75" thickBot="1" x14ac:dyDescent="0.3">
      <c r="A776" s="114" t="s">
        <v>1177</v>
      </c>
      <c r="B776" s="115" t="s">
        <v>420</v>
      </c>
    </row>
    <row r="777" spans="1:2" ht="15.75" thickBot="1" x14ac:dyDescent="0.3">
      <c r="A777" s="114" t="s">
        <v>1178</v>
      </c>
      <c r="B777" s="115" t="s">
        <v>420</v>
      </c>
    </row>
    <row r="778" spans="1:2" ht="15.75" thickBot="1" x14ac:dyDescent="0.3">
      <c r="A778" s="114" t="s">
        <v>1179</v>
      </c>
      <c r="B778" s="115" t="s">
        <v>420</v>
      </c>
    </row>
    <row r="779" spans="1:2" ht="15.75" thickBot="1" x14ac:dyDescent="0.3">
      <c r="A779" s="114" t="s">
        <v>1180</v>
      </c>
      <c r="B779" s="115" t="s">
        <v>430</v>
      </c>
    </row>
    <row r="780" spans="1:2" ht="15.75" thickBot="1" x14ac:dyDescent="0.3">
      <c r="A780" s="114" t="s">
        <v>1181</v>
      </c>
      <c r="B780" s="115" t="s">
        <v>420</v>
      </c>
    </row>
    <row r="781" spans="1:2" ht="15.75" thickBot="1" x14ac:dyDescent="0.3">
      <c r="A781" s="114" t="s">
        <v>1182</v>
      </c>
      <c r="B781" s="115" t="s">
        <v>408</v>
      </c>
    </row>
    <row r="782" spans="1:2" ht="15.75" thickBot="1" x14ac:dyDescent="0.3">
      <c r="A782" s="114" t="s">
        <v>1183</v>
      </c>
      <c r="B782" s="115" t="s">
        <v>430</v>
      </c>
    </row>
    <row r="783" spans="1:2" ht="15.75" thickBot="1" x14ac:dyDescent="0.3">
      <c r="A783" s="114" t="s">
        <v>1184</v>
      </c>
      <c r="B783" s="115" t="s">
        <v>404</v>
      </c>
    </row>
    <row r="784" spans="1:2" ht="15.75" thickBot="1" x14ac:dyDescent="0.3">
      <c r="A784" s="114" t="s">
        <v>1185</v>
      </c>
      <c r="B784" s="115" t="s">
        <v>404</v>
      </c>
    </row>
    <row r="785" spans="1:2" ht="15.75" thickBot="1" x14ac:dyDescent="0.3">
      <c r="A785" s="114" t="s">
        <v>1186</v>
      </c>
      <c r="B785" s="115" t="s">
        <v>404</v>
      </c>
    </row>
    <row r="786" spans="1:2" ht="15.75" thickBot="1" x14ac:dyDescent="0.3">
      <c r="A786" s="114" t="s">
        <v>1187</v>
      </c>
      <c r="B786" s="115" t="s">
        <v>408</v>
      </c>
    </row>
    <row r="787" spans="1:2" ht="15.75" thickBot="1" x14ac:dyDescent="0.3">
      <c r="A787" s="114" t="s">
        <v>1188</v>
      </c>
      <c r="B787" s="115" t="s">
        <v>404</v>
      </c>
    </row>
    <row r="788" spans="1:2" ht="15.75" thickBot="1" x14ac:dyDescent="0.3">
      <c r="A788" s="114" t="s">
        <v>1189</v>
      </c>
      <c r="B788" s="115" t="s">
        <v>443</v>
      </c>
    </row>
    <row r="789" spans="1:2" ht="15.75" thickBot="1" x14ac:dyDescent="0.3">
      <c r="A789" s="114" t="s">
        <v>1190</v>
      </c>
      <c r="B789" s="115" t="s">
        <v>443</v>
      </c>
    </row>
    <row r="790" spans="1:2" ht="15.75" thickBot="1" x14ac:dyDescent="0.3">
      <c r="A790" s="114" t="s">
        <v>1191</v>
      </c>
      <c r="B790" s="115" t="s">
        <v>404</v>
      </c>
    </row>
    <row r="791" spans="1:2" ht="15.75" thickBot="1" x14ac:dyDescent="0.3">
      <c r="A791" s="114" t="s">
        <v>1192</v>
      </c>
      <c r="B791" s="115" t="s">
        <v>415</v>
      </c>
    </row>
    <row r="792" spans="1:2" ht="15.75" thickBot="1" x14ac:dyDescent="0.3">
      <c r="A792" s="114" t="s">
        <v>1193</v>
      </c>
      <c r="B792" s="115" t="s">
        <v>420</v>
      </c>
    </row>
    <row r="793" spans="1:2" ht="15.75" thickBot="1" x14ac:dyDescent="0.3">
      <c r="A793" s="114" t="s">
        <v>1194</v>
      </c>
      <c r="B793" s="115" t="s">
        <v>420</v>
      </c>
    </row>
    <row r="794" spans="1:2" ht="15.75" thickBot="1" x14ac:dyDescent="0.3">
      <c r="A794" s="114" t="s">
        <v>1195</v>
      </c>
      <c r="B794" s="115" t="s">
        <v>420</v>
      </c>
    </row>
    <row r="795" spans="1:2" ht="15.75" thickBot="1" x14ac:dyDescent="0.3">
      <c r="A795" s="114" t="s">
        <v>1196</v>
      </c>
      <c r="B795" s="115" t="s">
        <v>420</v>
      </c>
    </row>
    <row r="796" spans="1:2" ht="15.75" thickBot="1" x14ac:dyDescent="0.3">
      <c r="A796" s="114" t="s">
        <v>1197</v>
      </c>
      <c r="B796" s="115" t="s">
        <v>420</v>
      </c>
    </row>
    <row r="797" spans="1:2" ht="15.75" thickBot="1" x14ac:dyDescent="0.3">
      <c r="A797" s="114" t="s">
        <v>1198</v>
      </c>
      <c r="B797" s="115" t="s">
        <v>420</v>
      </c>
    </row>
    <row r="798" spans="1:2" ht="15.75" thickBot="1" x14ac:dyDescent="0.3">
      <c r="A798" s="114" t="s">
        <v>1199</v>
      </c>
      <c r="B798" s="115" t="s">
        <v>420</v>
      </c>
    </row>
    <row r="799" spans="1:2" ht="15.75" thickBot="1" x14ac:dyDescent="0.3">
      <c r="A799" s="114" t="s">
        <v>1200</v>
      </c>
      <c r="B799" s="115" t="s">
        <v>430</v>
      </c>
    </row>
    <row r="800" spans="1:2" ht="15.75" thickBot="1" x14ac:dyDescent="0.3">
      <c r="A800" s="114" t="s">
        <v>1201</v>
      </c>
      <c r="B800" s="115" t="s">
        <v>415</v>
      </c>
    </row>
    <row r="801" spans="1:2" ht="15.75" thickBot="1" x14ac:dyDescent="0.3">
      <c r="A801" s="114" t="s">
        <v>1202</v>
      </c>
      <c r="B801" s="115" t="s">
        <v>408</v>
      </c>
    </row>
    <row r="802" spans="1:2" ht="15.75" thickBot="1" x14ac:dyDescent="0.3">
      <c r="A802" s="114" t="s">
        <v>1203</v>
      </c>
      <c r="B802" s="115" t="s">
        <v>408</v>
      </c>
    </row>
    <row r="803" spans="1:2" ht="15.75" thickBot="1" x14ac:dyDescent="0.3">
      <c r="A803" s="114" t="s">
        <v>1204</v>
      </c>
      <c r="B803" s="115" t="s">
        <v>408</v>
      </c>
    </row>
    <row r="804" spans="1:2" ht="15.75" thickBot="1" x14ac:dyDescent="0.3">
      <c r="A804" s="114" t="s">
        <v>1205</v>
      </c>
      <c r="B804" s="115" t="s">
        <v>408</v>
      </c>
    </row>
    <row r="805" spans="1:2" ht="15.75" thickBot="1" x14ac:dyDescent="0.3">
      <c r="A805" s="114" t="s">
        <v>1206</v>
      </c>
      <c r="B805" s="115" t="s">
        <v>408</v>
      </c>
    </row>
    <row r="806" spans="1:2" ht="15.75" thickBot="1" x14ac:dyDescent="0.3">
      <c r="A806" s="114" t="s">
        <v>1207</v>
      </c>
      <c r="B806" s="115" t="s">
        <v>415</v>
      </c>
    </row>
    <row r="807" spans="1:2" ht="15.75" thickBot="1" x14ac:dyDescent="0.3">
      <c r="A807" s="114" t="s">
        <v>1208</v>
      </c>
      <c r="B807" s="115" t="s">
        <v>404</v>
      </c>
    </row>
    <row r="808" spans="1:2" ht="15.75" thickBot="1" x14ac:dyDescent="0.3">
      <c r="A808" s="114" t="s">
        <v>1209</v>
      </c>
      <c r="B808" s="115" t="s">
        <v>415</v>
      </c>
    </row>
    <row r="809" spans="1:2" ht="15.75" thickBot="1" x14ac:dyDescent="0.3">
      <c r="A809" s="114" t="s">
        <v>1210</v>
      </c>
      <c r="B809" s="115" t="s">
        <v>408</v>
      </c>
    </row>
    <row r="810" spans="1:2" ht="15.75" thickBot="1" x14ac:dyDescent="0.3">
      <c r="A810" s="114" t="s">
        <v>1211</v>
      </c>
      <c r="B810" s="115" t="s">
        <v>404</v>
      </c>
    </row>
    <row r="811" spans="1:2" ht="15.75" thickBot="1" x14ac:dyDescent="0.3">
      <c r="A811" s="114" t="s">
        <v>1212</v>
      </c>
      <c r="B811" s="115" t="s">
        <v>408</v>
      </c>
    </row>
    <row r="812" spans="1:2" ht="15.75" thickBot="1" x14ac:dyDescent="0.3">
      <c r="A812" s="114" t="s">
        <v>1213</v>
      </c>
      <c r="B812" s="115" t="s">
        <v>408</v>
      </c>
    </row>
    <row r="813" spans="1:2" ht="15.75" thickBot="1" x14ac:dyDescent="0.3">
      <c r="A813" s="114" t="s">
        <v>1214</v>
      </c>
      <c r="B813" s="115" t="s">
        <v>408</v>
      </c>
    </row>
    <row r="814" spans="1:2" ht="15.75" thickBot="1" x14ac:dyDescent="0.3">
      <c r="A814" s="114" t="s">
        <v>1215</v>
      </c>
      <c r="B814" s="115" t="s">
        <v>404</v>
      </c>
    </row>
    <row r="815" spans="1:2" ht="15.75" thickBot="1" x14ac:dyDescent="0.3">
      <c r="A815" s="114" t="s">
        <v>1216</v>
      </c>
      <c r="B815" s="115" t="s">
        <v>404</v>
      </c>
    </row>
    <row r="816" spans="1:2" ht="15.75" thickBot="1" x14ac:dyDescent="0.3">
      <c r="A816" s="114" t="s">
        <v>1217</v>
      </c>
      <c r="B816" s="115" t="s">
        <v>408</v>
      </c>
    </row>
    <row r="817" spans="1:2" ht="15.75" thickBot="1" x14ac:dyDescent="0.3">
      <c r="A817" s="114" t="s">
        <v>1218</v>
      </c>
      <c r="B817" s="115" t="s">
        <v>408</v>
      </c>
    </row>
    <row r="818" spans="1:2" ht="15.75" thickBot="1" x14ac:dyDescent="0.3">
      <c r="A818" s="114" t="s">
        <v>1414</v>
      </c>
      <c r="B818" s="115" t="s">
        <v>408</v>
      </c>
    </row>
    <row r="819" spans="1:2" ht="15.75" thickBot="1" x14ac:dyDescent="0.3">
      <c r="A819" s="114" t="s">
        <v>1219</v>
      </c>
      <c r="B819" s="115" t="s">
        <v>408</v>
      </c>
    </row>
    <row r="820" spans="1:2" ht="15.75" thickBot="1" x14ac:dyDescent="0.3">
      <c r="A820" s="114" t="s">
        <v>1220</v>
      </c>
      <c r="B820" s="115" t="s">
        <v>415</v>
      </c>
    </row>
    <row r="821" spans="1:2" ht="15.75" thickBot="1" x14ac:dyDescent="0.3">
      <c r="A821" s="114" t="s">
        <v>1221</v>
      </c>
      <c r="B821" s="115" t="s">
        <v>443</v>
      </c>
    </row>
    <row r="822" spans="1:2" ht="15.75" thickBot="1" x14ac:dyDescent="0.3">
      <c r="A822" s="114" t="s">
        <v>1222</v>
      </c>
      <c r="B822" s="115" t="s">
        <v>404</v>
      </c>
    </row>
    <row r="823" spans="1:2" ht="15.75" thickBot="1" x14ac:dyDescent="0.3">
      <c r="A823" s="114" t="s">
        <v>1223</v>
      </c>
      <c r="B823" s="115" t="s">
        <v>415</v>
      </c>
    </row>
    <row r="824" spans="1:2" ht="15.75" thickBot="1" x14ac:dyDescent="0.3">
      <c r="A824" s="114" t="s">
        <v>1224</v>
      </c>
      <c r="B824" s="115" t="s">
        <v>415</v>
      </c>
    </row>
    <row r="825" spans="1:2" ht="15.75" thickBot="1" x14ac:dyDescent="0.3">
      <c r="A825" s="114" t="s">
        <v>1225</v>
      </c>
      <c r="B825" s="115" t="s">
        <v>404</v>
      </c>
    </row>
    <row r="826" spans="1:2" ht="15.75" thickBot="1" x14ac:dyDescent="0.3">
      <c r="A826" s="114" t="s">
        <v>1226</v>
      </c>
      <c r="B826" s="115" t="s">
        <v>443</v>
      </c>
    </row>
    <row r="827" spans="1:2" ht="15.75" thickBot="1" x14ac:dyDescent="0.3">
      <c r="A827" s="114" t="s">
        <v>1227</v>
      </c>
      <c r="B827" s="115" t="s">
        <v>408</v>
      </c>
    </row>
    <row r="828" spans="1:2" ht="15.75" thickBot="1" x14ac:dyDescent="0.3">
      <c r="A828" s="114" t="s">
        <v>1228</v>
      </c>
      <c r="B828" s="115" t="s">
        <v>415</v>
      </c>
    </row>
    <row r="829" spans="1:2" ht="15.75" thickBot="1" x14ac:dyDescent="0.3">
      <c r="A829" s="114" t="s">
        <v>1229</v>
      </c>
      <c r="B829" s="115" t="s">
        <v>415</v>
      </c>
    </row>
    <row r="830" spans="1:2" ht="15.75" thickBot="1" x14ac:dyDescent="0.3">
      <c r="A830" s="114" t="s">
        <v>1230</v>
      </c>
      <c r="B830" s="115" t="s">
        <v>404</v>
      </c>
    </row>
    <row r="831" spans="1:2" ht="15.75" thickBot="1" x14ac:dyDescent="0.3">
      <c r="A831" s="114" t="s">
        <v>1231</v>
      </c>
      <c r="B831" s="115" t="s">
        <v>404</v>
      </c>
    </row>
    <row r="832" spans="1:2" ht="15.75" thickBot="1" x14ac:dyDescent="0.3">
      <c r="A832" s="114" t="s">
        <v>1232</v>
      </c>
      <c r="B832" s="115" t="s">
        <v>420</v>
      </c>
    </row>
    <row r="833" spans="1:2" ht="15.75" thickBot="1" x14ac:dyDescent="0.3">
      <c r="A833" s="114" t="s">
        <v>1233</v>
      </c>
      <c r="B833" s="115" t="s">
        <v>420</v>
      </c>
    </row>
    <row r="834" spans="1:2" ht="15.75" thickBot="1" x14ac:dyDescent="0.3">
      <c r="A834" s="114" t="s">
        <v>1234</v>
      </c>
      <c r="B834" s="115" t="s">
        <v>420</v>
      </c>
    </row>
    <row r="835" spans="1:2" ht="15.75" thickBot="1" x14ac:dyDescent="0.3">
      <c r="A835" s="114" t="s">
        <v>1235</v>
      </c>
      <c r="B835" s="115" t="s">
        <v>420</v>
      </c>
    </row>
    <row r="836" spans="1:2" ht="15.75" thickBot="1" x14ac:dyDescent="0.3">
      <c r="A836" s="114" t="s">
        <v>1236</v>
      </c>
      <c r="B836" s="115" t="s">
        <v>420</v>
      </c>
    </row>
    <row r="837" spans="1:2" ht="15.75" thickBot="1" x14ac:dyDescent="0.3">
      <c r="A837" s="114" t="s">
        <v>1237</v>
      </c>
      <c r="B837" s="115" t="s">
        <v>420</v>
      </c>
    </row>
    <row r="838" spans="1:2" ht="15.75" thickBot="1" x14ac:dyDescent="0.3">
      <c r="A838" s="114" t="s">
        <v>1238</v>
      </c>
      <c r="B838" s="115" t="s">
        <v>408</v>
      </c>
    </row>
    <row r="839" spans="1:2" ht="15.75" thickBot="1" x14ac:dyDescent="0.3">
      <c r="A839" s="114" t="s">
        <v>1239</v>
      </c>
      <c r="B839" s="115" t="s">
        <v>420</v>
      </c>
    </row>
    <row r="840" spans="1:2" ht="15.75" thickBot="1" x14ac:dyDescent="0.3">
      <c r="A840" s="114" t="s">
        <v>1240</v>
      </c>
      <c r="B840" s="115" t="s">
        <v>420</v>
      </c>
    </row>
    <row r="841" spans="1:2" ht="15.75" thickBot="1" x14ac:dyDescent="0.3">
      <c r="A841" s="114" t="s">
        <v>1241</v>
      </c>
      <c r="B841" s="115" t="s">
        <v>420</v>
      </c>
    </row>
    <row r="842" spans="1:2" ht="15.75" thickBot="1" x14ac:dyDescent="0.3">
      <c r="A842" s="114" t="s">
        <v>1242</v>
      </c>
      <c r="B842" s="115" t="s">
        <v>415</v>
      </c>
    </row>
    <row r="843" spans="1:2" ht="15.75" thickBot="1" x14ac:dyDescent="0.3">
      <c r="A843" s="114" t="s">
        <v>1243</v>
      </c>
      <c r="B843" s="115" t="s">
        <v>420</v>
      </c>
    </row>
    <row r="844" spans="1:2" ht="15.75" thickBot="1" x14ac:dyDescent="0.3">
      <c r="A844" s="114" t="s">
        <v>1244</v>
      </c>
      <c r="B844" s="115" t="s">
        <v>420</v>
      </c>
    </row>
    <row r="845" spans="1:2" ht="15.75" thickBot="1" x14ac:dyDescent="0.3">
      <c r="A845" s="114" t="s">
        <v>1245</v>
      </c>
      <c r="B845" s="115" t="s">
        <v>420</v>
      </c>
    </row>
    <row r="846" spans="1:2" ht="15.75" thickBot="1" x14ac:dyDescent="0.3">
      <c r="A846" s="114" t="s">
        <v>1246</v>
      </c>
      <c r="B846" s="115" t="s">
        <v>420</v>
      </c>
    </row>
    <row r="847" spans="1:2" ht="15.75" thickBot="1" x14ac:dyDescent="0.3">
      <c r="A847" s="114" t="s">
        <v>1247</v>
      </c>
      <c r="B847" s="115" t="s">
        <v>443</v>
      </c>
    </row>
    <row r="848" spans="1:2" ht="15.75" thickBot="1" x14ac:dyDescent="0.3">
      <c r="A848" s="114" t="s">
        <v>1248</v>
      </c>
      <c r="B848" s="115" t="s">
        <v>443</v>
      </c>
    </row>
    <row r="849" spans="1:2" ht="15.75" thickBot="1" x14ac:dyDescent="0.3">
      <c r="A849" s="114" t="s">
        <v>1249</v>
      </c>
      <c r="B849" s="115" t="s">
        <v>420</v>
      </c>
    </row>
    <row r="850" spans="1:2" ht="15.75" thickBot="1" x14ac:dyDescent="0.3">
      <c r="A850" s="114" t="s">
        <v>1250</v>
      </c>
      <c r="B850" s="115" t="s">
        <v>420</v>
      </c>
    </row>
    <row r="851" spans="1:2" ht="15.75" thickBot="1" x14ac:dyDescent="0.3">
      <c r="A851" s="114" t="s">
        <v>1251</v>
      </c>
      <c r="B851" s="115" t="s">
        <v>404</v>
      </c>
    </row>
    <row r="852" spans="1:2" ht="15.75" thickBot="1" x14ac:dyDescent="0.3">
      <c r="A852" s="114" t="s">
        <v>1252</v>
      </c>
      <c r="B852" s="115" t="s">
        <v>404</v>
      </c>
    </row>
    <row r="853" spans="1:2" ht="15.75" thickBot="1" x14ac:dyDescent="0.3">
      <c r="A853" s="114" t="s">
        <v>1253</v>
      </c>
      <c r="B853" s="115" t="s">
        <v>420</v>
      </c>
    </row>
    <row r="854" spans="1:2" ht="15.75" thickBot="1" x14ac:dyDescent="0.3">
      <c r="A854" s="114" t="s">
        <v>1254</v>
      </c>
      <c r="B854" s="115" t="s">
        <v>420</v>
      </c>
    </row>
    <row r="855" spans="1:2" ht="15.75" thickBot="1" x14ac:dyDescent="0.3">
      <c r="A855" s="114" t="s">
        <v>1255</v>
      </c>
      <c r="B855" s="115" t="s">
        <v>415</v>
      </c>
    </row>
    <row r="856" spans="1:2" ht="15.75" thickBot="1" x14ac:dyDescent="0.3">
      <c r="A856" s="114" t="s">
        <v>1256</v>
      </c>
      <c r="B856" s="115" t="s">
        <v>415</v>
      </c>
    </row>
    <row r="857" spans="1:2" ht="15.75" thickBot="1" x14ac:dyDescent="0.3">
      <c r="A857" s="114" t="s">
        <v>1257</v>
      </c>
      <c r="B857" s="115" t="s">
        <v>415</v>
      </c>
    </row>
    <row r="858" spans="1:2" ht="15.75" thickBot="1" x14ac:dyDescent="0.3">
      <c r="A858" s="114" t="s">
        <v>1258</v>
      </c>
      <c r="B858" s="115" t="s">
        <v>430</v>
      </c>
    </row>
    <row r="859" spans="1:2" ht="15.75" thickBot="1" x14ac:dyDescent="0.3">
      <c r="A859" s="114" t="s">
        <v>1259</v>
      </c>
      <c r="B859" s="115" t="s">
        <v>443</v>
      </c>
    </row>
    <row r="860" spans="1:2" ht="15.75" thickBot="1" x14ac:dyDescent="0.3">
      <c r="A860" s="114" t="s">
        <v>1260</v>
      </c>
      <c r="B860" s="115" t="s">
        <v>443</v>
      </c>
    </row>
    <row r="861" spans="1:2" ht="15.75" thickBot="1" x14ac:dyDescent="0.3">
      <c r="A861" s="114" t="s">
        <v>1261</v>
      </c>
      <c r="B861" s="115" t="s">
        <v>443</v>
      </c>
    </row>
    <row r="862" spans="1:2" ht="15.75" thickBot="1" x14ac:dyDescent="0.3">
      <c r="A862" s="114" t="s">
        <v>1262</v>
      </c>
      <c r="B862" s="115" t="s">
        <v>404</v>
      </c>
    </row>
    <row r="863" spans="1:2" ht="15.75" thickBot="1" x14ac:dyDescent="0.3">
      <c r="A863" s="114" t="s">
        <v>1263</v>
      </c>
      <c r="B863" s="115" t="s">
        <v>420</v>
      </c>
    </row>
    <row r="864" spans="1:2" ht="15.75" thickBot="1" x14ac:dyDescent="0.3">
      <c r="A864" s="114" t="s">
        <v>1264</v>
      </c>
      <c r="B864" s="115" t="s">
        <v>415</v>
      </c>
    </row>
    <row r="865" spans="1:2" ht="15.75" thickBot="1" x14ac:dyDescent="0.3">
      <c r="A865" s="114" t="s">
        <v>1265</v>
      </c>
      <c r="B865" s="115" t="s">
        <v>420</v>
      </c>
    </row>
    <row r="866" spans="1:2" ht="15.75" thickBot="1" x14ac:dyDescent="0.3">
      <c r="A866" s="114" t="s">
        <v>1266</v>
      </c>
      <c r="B866" s="115" t="s">
        <v>420</v>
      </c>
    </row>
    <row r="867" spans="1:2" ht="15.75" thickBot="1" x14ac:dyDescent="0.3">
      <c r="A867" s="114" t="s">
        <v>1267</v>
      </c>
      <c r="B867" s="115" t="s">
        <v>415</v>
      </c>
    </row>
    <row r="868" spans="1:2" ht="15.75" thickBot="1" x14ac:dyDescent="0.3">
      <c r="A868" s="114" t="s">
        <v>1268</v>
      </c>
      <c r="B868" s="115" t="s">
        <v>420</v>
      </c>
    </row>
    <row r="869" spans="1:2" ht="15.75" thickBot="1" x14ac:dyDescent="0.3">
      <c r="A869" s="114" t="s">
        <v>1269</v>
      </c>
      <c r="B869" s="115" t="s">
        <v>420</v>
      </c>
    </row>
    <row r="870" spans="1:2" ht="15.75" thickBot="1" x14ac:dyDescent="0.3">
      <c r="A870" s="114" t="s">
        <v>1270</v>
      </c>
      <c r="B870" s="115" t="s">
        <v>443</v>
      </c>
    </row>
    <row r="871" spans="1:2" ht="15.75" thickBot="1" x14ac:dyDescent="0.3">
      <c r="A871" s="114" t="s">
        <v>1271</v>
      </c>
      <c r="B871" s="115" t="s">
        <v>420</v>
      </c>
    </row>
    <row r="872" spans="1:2" ht="15.75" thickBot="1" x14ac:dyDescent="0.3">
      <c r="A872" s="114" t="s">
        <v>1272</v>
      </c>
      <c r="B872" s="115" t="s">
        <v>415</v>
      </c>
    </row>
    <row r="873" spans="1:2" ht="15.75" thickBot="1" x14ac:dyDescent="0.3">
      <c r="A873" s="114" t="s">
        <v>1273</v>
      </c>
      <c r="B873" s="115" t="s">
        <v>420</v>
      </c>
    </row>
    <row r="874" spans="1:2" ht="15.75" thickBot="1" x14ac:dyDescent="0.3">
      <c r="A874" s="114" t="s">
        <v>1274</v>
      </c>
      <c r="B874" s="115" t="s">
        <v>430</v>
      </c>
    </row>
    <row r="875" spans="1:2" ht="15.75" thickBot="1" x14ac:dyDescent="0.3">
      <c r="A875" s="114" t="s">
        <v>1275</v>
      </c>
      <c r="B875" s="115" t="s">
        <v>420</v>
      </c>
    </row>
    <row r="876" spans="1:2" ht="15.75" thickBot="1" x14ac:dyDescent="0.3">
      <c r="A876" s="114" t="s">
        <v>1276</v>
      </c>
      <c r="B876" s="115" t="s">
        <v>430</v>
      </c>
    </row>
    <row r="877" spans="1:2" ht="15.75" thickBot="1" x14ac:dyDescent="0.3">
      <c r="A877" s="114" t="s">
        <v>1277</v>
      </c>
      <c r="B877" s="115" t="s">
        <v>430</v>
      </c>
    </row>
    <row r="878" spans="1:2" ht="15.75" thickBot="1" x14ac:dyDescent="0.3">
      <c r="A878" s="114" t="s">
        <v>1278</v>
      </c>
      <c r="B878" s="115" t="s">
        <v>408</v>
      </c>
    </row>
    <row r="879" spans="1:2" ht="15.75" thickBot="1" x14ac:dyDescent="0.3">
      <c r="A879" s="114" t="s">
        <v>1279</v>
      </c>
      <c r="B879" s="115" t="s">
        <v>415</v>
      </c>
    </row>
    <row r="880" spans="1:2" ht="15.75" thickBot="1" x14ac:dyDescent="0.3">
      <c r="A880" s="119" t="s">
        <v>1301</v>
      </c>
      <c r="B880" s="116"/>
    </row>
    <row r="881" spans="1:2" ht="15.75" thickBot="1" x14ac:dyDescent="0.3">
      <c r="A881" s="114" t="s">
        <v>1280</v>
      </c>
      <c r="B881" s="115" t="s">
        <v>408</v>
      </c>
    </row>
    <row r="882" spans="1:2" ht="15.75" thickBot="1" x14ac:dyDescent="0.3">
      <c r="A882" s="114" t="s">
        <v>1281</v>
      </c>
      <c r="B882" s="115" t="s">
        <v>430</v>
      </c>
    </row>
    <row r="883" spans="1:2" ht="15.75" thickBot="1" x14ac:dyDescent="0.3">
      <c r="A883" s="114" t="s">
        <v>1282</v>
      </c>
      <c r="B883" s="115" t="s">
        <v>408</v>
      </c>
    </row>
    <row r="884" spans="1:2" ht="15.75" thickBot="1" x14ac:dyDescent="0.3">
      <c r="A884" s="114" t="s">
        <v>1283</v>
      </c>
      <c r="B884" s="115" t="s">
        <v>408</v>
      </c>
    </row>
    <row r="885" spans="1:2" ht="15.75" thickBot="1" x14ac:dyDescent="0.3">
      <c r="A885" s="114" t="s">
        <v>1284</v>
      </c>
      <c r="B885" s="115" t="s">
        <v>408</v>
      </c>
    </row>
    <row r="886" spans="1:2" ht="15.75" thickBot="1" x14ac:dyDescent="0.3">
      <c r="A886" s="114" t="s">
        <v>1285</v>
      </c>
      <c r="B886" s="115" t="s">
        <v>443</v>
      </c>
    </row>
    <row r="887" spans="1:2" ht="15.75" thickBot="1" x14ac:dyDescent="0.3">
      <c r="A887" s="114" t="s">
        <v>1286</v>
      </c>
      <c r="B887" s="115" t="s">
        <v>443</v>
      </c>
    </row>
    <row r="888" spans="1:2" ht="15.75" thickBot="1" x14ac:dyDescent="0.3">
      <c r="A888" s="114" t="s">
        <v>1287</v>
      </c>
      <c r="B888" s="115" t="s">
        <v>443</v>
      </c>
    </row>
    <row r="889" spans="1:2" ht="15.75" thickBot="1" x14ac:dyDescent="0.3">
      <c r="A889" s="114" t="s">
        <v>1288</v>
      </c>
      <c r="B889" s="115" t="s">
        <v>443</v>
      </c>
    </row>
    <row r="890" spans="1:2" ht="15.75" thickBot="1" x14ac:dyDescent="0.3">
      <c r="A890" s="114" t="s">
        <v>1288</v>
      </c>
      <c r="B890" s="115" t="s">
        <v>415</v>
      </c>
    </row>
    <row r="891" spans="1:2" ht="15.75" thickBot="1" x14ac:dyDescent="0.3">
      <c r="A891" s="114" t="s">
        <v>1289</v>
      </c>
      <c r="B891" s="115" t="s">
        <v>404</v>
      </c>
    </row>
    <row r="892" spans="1:2" ht="15.75" thickBot="1" x14ac:dyDescent="0.3">
      <c r="A892" s="114" t="s">
        <v>1290</v>
      </c>
      <c r="B892" s="115" t="s">
        <v>443</v>
      </c>
    </row>
    <row r="893" spans="1:2" ht="15.75" thickBot="1" x14ac:dyDescent="0.3">
      <c r="A893" s="114" t="s">
        <v>1291</v>
      </c>
      <c r="B893" s="115" t="s">
        <v>415</v>
      </c>
    </row>
    <row r="894" spans="1:2" ht="15.75" thickBot="1" x14ac:dyDescent="0.3">
      <c r="A894" s="114" t="s">
        <v>1292</v>
      </c>
      <c r="B894" s="115" t="s">
        <v>420</v>
      </c>
    </row>
    <row r="895" spans="1:2" ht="15.75" thickBot="1" x14ac:dyDescent="0.3">
      <c r="A895" s="114" t="s">
        <v>1293</v>
      </c>
      <c r="B895" s="115" t="s">
        <v>404</v>
      </c>
    </row>
    <row r="896" spans="1:2" ht="15.75" thickBot="1" x14ac:dyDescent="0.3">
      <c r="A896" s="114" t="s">
        <v>1294</v>
      </c>
      <c r="B896" s="115" t="s">
        <v>420</v>
      </c>
    </row>
    <row r="897" spans="1:2" ht="15.75" thickBot="1" x14ac:dyDescent="0.3">
      <c r="A897" s="114" t="s">
        <v>1295</v>
      </c>
      <c r="B897" s="115" t="s">
        <v>404</v>
      </c>
    </row>
    <row r="898" spans="1:2" ht="15.75" thickBot="1" x14ac:dyDescent="0.3">
      <c r="A898" s="120" t="s">
        <v>1296</v>
      </c>
      <c r="B898" s="121" t="s">
        <v>408</v>
      </c>
    </row>
    <row r="899" spans="1:2" ht="15.75" thickBot="1" x14ac:dyDescent="0.3">
      <c r="A899" s="120" t="s">
        <v>1297</v>
      </c>
      <c r="B899" s="121" t="s">
        <v>418</v>
      </c>
    </row>
    <row r="900" spans="1:2" ht="15.75" thickBot="1" x14ac:dyDescent="0.3">
      <c r="A900" s="120" t="s">
        <v>1298</v>
      </c>
      <c r="B900" s="121" t="s">
        <v>415</v>
      </c>
    </row>
    <row r="901" spans="1:2" ht="15.75" thickBot="1" x14ac:dyDescent="0.3">
      <c r="A901" s="120" t="s">
        <v>1299</v>
      </c>
      <c r="B901" s="121" t="s">
        <v>415</v>
      </c>
    </row>
    <row r="902" spans="1:2" ht="15.75" thickBot="1" x14ac:dyDescent="0.3">
      <c r="A902" s="120" t="s">
        <v>1300</v>
      </c>
      <c r="B902" s="121" t="s">
        <v>415</v>
      </c>
    </row>
    <row r="904" spans="1:2" ht="15" customHeight="1" x14ac:dyDescent="0.25"/>
    <row r="905" spans="1:2" x14ac:dyDescent="0.25">
      <c r="A905" s="110" t="s">
        <v>1305</v>
      </c>
      <c r="B905" s="110"/>
    </row>
    <row r="906" spans="1:2" x14ac:dyDescent="0.25">
      <c r="A906" s="61" t="s">
        <v>1306</v>
      </c>
    </row>
    <row r="907" spans="1:2" ht="15" customHeight="1" x14ac:dyDescent="0.25">
      <c r="A907" s="61" t="s">
        <v>1307</v>
      </c>
    </row>
    <row r="908" spans="1:2" x14ac:dyDescent="0.25">
      <c r="A908" s="110" t="s">
        <v>1308</v>
      </c>
      <c r="B908" s="110"/>
    </row>
  </sheetData>
  <autoFilter ref="A1:B1" xr:uid="{00000000-0001-0000-0200-000000000000}"/>
  <mergeCells count="2">
    <mergeCell ref="A905:B905"/>
    <mergeCell ref="A908:B908"/>
  </mergeCells>
  <hyperlinks>
    <hyperlink ref="A96" location="_ftn1" display="_ftn1" xr:uid="{3F893BAF-0E3C-4B71-ACE9-1B3790E1E8DC}"/>
    <hyperlink ref="A162" location="_ftn2" display="_ftn2" xr:uid="{221B5179-8324-4685-8FE1-463BC2156A75}"/>
    <hyperlink ref="A387" location="_ftn3" display="_ftn3" xr:uid="{560115C0-4414-4FB8-8162-6F659668EE7E}"/>
    <hyperlink ref="A604" location="_ftn4" display="_ftn4" xr:uid="{45872422-FC55-4A41-91EC-587712E4EF70}"/>
    <hyperlink ref="A905" location="_ftnref1" display="_ftnref1" xr:uid="{15369C47-DC40-43A7-9633-3E7AD6CB8E23}"/>
    <hyperlink ref="A906" location="_ftnref2" display="_ftnref2" xr:uid="{826BC29B-26F0-4324-974E-934EAE37F516}"/>
    <hyperlink ref="A907" location="_ftnref3" display="_ftnref3" xr:uid="{8D9B4BDE-57C7-44E3-9B40-E9D865E0A3D5}"/>
    <hyperlink ref="A908" location="_ftnref4" display="_ftnref4" xr:uid="{30F29304-D096-4CB0-9B9E-C270977BCDB7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Schedule</vt:lpstr>
      <vt:lpstr>CLIN Suffixes Table</vt:lpstr>
      <vt:lpstr>Table of Compressed Gases</vt:lpstr>
      <vt:lpstr>'CLIN Suffixes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Groll, Phillip K (Kyle) CIV DLA DISPOSITION SERVICES (USA)</dc:creator>
  <cp:lastModifiedBy>Groll, Phillip K (Kyle) CIV DLA DISPOSITION SERVICES (</cp:lastModifiedBy>
  <cp:lastPrinted>2026-04-03T11:18:45Z</cp:lastPrinted>
  <dcterms:created xsi:type="dcterms:W3CDTF">2025-12-09T14:28:53Z</dcterms:created>
  <dcterms:modified xsi:type="dcterms:W3CDTF">2026-04-28T14:43:49Z</dcterms:modified>
</cp:coreProperties>
</file>