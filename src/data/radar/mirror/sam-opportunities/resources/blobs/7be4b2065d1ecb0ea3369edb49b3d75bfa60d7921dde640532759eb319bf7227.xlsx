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!Download/"/>
    </mc:Choice>
  </mc:AlternateContent>
  <bookViews>
    <workbookView xWindow="0" yWindow="1177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Sheet1!$A$1:$A$103</definedName>
    <definedName name="_xlnm.Print_Area" localSheetId="0">Sheet1!$A$1:$K$27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20" i="1" l="1"/>
  <c r="C20" i="1"/>
  <c r="J20" i="1" l="1"/>
  <c r="C21" i="1"/>
  <c r="D21" i="1" s="1"/>
  <c r="J21" i="1" s="1"/>
  <c r="C19" i="1"/>
  <c r="C18" i="1"/>
  <c r="D18" i="1" s="1"/>
  <c r="J18" i="1" s="1"/>
  <c r="C17" i="1"/>
  <c r="D17" i="1" s="1"/>
  <c r="J17" i="1" s="1"/>
  <c r="C16" i="1"/>
  <c r="D16" i="1" s="1"/>
  <c r="J16" i="1" s="1"/>
  <c r="C15" i="1"/>
  <c r="D15" i="1" s="1"/>
  <c r="J15" i="1" s="1"/>
  <c r="C14" i="1"/>
  <c r="D14" i="1" s="1"/>
  <c r="J14" i="1" s="1"/>
  <c r="C13" i="1"/>
  <c r="D13" i="1" s="1"/>
  <c r="J13" i="1" s="1"/>
  <c r="C12" i="1"/>
  <c r="D12" i="1" s="1"/>
  <c r="J12" i="1" s="1"/>
  <c r="C11" i="1"/>
  <c r="D11" i="1" s="1"/>
  <c r="J11" i="1" s="1"/>
  <c r="C10" i="1"/>
  <c r="D10" i="1" s="1"/>
  <c r="J10" i="1" s="1"/>
  <c r="C9" i="1"/>
  <c r="D9" i="1" s="1"/>
  <c r="J9" i="1" s="1"/>
  <c r="D19" i="1"/>
  <c r="J19" i="1" s="1"/>
  <c r="C8" i="1"/>
  <c r="D8" i="1" s="1"/>
  <c r="J8" i="1" s="1"/>
  <c r="F23" i="1" l="1"/>
  <c r="I23" i="1"/>
  <c r="G23" i="1"/>
  <c r="E23" i="1"/>
  <c r="D23" i="1"/>
  <c r="C23" i="1"/>
  <c r="H23" i="1" l="1"/>
  <c r="J23" i="1" l="1"/>
</calcChain>
</file>

<file path=xl/sharedStrings.xml><?xml version="1.0" encoding="utf-8"?>
<sst xmlns="http://schemas.openxmlformats.org/spreadsheetml/2006/main" count="90" uniqueCount="38">
  <si>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</si>
  <si>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</si>
  <si>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</si>
  <si>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</si>
  <si>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</si>
  <si>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</si>
  <si>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</si>
  <si>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</si>
  <si>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</si>
  <si>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</si>
  <si>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</si>
  <si>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</si>
  <si>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</si>
  <si>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</si>
  <si>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</si>
  <si>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</si>
  <si>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</si>
  <si>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USS MIGUEL KEITH (MSC) VRA KR</t>
  </si>
  <si>
    <t>23 MAR - 5 APR 2026</t>
  </si>
  <si>
    <t>ESB-SWI-Scope General Requirements and Definitions</t>
  </si>
  <si>
    <t>ESB-SWI-Technical and Manufacturers Representative</t>
  </si>
  <si>
    <t>ESB-SWI-Testing and Quality Assurance</t>
  </si>
  <si>
    <t>ESB-SWI-High Voltage Electrical Safety Procedure Requirements</t>
  </si>
  <si>
    <t>Project Management</t>
  </si>
  <si>
    <t>ESB-SWI-Shipboard Access and Security</t>
  </si>
  <si>
    <t>ESB-SWI-Gas Gree Certificates</t>
  </si>
  <si>
    <t>RAS Station Preservation</t>
  </si>
  <si>
    <t>Inspect and Clean Service Trunk Bilges</t>
  </si>
  <si>
    <t>0131A</t>
  </si>
  <si>
    <t>ESB-CCSI-Cable Penetration Inspection (20 PCT)(5 YR)</t>
  </si>
  <si>
    <t>Replace Bridge Clock VR 24-0055</t>
  </si>
  <si>
    <t>Finish Harris Radio Signal Expansion Bow (TALT ESB-23-017)</t>
  </si>
  <si>
    <t>Ballast System Piping Gauging</t>
  </si>
  <si>
    <t>Ballast System Piping Repairs (VR26-0001)</t>
  </si>
  <si>
    <t>ESB-CSI-General Service Air Compressor Service</t>
  </si>
  <si>
    <t>Finish Installation of Forward Decontamination Station in Space A1-89-2 (TALT 16-004)</t>
  </si>
  <si>
    <t>Reverse Osmosis Unit Service and Repair</t>
  </si>
  <si>
    <t>OWS System Groom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</si>
</sst>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B18" sqref="B18"/>
    </sheetView>
  </sheetViews>
  <sheetFormatPr defaultColWidth="9.140625" defaultRowHeight="12.75" x14ac:dyDescent="0.2"/>
  <cols>
    <col min="1" max="1" width="6.85546875" style="34" customWidth="1"/>
    <col min="2" max="2" width="55.425781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0">
        <v>4</v>
      </c>
      <c r="B6" s="48" t="s">
        <v>21</v>
      </c>
      <c r="C6" s="46" t="s">
        <v>14</v>
      </c>
      <c r="D6" s="21" t="s">
        <v>14</v>
      </c>
      <c r="E6" s="21" t="s">
        <v>14</v>
      </c>
      <c r="F6" s="20" t="s">
        <v>14</v>
      </c>
      <c r="G6" s="21" t="s">
        <v>14</v>
      </c>
      <c r="H6" s="21" t="s">
        <v>15</v>
      </c>
      <c r="I6" s="21" t="s">
        <v>14</v>
      </c>
      <c r="J6" s="42" t="s">
        <v>14</v>
      </c>
      <c r="K6" s="19" t="s">
        <v>14</v>
      </c>
    </row>
    <row r="7" spans="1:11" s="41" customFormat="1" ht="12.75" customHeight="1" x14ac:dyDescent="0.2">
      <c r="A7" s="51">
        <v>5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13</v>
      </c>
      <c r="B8" s="48" t="s">
        <v>23</v>
      </c>
      <c r="C8" s="46">
        <f>K2</f>
        <v>0</v>
      </c>
      <c r="D8" s="21">
        <f>C8*K2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:J21" si="0">D8+E8+G8+H8+I8</f>
        <v>0</v>
      </c>
      <c r="K8" s="19" t="s">
        <v>4</v>
      </c>
    </row>
    <row r="9" spans="1:11" s="41" customFormat="1" ht="12.75" customHeight="1" x14ac:dyDescent="0.2">
      <c r="A9" s="51">
        <v>19</v>
      </c>
      <c r="B9" s="48" t="s">
        <v>24</v>
      </c>
      <c r="C9" s="46">
        <f>K2</f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si="0"/>
        <v>0</v>
      </c>
      <c r="K9" s="19" t="s">
        <v>4</v>
      </c>
    </row>
    <row r="10" spans="1:11" s="41" customFormat="1" ht="12.75" customHeight="1" x14ac:dyDescent="0.2">
      <c r="A10" s="51">
        <v>20</v>
      </c>
      <c r="B10" s="48" t="s">
        <v>25</v>
      </c>
      <c r="C10" s="46">
        <f>K2</f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0"/>
        <v>0</v>
      </c>
      <c r="K10" s="19" t="s">
        <v>4</v>
      </c>
    </row>
    <row r="11" spans="1:11" s="41" customFormat="1" ht="12.75" customHeight="1" x14ac:dyDescent="0.2">
      <c r="A11" s="51">
        <v>101</v>
      </c>
      <c r="B11" s="48" t="s">
        <v>26</v>
      </c>
      <c r="C11" s="46">
        <f>K2</f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0"/>
        <v>0</v>
      </c>
      <c r="K11" s="19" t="s">
        <v>4</v>
      </c>
    </row>
    <row r="12" spans="1:11" s="41" customFormat="1" ht="12.75" customHeight="1" x14ac:dyDescent="0.2">
      <c r="A12" s="51">
        <v>105</v>
      </c>
      <c r="B12" s="48" t="s">
        <v>27</v>
      </c>
      <c r="C12" s="46">
        <f>K2</f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0"/>
        <v>0</v>
      </c>
      <c r="K12" s="19" t="s">
        <v>4</v>
      </c>
    </row>
    <row r="13" spans="1:11" s="41" customFormat="1" ht="12.75" customHeight="1" x14ac:dyDescent="0.2">
      <c r="A13" s="51" t="s">
        <v>28</v>
      </c>
      <c r="B13" s="48" t="s">
        <v>29</v>
      </c>
      <c r="C13" s="46">
        <f>K2</f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0"/>
        <v>0</v>
      </c>
      <c r="K13" s="19" t="s">
        <v>4</v>
      </c>
    </row>
    <row r="14" spans="1:11" s="41" customFormat="1" ht="12.75" customHeight="1" x14ac:dyDescent="0.2">
      <c r="A14" s="51">
        <v>301</v>
      </c>
      <c r="B14" s="48" t="s">
        <v>30</v>
      </c>
      <c r="C14" s="46">
        <f>K2</f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0"/>
        <v>0</v>
      </c>
      <c r="K14" s="19" t="s">
        <v>4</v>
      </c>
    </row>
    <row r="15" spans="1:11" s="41" customFormat="1" ht="12.75" customHeight="1" x14ac:dyDescent="0.2">
      <c r="A15" s="51">
        <v>402</v>
      </c>
      <c r="B15" s="48" t="s">
        <v>31</v>
      </c>
      <c r="C15" s="46">
        <f>K2</f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si="0"/>
        <v>0</v>
      </c>
      <c r="K15" s="19" t="s">
        <v>4</v>
      </c>
    </row>
    <row r="16" spans="1:11" s="41" customFormat="1" ht="12.75" customHeight="1" x14ac:dyDescent="0.2">
      <c r="A16" s="51">
        <v>505</v>
      </c>
      <c r="B16" s="48" t="s">
        <v>32</v>
      </c>
      <c r="C16" s="46">
        <f>K2</f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0"/>
        <v>0</v>
      </c>
      <c r="K16" s="19" t="s">
        <v>4</v>
      </c>
    </row>
    <row r="17" spans="1:13" s="41" customFormat="1" ht="12.75" customHeight="1" x14ac:dyDescent="0.2">
      <c r="A17" s="51">
        <v>510</v>
      </c>
      <c r="B17" s="48" t="s">
        <v>37</v>
      </c>
      <c r="C17" s="46">
        <f>K2</f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0"/>
        <v>0</v>
      </c>
      <c r="K17" s="19" t="s">
        <v>4</v>
      </c>
    </row>
    <row r="18" spans="1:13" s="41" customFormat="1" ht="12.75" customHeight="1" x14ac:dyDescent="0.2">
      <c r="A18" s="51">
        <v>529</v>
      </c>
      <c r="B18" s="48" t="s">
        <v>33</v>
      </c>
      <c r="C18" s="46">
        <f>K2</f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0"/>
        <v>0</v>
      </c>
      <c r="K18" s="19" t="s">
        <v>4</v>
      </c>
    </row>
    <row r="19" spans="1:13" s="41" customFormat="1" ht="12.75" customHeight="1" x14ac:dyDescent="0.2">
      <c r="A19" s="51">
        <v>589</v>
      </c>
      <c r="B19" s="48" t="s">
        <v>34</v>
      </c>
      <c r="C19" s="46">
        <f>K2</f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0"/>
        <v>0</v>
      </c>
      <c r="K19" s="19" t="s">
        <v>4</v>
      </c>
    </row>
    <row r="20" spans="1:13" s="41" customFormat="1" ht="12.75" customHeight="1" x14ac:dyDescent="0.2">
      <c r="A20" s="51">
        <v>598</v>
      </c>
      <c r="B20" s="48" t="s">
        <v>36</v>
      </c>
      <c r="C20" s="46">
        <f>K2</f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ref="J20" si="1">D20+E20+G20+H20+I20</f>
        <v>0</v>
      </c>
      <c r="K20" s="19" t="s">
        <v>4</v>
      </c>
    </row>
    <row r="21" spans="1:13" s="41" customFormat="1" ht="25.5" customHeight="1" x14ac:dyDescent="0.2">
      <c r="A21" s="51">
        <v>602</v>
      </c>
      <c r="B21" s="48" t="s">
        <v>35</v>
      </c>
      <c r="C21" s="46">
        <f>K2</f>
        <v>0</v>
      </c>
      <c r="D21" s="21">
        <f>C21*K2</f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42">
        <f t="shared" si="0"/>
        <v>0</v>
      </c>
      <c r="K21" s="19" t="s">
        <v>4</v>
      </c>
    </row>
    <row r="22" spans="1:13" s="44" customFormat="1" x14ac:dyDescent="0.2">
      <c r="A22" s="47"/>
      <c r="B22" s="48"/>
      <c r="C22" s="46"/>
      <c r="D22" s="21"/>
      <c r="E22" s="21"/>
      <c r="F22" s="20"/>
      <c r="G22" s="21"/>
      <c r="H22" s="21"/>
      <c r="I22" s="21"/>
      <c r="J22" s="42"/>
      <c r="K22" s="19"/>
    </row>
    <row r="23" spans="1:13" ht="24.75" customHeight="1" x14ac:dyDescent="0.2">
      <c r="A23" s="22"/>
      <c r="B23" s="23" t="s">
        <v>13</v>
      </c>
      <c r="C23" s="45">
        <f t="shared" ref="C23:J23" si="2">SUM(C4:C22)</f>
        <v>0</v>
      </c>
      <c r="D23" s="43">
        <f t="shared" si="2"/>
        <v>0</v>
      </c>
      <c r="E23" s="43">
        <f t="shared" si="2"/>
        <v>0</v>
      </c>
      <c r="F23" s="45">
        <f t="shared" si="2"/>
        <v>0</v>
      </c>
      <c r="G23" s="43">
        <f t="shared" si="2"/>
        <v>0</v>
      </c>
      <c r="H23" s="43">
        <f t="shared" si="2"/>
        <v>0</v>
      </c>
      <c r="I23" s="43">
        <f t="shared" si="2"/>
        <v>0</v>
      </c>
      <c r="J23" s="43">
        <f t="shared" si="2"/>
        <v>0</v>
      </c>
      <c r="K23" s="24"/>
    </row>
    <row r="24" spans="1:13" ht="12" customHeight="1" x14ac:dyDescent="0.2">
      <c r="A24" s="26"/>
      <c r="B24" s="25"/>
      <c r="C24" s="27" t="s">
        <v>3</v>
      </c>
      <c r="D24" s="40"/>
      <c r="J24" s="28" t="s">
        <v>3</v>
      </c>
      <c r="L24" s="37"/>
      <c r="M24"/>
    </row>
    <row r="25" spans="1:13" ht="12" customHeight="1" x14ac:dyDescent="0.2">
      <c r="A25" s="30"/>
      <c r="B25" s="30"/>
      <c r="C25" s="2" t="s">
        <v>3</v>
      </c>
      <c r="D25" s="2"/>
      <c r="E25" s="2"/>
      <c r="F25" s="2"/>
      <c r="G25" s="2"/>
      <c r="H25" s="3"/>
      <c r="I25" s="3"/>
      <c r="J25" s="3"/>
    </row>
    <row r="26" spans="1:13" s="29" customFormat="1" ht="25.5" x14ac:dyDescent="0.2">
      <c r="A26" s="30"/>
      <c r="B26" s="31" t="s">
        <v>0</v>
      </c>
      <c r="C26" s="2"/>
      <c r="D26" s="2"/>
      <c r="E26" s="2"/>
      <c r="F26" s="2"/>
      <c r="G26" s="2"/>
      <c r="H26" s="3"/>
      <c r="I26" s="3"/>
      <c r="J26" s="3"/>
      <c r="K26" s="25"/>
    </row>
    <row r="27" spans="1:13" ht="12" customHeight="1" x14ac:dyDescent="0.2">
      <c r="A27" s="32"/>
      <c r="B27" s="4"/>
      <c r="C27" s="33"/>
      <c r="D27" s="33"/>
      <c r="E27" s="33"/>
      <c r="F27" s="33"/>
      <c r="G27" s="33"/>
      <c r="H27" s="3"/>
      <c r="I27" s="35"/>
      <c r="J27" s="36"/>
      <c r="K27" s="37"/>
    </row>
    <row r="28" spans="1:13" ht="12" customHeight="1" x14ac:dyDescent="0.2">
      <c r="A28" s="32"/>
      <c r="B28" s="4"/>
      <c r="C28" s="33"/>
      <c r="D28" s="33"/>
      <c r="E28" s="33"/>
      <c r="F28" s="33"/>
      <c r="G28" s="33"/>
      <c r="H28" s="3"/>
      <c r="I28" s="35"/>
      <c r="J28" s="36"/>
      <c r="K28" s="37"/>
    </row>
    <row r="29" spans="1:13" x14ac:dyDescent="0.2">
      <c r="A29" s="32"/>
      <c r="B29" s="4"/>
      <c r="C29" s="2"/>
      <c r="D29" s="2"/>
      <c r="E29" s="2"/>
      <c r="F29" s="2"/>
      <c r="G29" s="2"/>
      <c r="H29" s="3"/>
      <c r="I29" s="35"/>
      <c r="J29" s="38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7"/>
      <c r="J30" s="39"/>
      <c r="K30" s="37"/>
    </row>
    <row r="31" spans="1:13" x14ac:dyDescent="0.2">
      <c r="A31" s="32"/>
      <c r="B31" s="4"/>
      <c r="C31" s="2"/>
      <c r="D31" s="2"/>
      <c r="E31" s="2"/>
      <c r="F31" s="2"/>
      <c r="G31" s="2"/>
      <c r="H31" s="3"/>
      <c r="I31" s="3"/>
      <c r="J31" s="3"/>
    </row>
    <row r="32" spans="1:13" x14ac:dyDescent="0.2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ht="15.75" customHeight="1" x14ac:dyDescent="0.2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x14ac:dyDescent="0.2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">
      <c r="A35" s="32"/>
      <c r="B35" s="4"/>
      <c r="C35" s="2"/>
      <c r="D35" s="2"/>
      <c r="E35" s="2"/>
      <c r="F35" s="2"/>
      <c r="G35" s="2"/>
      <c r="H35" s="3"/>
      <c r="I35" s="3"/>
      <c r="J35" s="3"/>
    </row>
    <row r="36" spans="1:10" x14ac:dyDescent="0.2">
      <c r="A36" s="32"/>
      <c r="B36" s="4"/>
      <c r="C36" s="2"/>
      <c r="D36" s="2"/>
      <c r="E36" s="2"/>
      <c r="F36" s="2"/>
      <c r="G36" s="2"/>
    </row>
    <row r="37" spans="1:10" x14ac:dyDescent="0.2">
      <c r="B37" s="25"/>
    </row>
    <row r="38" spans="1:10" x14ac:dyDescent="0.2">
      <c r="B38" s="25"/>
    </row>
    <row r="39" spans="1:10" x14ac:dyDescent="0.2">
      <c r="B39" s="25"/>
    </row>
    <row r="40" spans="1:10" x14ac:dyDescent="0.2">
      <c r="B40" s="25"/>
    </row>
    <row r="41" spans="1:10" x14ac:dyDescent="0.2">
      <c r="B41" s="25"/>
    </row>
    <row r="42" spans="1:10" x14ac:dyDescent="0.2">
      <c r="B42" s="25"/>
    </row>
    <row r="43" spans="1:10" x14ac:dyDescent="0.2">
      <c r="B43" s="25"/>
    </row>
    <row r="44" spans="1:10" x14ac:dyDescent="0.2">
      <c r="B44" s="25"/>
    </row>
    <row r="45" spans="1:10" x14ac:dyDescent="0.2">
      <c r="B45" s="25"/>
    </row>
    <row r="46" spans="1:10" x14ac:dyDescent="0.2">
      <c r="B46" s="25"/>
    </row>
    <row r="47" spans="1:10" x14ac:dyDescent="0.2">
      <c r="B47" s="25"/>
    </row>
    <row r="48" spans="1:10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  <row r="99" spans="2:2" x14ac:dyDescent="0.2">
      <c r="B99" s="25"/>
    </row>
    <row r="100" spans="2:2" x14ac:dyDescent="0.2">
      <c r="B100" s="25"/>
    </row>
    <row r="101" spans="2:2" x14ac:dyDescent="0.2">
      <c r="B101" s="25"/>
    </row>
    <row r="102" spans="2:2" x14ac:dyDescent="0.2">
      <c r="B102" s="25"/>
    </row>
    <row r="103" spans="2:2" x14ac:dyDescent="0.2">
      <c r="B103" s="25"/>
    </row>
  </sheetData>
  <autoFilter ref="A1:A103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76AF7B-D041-4637-80D9-051A1E30FAC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29e537e-536d-4c3d-a73c-f40e94626c0e"/>
    <ds:schemaRef ds:uri="http://purl.org/dc/elements/1.1/"/>
    <ds:schemaRef ds:uri="http://schemas.microsoft.com/office/2006/metadata/properties"/>
    <ds:schemaRef ds:uri="http://schemas.microsoft.com/office/infopath/2007/PartnerControls"/>
    <ds:schemaRef ds:uri="30e15a99-2787-4658-9a49-e1375a37af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2026-02-24T00:16:55Z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