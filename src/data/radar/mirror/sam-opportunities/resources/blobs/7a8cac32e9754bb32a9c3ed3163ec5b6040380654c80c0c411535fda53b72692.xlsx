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5 Facilities Support\"/>
    </mc:Choice>
  </mc:AlternateContent>
  <xr:revisionPtr revIDLastSave="0" documentId="13_ncr:1_{55E4CFAA-5137-4D9C-8555-F8814A5FA1E1}" xr6:coauthVersionLast="47" xr6:coauthVersionMax="47" xr10:uidLastSave="{00000000-0000-0000-0000-000000000000}"/>
  <bookViews>
    <workbookView xWindow="37032" yWindow="2905" windowWidth="24047" windowHeight="12719" tabRatio="924" xr2:uid="{00000000-000D-0000-FFFF-FFFF00000000}"/>
  </bookViews>
  <sheets>
    <sheet name="Tab 1 - Custodial Inventory" sheetId="14" r:id="rId1"/>
    <sheet name="Tab 2 - Custodial Frequencies" sheetId="9" r:id="rId2"/>
    <sheet name="Tab 3-DeskSide Waste Containers" sheetId="15" r:id="rId3"/>
    <sheet name="Tab 4-Int Recycling Containers" sheetId="17" r:id="rId4"/>
    <sheet name="Tab 5-Food Recycling Containers" sheetId="18" r:id="rId5"/>
    <sheet name="Tab 6-Rugs and Mats Inv" sheetId="19" r:id="rId6"/>
  </sheets>
  <externalReferences>
    <externalReference r:id="rId7"/>
    <externalReference r:id="rId8"/>
  </externalReferences>
  <definedNames>
    <definedName name="_xlnm._FilterDatabase" localSheetId="1" hidden="1">'Tab 2 - Custodial Frequencies'!$A$4:$AF$157</definedName>
    <definedName name="AAAA" localSheetId="5">#REF!</definedName>
    <definedName name="AAAA">#REF!</definedName>
    <definedName name="BOSSC" localSheetId="3">#REF!</definedName>
    <definedName name="BOSSC" localSheetId="4">#REF!</definedName>
    <definedName name="BOSSC" localSheetId="5">#REF!</definedName>
    <definedName name="BOSSC">#REF!</definedName>
    <definedName name="BOSSC2" localSheetId="3">#REF!</definedName>
    <definedName name="BOSSC2" localSheetId="4">#REF!</definedName>
    <definedName name="BOSSC2" localSheetId="5">#REF!</definedName>
    <definedName name="BOSSC2">#REF!</definedName>
    <definedName name="cost2003" localSheetId="0">#REF!</definedName>
    <definedName name="cost2003" localSheetId="3">#REF!</definedName>
    <definedName name="cost2003" localSheetId="4">#REF!</definedName>
    <definedName name="cost2003" localSheetId="5">#REF!</definedName>
    <definedName name="cost2003">#REF!</definedName>
    <definedName name="Description">'[1]Working Sheet'!$A$11:$A$227</definedName>
    <definedName name="MEANS">'[2]MEANS PM'!$A:$IV</definedName>
    <definedName name="MPEN" localSheetId="0">#REF!</definedName>
    <definedName name="MPEN" localSheetId="3">#REF!</definedName>
    <definedName name="MPEN" localSheetId="4">#REF!</definedName>
    <definedName name="MPEN" localSheetId="5">#REF!</definedName>
    <definedName name="MPEN">#REF!</definedName>
    <definedName name="_xlnm.Print_Area" localSheetId="0">'Tab 1 - Custodial Inventory'!$A$2:$AD$326</definedName>
    <definedName name="_xlnm.Print_Titles" localSheetId="0">'Tab 1 - Custodial Inventory'!$2:$4</definedName>
    <definedName name="_xlnm.Print_Titles" localSheetId="1">'Tab 2 - Custodial Frequencies'!$2:$4</definedName>
    <definedName name="_xlnm.Print_Titles" localSheetId="2">'Tab 3-DeskSide Waste Containers'!$1:$4</definedName>
    <definedName name="_xlnm.Print_Titles" localSheetId="3">'Tab 4-Int Recycling Containers'!$1:$4</definedName>
    <definedName name="_xlnm.Print_Titles" localSheetId="4">'Tab 5-Food Recycling Containers'!$1:$4</definedName>
    <definedName name="UHW" localSheetId="0">#REF!</definedName>
    <definedName name="UHW" localSheetId="3">#REF!</definedName>
    <definedName name="UHW" localSheetId="4">#REF!</definedName>
    <definedName name="UHW" localSheetId="5">#REF!</definedName>
    <definedName name="UH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4" l="1"/>
  <c r="G67" i="14"/>
  <c r="J67" i="14"/>
  <c r="K67" i="14"/>
  <c r="L67" i="14"/>
  <c r="M67" i="14"/>
  <c r="N67" i="14"/>
  <c r="O67" i="14"/>
  <c r="P67" i="14"/>
  <c r="Q67" i="14"/>
  <c r="R67" i="14"/>
  <c r="T67" i="14"/>
  <c r="U67" i="14"/>
  <c r="V67" i="14"/>
  <c r="W67" i="14"/>
  <c r="X67" i="14"/>
  <c r="Y67" i="14"/>
  <c r="Z67" i="14"/>
  <c r="AA67" i="14"/>
  <c r="AB67" i="14"/>
  <c r="AC67" i="14"/>
  <c r="AD67" i="14"/>
  <c r="D14" i="14" l="1"/>
  <c r="D16" i="14"/>
  <c r="AD197" i="14"/>
  <c r="AC197" i="14"/>
  <c r="AB197" i="14"/>
  <c r="AA197" i="14"/>
  <c r="Z65" i="14"/>
  <c r="AA65" i="14"/>
  <c r="AB65" i="14"/>
  <c r="AC65" i="14"/>
  <c r="AD65" i="14"/>
  <c r="T65" i="14"/>
  <c r="U65" i="14"/>
  <c r="V65" i="14"/>
  <c r="W65" i="14"/>
  <c r="X65" i="14"/>
  <c r="Y65" i="14"/>
  <c r="Z185" i="14"/>
  <c r="E197" i="14" l="1"/>
  <c r="F197" i="14"/>
  <c r="G197" i="14"/>
  <c r="J197" i="14"/>
  <c r="K197" i="14"/>
  <c r="L197" i="14"/>
  <c r="M197" i="14"/>
  <c r="N197" i="14"/>
  <c r="O197" i="14"/>
  <c r="P197" i="14"/>
  <c r="Q197" i="14"/>
  <c r="R197" i="14"/>
  <c r="T197" i="14"/>
  <c r="U197" i="14"/>
  <c r="V197" i="14"/>
  <c r="W197" i="14"/>
  <c r="X197" i="14"/>
  <c r="Y197" i="14"/>
  <c r="Z197" i="14"/>
  <c r="E185" i="14"/>
  <c r="F185" i="14"/>
  <c r="G185" i="14"/>
  <c r="J185" i="14"/>
  <c r="K185" i="14"/>
  <c r="L185" i="14"/>
  <c r="M185" i="14"/>
  <c r="N185" i="14"/>
  <c r="O185" i="14"/>
  <c r="P185" i="14"/>
  <c r="Q185" i="14"/>
  <c r="R185" i="14"/>
  <c r="T185" i="14"/>
  <c r="U185" i="14"/>
  <c r="V185" i="14"/>
  <c r="W185" i="14"/>
  <c r="X185" i="14"/>
  <c r="Y185" i="14"/>
  <c r="AA185" i="14"/>
  <c r="AB185" i="14"/>
  <c r="AC185" i="14"/>
  <c r="AD185" i="14"/>
  <c r="E195" i="14"/>
  <c r="F195" i="14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S195" i="14"/>
  <c r="T195" i="14"/>
  <c r="U195" i="14"/>
  <c r="V195" i="14"/>
  <c r="W195" i="14"/>
  <c r="X195" i="14"/>
  <c r="Y195" i="14"/>
  <c r="Z195" i="14"/>
  <c r="AA195" i="14"/>
  <c r="AB195" i="14"/>
  <c r="AC195" i="14"/>
  <c r="AD195" i="14"/>
  <c r="E194" i="14"/>
  <c r="F194" i="14"/>
  <c r="G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D59" i="14" l="1"/>
  <c r="D65" i="14" s="1"/>
  <c r="D119" i="14"/>
  <c r="D184" i="14" a="1"/>
  <c r="D184" i="14" s="1"/>
  <c r="D183" i="14"/>
  <c r="D182" i="14"/>
  <c r="D154" i="14" a="1"/>
  <c r="D154" i="14" s="1"/>
  <c r="D152" i="14"/>
  <c r="D19" i="14"/>
  <c r="D20" i="14"/>
  <c r="D195" i="14" l="1"/>
  <c r="D35" i="14"/>
  <c r="D34" i="14"/>
  <c r="D36" i="14"/>
  <c r="D37" i="14"/>
  <c r="D38" i="14"/>
  <c r="D39" i="14"/>
  <c r="D89" i="14" l="1"/>
  <c r="D49" i="14" l="1"/>
  <c r="F202" i="14"/>
  <c r="G202" i="14"/>
  <c r="I202" i="14"/>
  <c r="J202" i="14"/>
  <c r="D40" i="14"/>
  <c r="D88" i="14"/>
  <c r="V80" i="14" l="1"/>
  <c r="AA78" i="14"/>
  <c r="Y78" i="14"/>
  <c r="AC80" i="14"/>
  <c r="E80" i="14"/>
  <c r="F80" i="14"/>
  <c r="G80" i="14"/>
  <c r="I80" i="14"/>
  <c r="J80" i="14"/>
  <c r="K80" i="14"/>
  <c r="L80" i="14"/>
  <c r="M80" i="14"/>
  <c r="O80" i="14"/>
  <c r="P80" i="14"/>
  <c r="Q80" i="14"/>
  <c r="R80" i="14"/>
  <c r="S80" i="14"/>
  <c r="T80" i="14"/>
  <c r="U80" i="14"/>
  <c r="W80" i="14"/>
  <c r="X80" i="14"/>
  <c r="Y80" i="14"/>
  <c r="Z80" i="14"/>
  <c r="AA80" i="14"/>
  <c r="AB80" i="14"/>
  <c r="AD80" i="14"/>
  <c r="E193" i="14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E192" i="14"/>
  <c r="F192" i="14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V191" i="14"/>
  <c r="W191" i="14"/>
  <c r="X191" i="14"/>
  <c r="Y191" i="14"/>
  <c r="Z191" i="14"/>
  <c r="AA191" i="14"/>
  <c r="AB191" i="14"/>
  <c r="AC191" i="14"/>
  <c r="AD191" i="14"/>
  <c r="E190" i="14"/>
  <c r="F190" i="14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V190" i="14"/>
  <c r="W190" i="14"/>
  <c r="X190" i="14"/>
  <c r="Y190" i="14"/>
  <c r="Z190" i="14"/>
  <c r="AA190" i="14"/>
  <c r="AB190" i="14"/>
  <c r="AC190" i="14"/>
  <c r="AD190" i="14"/>
  <c r="E189" i="14"/>
  <c r="F189" i="14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E187" i="14"/>
  <c r="F187" i="14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E186" i="14"/>
  <c r="F186" i="14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D137" i="14"/>
  <c r="D136" i="14"/>
  <c r="D135" i="14"/>
  <c r="D134" i="14"/>
  <c r="D133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G61" i="14"/>
  <c r="J61" i="14"/>
  <c r="K61" i="14"/>
  <c r="L61" i="14"/>
  <c r="M61" i="14"/>
  <c r="N61" i="14"/>
  <c r="O61" i="14"/>
  <c r="P61" i="14"/>
  <c r="Q61" i="14"/>
  <c r="R61" i="14"/>
  <c r="T61" i="14"/>
  <c r="U61" i="14"/>
  <c r="V61" i="14"/>
  <c r="W61" i="14"/>
  <c r="X61" i="14"/>
  <c r="Y61" i="14"/>
  <c r="Z61" i="14"/>
  <c r="AA61" i="14"/>
  <c r="AB61" i="14"/>
  <c r="AC61" i="14"/>
  <c r="AD61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E78" i="14"/>
  <c r="F78" i="14"/>
  <c r="G78" i="14"/>
  <c r="I78" i="14"/>
  <c r="J78" i="14"/>
  <c r="K78" i="14"/>
  <c r="L78" i="14"/>
  <c r="M78" i="14"/>
  <c r="O78" i="14"/>
  <c r="P78" i="14"/>
  <c r="Q78" i="14"/>
  <c r="R78" i="14"/>
  <c r="S78" i="14"/>
  <c r="T78" i="14"/>
  <c r="U78" i="14"/>
  <c r="V78" i="14"/>
  <c r="W78" i="14"/>
  <c r="X78" i="14"/>
  <c r="Z78" i="14"/>
  <c r="AB78" i="14"/>
  <c r="AC78" i="14"/>
  <c r="AD78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D63" i="14"/>
  <c r="R66" i="14" l="1"/>
  <c r="AC66" i="14"/>
  <c r="Y66" i="14"/>
  <c r="AB66" i="14"/>
  <c r="AA66" i="14"/>
  <c r="U66" i="14"/>
  <c r="Z66" i="14"/>
  <c r="W66" i="14"/>
  <c r="V66" i="14"/>
  <c r="T66" i="14"/>
  <c r="X66" i="14"/>
  <c r="AD66" i="14"/>
  <c r="N66" i="14"/>
  <c r="J66" i="14"/>
  <c r="G66" i="14"/>
  <c r="Q66" i="14"/>
  <c r="P66" i="14"/>
  <c r="O66" i="14"/>
  <c r="M66" i="14"/>
  <c r="L66" i="14"/>
  <c r="K66" i="14"/>
  <c r="AB79" i="14"/>
  <c r="P79" i="14"/>
  <c r="W79" i="14"/>
  <c r="E79" i="14"/>
  <c r="L79" i="14"/>
  <c r="V79" i="14"/>
  <c r="AA79" i="14"/>
  <c r="K79" i="14"/>
  <c r="S79" i="14"/>
  <c r="O79" i="14"/>
  <c r="T79" i="14"/>
  <c r="AD79" i="14"/>
  <c r="R79" i="14"/>
  <c r="G79" i="14"/>
  <c r="I79" i="14"/>
  <c r="AC79" i="14"/>
  <c r="Q79" i="14"/>
  <c r="F79" i="14"/>
  <c r="U79" i="14"/>
  <c r="J79" i="14"/>
  <c r="Z79" i="14"/>
  <c r="Y79" i="14"/>
  <c r="X79" i="14"/>
  <c r="M79" i="14"/>
  <c r="D90" i="14" l="1"/>
  <c r="D177" i="14" l="1"/>
  <c r="D193" i="14" s="1"/>
  <c r="AD202" i="14" l="1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H202" i="14"/>
  <c r="E202" i="14"/>
  <c r="D200" i="14"/>
  <c r="D202" i="14" s="1"/>
  <c r="D151" i="14" l="1"/>
  <c r="D148" i="14"/>
  <c r="D131" i="14" l="1"/>
  <c r="D130" i="14"/>
  <c r="D102" i="14"/>
  <c r="D101" i="14"/>
  <c r="D100" i="14"/>
  <c r="D99" i="14"/>
  <c r="D28" i="14"/>
  <c r="D24" i="14"/>
  <c r="D190" i="14" l="1"/>
  <c r="AD188" i="14"/>
  <c r="D9" i="14"/>
  <c r="D11" i="14"/>
  <c r="D12" i="14"/>
  <c r="D13" i="14"/>
  <c r="I15" i="14"/>
  <c r="I67" i="14" s="1"/>
  <c r="D26" i="14"/>
  <c r="S29" i="14"/>
  <c r="S67" i="14" s="1"/>
  <c r="D30" i="14"/>
  <c r="D31" i="14"/>
  <c r="E32" i="14"/>
  <c r="E67" i="14" s="1"/>
  <c r="F32" i="14"/>
  <c r="H32" i="14"/>
  <c r="H67" i="14" s="1"/>
  <c r="D33" i="14"/>
  <c r="D42" i="14"/>
  <c r="D43" i="14"/>
  <c r="D44" i="14"/>
  <c r="F45" i="14"/>
  <c r="D45" i="14" s="1"/>
  <c r="D46" i="14"/>
  <c r="D47" i="14"/>
  <c r="D48" i="14"/>
  <c r="D50" i="14"/>
  <c r="D52" i="14"/>
  <c r="D62" i="14" s="1"/>
  <c r="D56" i="14"/>
  <c r="D57" i="14"/>
  <c r="E188" i="14"/>
  <c r="E196" i="14" s="1"/>
  <c r="F188" i="14"/>
  <c r="F196" i="14" s="1"/>
  <c r="G188" i="14"/>
  <c r="H92" i="14"/>
  <c r="H94" i="14"/>
  <c r="H97" i="14"/>
  <c r="D97" i="14" s="1"/>
  <c r="H179" i="14"/>
  <c r="H194" i="14" s="1"/>
  <c r="H114" i="14"/>
  <c r="H147" i="14"/>
  <c r="D147" i="14" s="1"/>
  <c r="H188" i="14"/>
  <c r="H76" i="14"/>
  <c r="H80" i="14" s="1"/>
  <c r="I104" i="14"/>
  <c r="I179" i="14"/>
  <c r="I194" i="14" s="1"/>
  <c r="I105" i="14"/>
  <c r="D105" i="14" s="1"/>
  <c r="I114" i="14"/>
  <c r="I188" i="14"/>
  <c r="J188" i="14"/>
  <c r="K188" i="14"/>
  <c r="L188" i="14"/>
  <c r="M188" i="14"/>
  <c r="N188" i="14"/>
  <c r="N196" i="14" s="1"/>
  <c r="N76" i="14"/>
  <c r="O188" i="14"/>
  <c r="P188" i="14"/>
  <c r="Q188" i="14"/>
  <c r="R188" i="14"/>
  <c r="S94" i="14"/>
  <c r="S114" i="14"/>
  <c r="S188" i="14"/>
  <c r="T188" i="14"/>
  <c r="U188" i="14"/>
  <c r="V188" i="14"/>
  <c r="W188" i="14"/>
  <c r="X188" i="14"/>
  <c r="Y188" i="14"/>
  <c r="Z188" i="14"/>
  <c r="AA188" i="14"/>
  <c r="AB188" i="14"/>
  <c r="AC188" i="14"/>
  <c r="D93" i="14"/>
  <c r="D95" i="14"/>
  <c r="D96" i="14"/>
  <c r="D103" i="14"/>
  <c r="D106" i="14"/>
  <c r="D107" i="14"/>
  <c r="D109" i="14"/>
  <c r="D111" i="14"/>
  <c r="D112" i="14"/>
  <c r="D113" i="14"/>
  <c r="D115" i="14"/>
  <c r="D120" i="14"/>
  <c r="D121" i="14"/>
  <c r="D123" i="14"/>
  <c r="D124" i="14"/>
  <c r="D125" i="14"/>
  <c r="D126" i="14"/>
  <c r="D127" i="14"/>
  <c r="D128" i="14"/>
  <c r="D129" i="14"/>
  <c r="D132" i="14"/>
  <c r="D138" i="14"/>
  <c r="D139" i="14"/>
  <c r="D140" i="14"/>
  <c r="D141" i="14"/>
  <c r="D142" i="14"/>
  <c r="D143" i="14"/>
  <c r="D144" i="14"/>
  <c r="D145" i="14"/>
  <c r="D146" i="14"/>
  <c r="D149" i="14"/>
  <c r="D150" i="14"/>
  <c r="D180" i="14"/>
  <c r="D158" i="14"/>
  <c r="D157" i="14"/>
  <c r="D156" i="14"/>
  <c r="D160" i="14"/>
  <c r="D188" i="14" s="1"/>
  <c r="D164" i="14"/>
  <c r="D162" i="14"/>
  <c r="D186" i="14"/>
  <c r="D170" i="14"/>
  <c r="D169" i="14"/>
  <c r="D175" i="14"/>
  <c r="D192" i="14" s="1"/>
  <c r="D70" i="14"/>
  <c r="D73" i="14"/>
  <c r="D72" i="14"/>
  <c r="D75" i="14"/>
  <c r="F67" i="14" l="1"/>
  <c r="D189" i="14"/>
  <c r="AC196" i="14"/>
  <c r="AC206" i="14"/>
  <c r="AB196" i="14"/>
  <c r="AB206" i="14"/>
  <c r="AA196" i="14"/>
  <c r="AA206" i="14"/>
  <c r="Z196" i="14"/>
  <c r="Z205" i="14" s="1"/>
  <c r="Z206" i="14"/>
  <c r="Y196" i="14"/>
  <c r="Y206" i="14"/>
  <c r="X196" i="14"/>
  <c r="X206" i="14"/>
  <c r="W196" i="14"/>
  <c r="W206" i="14"/>
  <c r="V196" i="14"/>
  <c r="V206" i="14"/>
  <c r="U196" i="14"/>
  <c r="U206" i="14"/>
  <c r="T196" i="14"/>
  <c r="T206" i="14"/>
  <c r="S197" i="14"/>
  <c r="S185" i="14"/>
  <c r="S196" i="14" s="1"/>
  <c r="R206" i="14"/>
  <c r="R196" i="14"/>
  <c r="Q196" i="14"/>
  <c r="Q206" i="14"/>
  <c r="P206" i="14"/>
  <c r="P196" i="14"/>
  <c r="O206" i="14"/>
  <c r="O196" i="14"/>
  <c r="M196" i="14"/>
  <c r="M206" i="14"/>
  <c r="L196" i="14"/>
  <c r="L206" i="14"/>
  <c r="K196" i="14"/>
  <c r="K206" i="14"/>
  <c r="J196" i="14"/>
  <c r="J206" i="14"/>
  <c r="D87" i="14"/>
  <c r="I197" i="14"/>
  <c r="I185" i="14"/>
  <c r="I196" i="14" s="1"/>
  <c r="H197" i="14"/>
  <c r="H185" i="14"/>
  <c r="H196" i="14" s="1"/>
  <c r="G196" i="14"/>
  <c r="G206" i="14"/>
  <c r="AD196" i="14"/>
  <c r="AD206" i="14"/>
  <c r="D64" i="14"/>
  <c r="N80" i="14"/>
  <c r="D77" i="14"/>
  <c r="D191" i="14"/>
  <c r="D187" i="14"/>
  <c r="D92" i="14"/>
  <c r="D179" i="14"/>
  <c r="D194" i="14" s="1"/>
  <c r="H61" i="14"/>
  <c r="E61" i="14"/>
  <c r="H78" i="14"/>
  <c r="H79" i="14" s="1"/>
  <c r="F61" i="14"/>
  <c r="I61" i="14"/>
  <c r="N78" i="14"/>
  <c r="D29" i="14"/>
  <c r="S61" i="14"/>
  <c r="D41" i="14"/>
  <c r="D76" i="14"/>
  <c r="D78" i="14" s="1"/>
  <c r="D94" i="14"/>
  <c r="D114" i="14"/>
  <c r="D32" i="14"/>
  <c r="D18" i="14"/>
  <c r="D67" i="14" s="1"/>
  <c r="D104" i="14"/>
  <c r="N79" i="14" l="1"/>
  <c r="N206" i="14"/>
  <c r="D185" i="14"/>
  <c r="D196" i="14" s="1"/>
  <c r="D197" i="14"/>
  <c r="S66" i="14"/>
  <c r="S205" i="14" s="1"/>
  <c r="S206" i="14"/>
  <c r="E66" i="14"/>
  <c r="E205" i="14" s="1"/>
  <c r="E206" i="14"/>
  <c r="H66" i="14"/>
  <c r="H205" i="14" s="1"/>
  <c r="H206" i="14"/>
  <c r="I66" i="14"/>
  <c r="I205" i="14" s="1"/>
  <c r="I206" i="14"/>
  <c r="F66" i="14"/>
  <c r="F205" i="14" s="1"/>
  <c r="F206" i="14"/>
  <c r="D61" i="14"/>
  <c r="D80" i="14"/>
  <c r="D79" i="14"/>
  <c r="M205" i="14"/>
  <c r="L205" i="14"/>
  <c r="AC205" i="14"/>
  <c r="Y205" i="14"/>
  <c r="T205" i="14"/>
  <c r="AB205" i="14"/>
  <c r="AD205" i="14"/>
  <c r="J205" i="14"/>
  <c r="W205" i="14"/>
  <c r="X205" i="14"/>
  <c r="G205" i="14"/>
  <c r="U205" i="14"/>
  <c r="R205" i="14"/>
  <c r="O205" i="14"/>
  <c r="V205" i="14"/>
  <c r="N205" i="14"/>
  <c r="AA205" i="14"/>
  <c r="P205" i="14"/>
  <c r="K205" i="14"/>
  <c r="Q205" i="14"/>
  <c r="D66" i="14" l="1"/>
  <c r="D205" i="14" s="1"/>
  <c r="D20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tc={EA71FA10-8750-4111-A45E-DA80AA0C446A}</author>
    <author>tc={96F0C163-4362-471E-927A-E00CF1226E39}</author>
  </authors>
  <commentList>
    <comment ref="H102" authorId="0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mod
Reply:
    Accepted</t>
      </text>
    </comment>
    <comment ref="A178" authorId="1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FMD informed that B466 and B1030 are 100% Reimbursable as per iNFADS Property Record: CHANGE funding Activity from CNIC to DLA ENERGY 
Reply:
    Accepted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<sst xmlns="http://schemas.openxmlformats.org/spreadsheetml/2006/main" count="2159" uniqueCount="531">
  <si>
    <t>ATTACHMENT J-1503010-06.a (Tab 1)</t>
  </si>
  <si>
    <t>CUSTODIAL INVENTORY FOR NAS SIGONELLA, ITALY</t>
  </si>
  <si>
    <t>Rooms and Total Areas (SM)</t>
  </si>
  <si>
    <t>Floor Type by Area (SM)  (Note 1)</t>
  </si>
  <si>
    <t>Equipment, Window and Dusting Quantities</t>
  </si>
  <si>
    <t>Restroom and Fixture Quantities</t>
  </si>
  <si>
    <t>Perimeter Quantities</t>
  </si>
  <si>
    <t>Facility No.</t>
  </si>
  <si>
    <t>Facility Description</t>
  </si>
  <si>
    <t>Total Rooms</t>
  </si>
  <si>
    <t>Total Area (SM)</t>
  </si>
  <si>
    <t>Carpet</t>
  </si>
  <si>
    <t>Carpet (Offices)</t>
  </si>
  <si>
    <t>Wood</t>
  </si>
  <si>
    <t>Tile</t>
  </si>
  <si>
    <t>Tile (Offices)</t>
  </si>
  <si>
    <t>Rubber</t>
  </si>
  <si>
    <t>Concrete/Steel</t>
  </si>
  <si>
    <t>Waste Containers (See Note 4)</t>
  </si>
  <si>
    <t>Recycling Containers</t>
  </si>
  <si>
    <t>Window Area (SM)</t>
  </si>
  <si>
    <t>Dusting Area (SM)</t>
  </si>
  <si>
    <t>Venetion Blinds (SM)</t>
  </si>
  <si>
    <t>Drinkg Fountains</t>
  </si>
  <si>
    <t>Total Restrooms</t>
  </si>
  <si>
    <t>Area (SM) (Note 1)</t>
  </si>
  <si>
    <t>Sinks</t>
  </si>
  <si>
    <t>Toilets</t>
  </si>
  <si>
    <t>Showers</t>
  </si>
  <si>
    <t>Urinals</t>
  </si>
  <si>
    <t>Soap Dispensers</t>
  </si>
  <si>
    <t>Paper Towel Disps</t>
  </si>
  <si>
    <t>Mess Area (SM)</t>
  </si>
  <si>
    <t>Sitting Benches</t>
  </si>
  <si>
    <t>Picnic/Tables &amp; Chairs</t>
  </si>
  <si>
    <t>Waste Containers</t>
  </si>
  <si>
    <t>NAS I</t>
  </si>
  <si>
    <t>FUNDING ACTIVITY: CNRE (Region)</t>
  </si>
  <si>
    <t>Bus Stop Shelter (Main Gate)</t>
  </si>
  <si>
    <t>Bus Stop Shelter (NEX Parking Lot)</t>
  </si>
  <si>
    <t>Recreational Fields Restrooms</t>
  </si>
  <si>
    <r>
      <t xml:space="preserve">East Energy Building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</si>
  <si>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Chart Room (1st Floor) </t>
    </r>
    <r>
      <rPr>
        <b/>
        <sz val="10"/>
        <color rgb="FF002060"/>
        <rFont val="Times New Roman"/>
        <family val="1"/>
      </rPr>
      <t>(MWR)</t>
    </r>
  </si>
  <si>
    <r>
      <t xml:space="preserve">MWR Admin (1st Floor) </t>
    </r>
    <r>
      <rPr>
        <b/>
        <sz val="10"/>
        <color rgb="FF002060"/>
        <rFont val="Times New Roman"/>
        <family val="1"/>
      </rPr>
      <t>(MWR)</t>
    </r>
  </si>
  <si>
    <t>Compass Room (2nd Floor) (MWR)</t>
  </si>
  <si>
    <t xml:space="preserve">N92 Connections (1st Floor) (MWR) </t>
  </si>
  <si>
    <t>Fire Station</t>
  </si>
  <si>
    <t>Bachelor Enlisted Quarters</t>
  </si>
  <si>
    <r>
      <t xml:space="preserve">Unoccupied - </t>
    </r>
    <r>
      <rPr>
        <b/>
        <i/>
        <sz val="10"/>
        <color rgb="FF002060"/>
        <rFont val="Times New Roman"/>
        <family val="1"/>
      </rPr>
      <t>Perimeter Services Only</t>
    </r>
  </si>
  <si>
    <t>N92 MWR - Midtown_Fitness</t>
  </si>
  <si>
    <t>N92 MWR - Midtown_Food court</t>
  </si>
  <si>
    <t>N92 MWR - Midtown_other areas</t>
  </si>
  <si>
    <t>Water Treatment Facility</t>
  </si>
  <si>
    <r>
      <t xml:space="preserve">N92 Memorial Park Playground - </t>
    </r>
    <r>
      <rPr>
        <b/>
        <i/>
        <sz val="10"/>
        <color rgb="FF002060"/>
        <rFont val="Times New Roman"/>
        <family val="1"/>
      </rPr>
      <t>Perimeter Services Only</t>
    </r>
  </si>
  <si>
    <t>Nato Support Element (1st Floor)</t>
  </si>
  <si>
    <r>
      <t xml:space="preserve">NEX/DECA/Food Court - </t>
    </r>
    <r>
      <rPr>
        <b/>
        <i/>
        <sz val="10"/>
        <color rgb="FF002060"/>
        <rFont val="Times New Roman"/>
        <family val="1"/>
      </rPr>
      <t>Perimeter Services &amp; Waste and Recycling Containers Only</t>
    </r>
  </si>
  <si>
    <r>
      <t xml:space="preserve">N94 MWR Warehouse </t>
    </r>
    <r>
      <rPr>
        <b/>
        <sz val="10"/>
        <color rgb="FF002060"/>
        <rFont val="Times New Roman"/>
        <family val="1"/>
      </rPr>
      <t>(MWR)</t>
    </r>
  </si>
  <si>
    <t>NAS I Builder Shop</t>
  </si>
  <si>
    <r>
      <t xml:space="preserve">N96 Child Development Center </t>
    </r>
    <r>
      <rPr>
        <b/>
        <sz val="10"/>
        <color rgb="FF002060"/>
        <rFont val="Times New Roman"/>
        <family val="1"/>
      </rPr>
      <t>(MWR) CYP Facility</t>
    </r>
  </si>
  <si>
    <t xml:space="preserve">Chapel &amp; Community Bldg </t>
  </si>
  <si>
    <t>Thrift Store</t>
  </si>
  <si>
    <t>Navy College</t>
  </si>
  <si>
    <t>Red Cross</t>
  </si>
  <si>
    <t>Post Office</t>
  </si>
  <si>
    <t>Veterinary Clinic (Class A)</t>
  </si>
  <si>
    <t>Veterinary Clinic (Class B)</t>
  </si>
  <si>
    <t>Veterinary Clinic (Class C)</t>
  </si>
  <si>
    <t>Veterinary Clinic (Class D)</t>
  </si>
  <si>
    <t>Veterinary Clinic (Class E)</t>
  </si>
  <si>
    <t>Veterinary Clinic (Class N)</t>
  </si>
  <si>
    <t>N92 Library</t>
  </si>
  <si>
    <r>
      <t xml:space="preserve">N96 School Age Care </t>
    </r>
    <r>
      <rPr>
        <b/>
        <sz val="10"/>
        <color rgb="FF002060"/>
        <rFont val="Times New Roman"/>
        <family val="1"/>
      </rPr>
      <t>(MWR)</t>
    </r>
    <r>
      <rPr>
        <sz val="10"/>
        <color rgb="FF002060"/>
        <rFont val="Times New Roman"/>
        <family val="1"/>
      </rPr>
      <t xml:space="preserve"> </t>
    </r>
    <r>
      <rPr>
        <b/>
        <sz val="10"/>
        <color rgb="FF002060"/>
        <rFont val="Times New Roman"/>
        <family val="1"/>
      </rPr>
      <t>CYP Facility</t>
    </r>
  </si>
  <si>
    <t>Common Area</t>
  </si>
  <si>
    <t>Women, Infants, Children (WIC) Offices</t>
  </si>
  <si>
    <t>Fleet &amp; Family Service Center</t>
  </si>
  <si>
    <t>Human Resources Office (HRO)</t>
  </si>
  <si>
    <t>Navy-Marine Corps Relief Society</t>
  </si>
  <si>
    <t>Computer Svcs-ISD</t>
  </si>
  <si>
    <t>Training</t>
  </si>
  <si>
    <t>Security Office</t>
  </si>
  <si>
    <t>FUNDING ACTIVITY:  Bank of America (BOA) - Only for custodial frequencies above Standard Service Level</t>
  </si>
  <si>
    <t>Bank of America Bank</t>
  </si>
  <si>
    <t>FUNDING ACTIVITY: NGIS</t>
  </si>
  <si>
    <r>
      <t xml:space="preserve">NGIS - </t>
    </r>
    <r>
      <rPr>
        <b/>
        <i/>
        <sz val="10"/>
        <color rgb="FF002060"/>
        <rFont val="Times New Roman"/>
        <family val="1"/>
      </rPr>
      <t>Perimeter Services Only</t>
    </r>
  </si>
  <si>
    <t>FUNDING ACTIVITY: Family Housing</t>
  </si>
  <si>
    <t>Housing Office</t>
  </si>
  <si>
    <t>Housing Reception Area</t>
  </si>
  <si>
    <t>FUNDING ACTIVITY: NAVSUP FLC</t>
  </si>
  <si>
    <t>Total CNRE (Region):</t>
  </si>
  <si>
    <t>Total Bank of America (BOA):</t>
  </si>
  <si>
    <t>Naval Education and Training Comman (NETC)</t>
  </si>
  <si>
    <t>Total NGIS</t>
  </si>
  <si>
    <t xml:space="preserve">Total Family Housing: </t>
  </si>
  <si>
    <t xml:space="preserve">Total NAVSUP FLC: </t>
  </si>
  <si>
    <t>Total NAS I:</t>
  </si>
  <si>
    <t>Marinai Housing</t>
  </si>
  <si>
    <t xml:space="preserve">FUNDING ACTIVITY:  CNRE (Region) </t>
  </si>
  <si>
    <r>
      <t xml:space="preserve">Youth Complex </t>
    </r>
    <r>
      <rPr>
        <b/>
        <sz val="10"/>
        <color rgb="FF002060"/>
        <rFont val="Times New Roman"/>
        <family val="1"/>
      </rPr>
      <t>(MWR) CYP Facility</t>
    </r>
  </si>
  <si>
    <t>Marinai Realty</t>
  </si>
  <si>
    <t>Marinai Security Bldg.</t>
  </si>
  <si>
    <t>U - 2516</t>
  </si>
  <si>
    <t>Marinai Sport Field Restrooms (1 Male, 1 Female)</t>
  </si>
  <si>
    <t>FUNDING ACTIVITY:  Family Housing</t>
  </si>
  <si>
    <t>2229-A</t>
  </si>
  <si>
    <t>Housing Office (Housing Model Unit)</t>
  </si>
  <si>
    <t>Total CNRE:</t>
  </si>
  <si>
    <t>Total Marinai Housing:</t>
  </si>
  <si>
    <t>NAS II</t>
  </si>
  <si>
    <t>FUNDING ACTIVITY:  CNRE (Region)</t>
  </si>
  <si>
    <t>Bus Stop Shelter (Air Terminal)</t>
  </si>
  <si>
    <t>Bus Stop Shelter (AIMD/PWD)</t>
  </si>
  <si>
    <t>Bus Stop Shelter (NEX/Flight Line Clinic)</t>
  </si>
  <si>
    <t>Bus Stop Shelter (Galley)</t>
  </si>
  <si>
    <t>Bus Stop Shelter (Fire Station)</t>
  </si>
  <si>
    <t>Bus Stop Shelter (NCTS)</t>
  </si>
  <si>
    <t>Air Ops (Control Tower)</t>
  </si>
  <si>
    <t xml:space="preserve">Aircraft/Fire Rescue Station </t>
  </si>
  <si>
    <t>408 - P655</t>
  </si>
  <si>
    <t>P8-A Hangar</t>
  </si>
  <si>
    <t>Triton Hangar</t>
  </si>
  <si>
    <r>
      <t>Parking Garage -</t>
    </r>
    <r>
      <rPr>
        <b/>
        <i/>
        <sz val="10"/>
        <color rgb="FF002060"/>
        <rFont val="Times New Roman"/>
        <family val="1"/>
      </rPr>
      <t xml:space="preserve"> Perimeter Services Only</t>
    </r>
  </si>
  <si>
    <t>Ground Electronics</t>
  </si>
  <si>
    <t>Trans Squadron Ops (T-Line)</t>
  </si>
  <si>
    <t>AIMD, ASD, ETD, VP</t>
  </si>
  <si>
    <t>ITD</t>
  </si>
  <si>
    <t>Telephone Exchange</t>
  </si>
  <si>
    <t>435A</t>
  </si>
  <si>
    <t>Telephone Exchange Trailer</t>
  </si>
  <si>
    <r>
      <t xml:space="preserve">Chock Full of Nuts - </t>
    </r>
    <r>
      <rPr>
        <b/>
        <i/>
        <sz val="10"/>
        <color rgb="FF002060"/>
        <rFont val="Times New Roman"/>
        <family val="1"/>
      </rPr>
      <t>Waste and Recycling Containers Only</t>
    </r>
  </si>
  <si>
    <t>Liquid Oxy Facility</t>
  </si>
  <si>
    <t>Engine Maintenance Shop</t>
  </si>
  <si>
    <t>Air Frame Shop</t>
  </si>
  <si>
    <t>DETMAST</t>
  </si>
  <si>
    <t>Emergency Operations Center</t>
  </si>
  <si>
    <t>Base Communications Office</t>
  </si>
  <si>
    <t>Comptroller</t>
  </si>
  <si>
    <t>Admin/PSD Offices</t>
  </si>
  <si>
    <t>ITD Spaces</t>
  </si>
  <si>
    <t>NAS II Water Treatment Plant</t>
  </si>
  <si>
    <t>Autoport</t>
  </si>
  <si>
    <t>Galley</t>
  </si>
  <si>
    <t>Supply</t>
  </si>
  <si>
    <t>Navy Federal Credit Union</t>
  </si>
  <si>
    <r>
      <t xml:space="preserve">Pool Bath House </t>
    </r>
    <r>
      <rPr>
        <b/>
        <sz val="10"/>
        <color rgb="FF002060"/>
        <rFont val="Times New Roman"/>
        <family val="1"/>
      </rPr>
      <t>(MWR)</t>
    </r>
  </si>
  <si>
    <t>GSE Shop</t>
  </si>
  <si>
    <r>
      <t>Gymnasium</t>
    </r>
    <r>
      <rPr>
        <b/>
        <sz val="10"/>
        <color rgb="FF002060"/>
        <rFont val="Times New Roman"/>
        <family val="1"/>
      </rPr>
      <t xml:space="preserve"> (MWR)</t>
    </r>
  </si>
  <si>
    <r>
      <t xml:space="preserve">NEX Minimart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</si>
  <si>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Parking Garage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</si>
  <si>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Bachelor Enlisted Qtrs - </t>
    </r>
    <r>
      <rPr>
        <b/>
        <i/>
        <sz val="10"/>
        <color rgb="FF002060"/>
        <rFont val="Times New Roman"/>
        <family val="1"/>
      </rPr>
      <t>Perimeter Services Only</t>
    </r>
  </si>
  <si>
    <t>Subway</t>
  </si>
  <si>
    <t>Legal</t>
  </si>
  <si>
    <r>
      <t xml:space="preserve">Big Al's </t>
    </r>
    <r>
      <rPr>
        <b/>
        <sz val="10"/>
        <color rgb="FF002060"/>
        <rFont val="Times New Roman"/>
        <family val="1"/>
      </rPr>
      <t xml:space="preserve">(MWR) - </t>
    </r>
    <r>
      <rPr>
        <b/>
        <i/>
        <sz val="10"/>
        <color rgb="FF002060"/>
        <rFont val="Times New Roman"/>
        <family val="1"/>
      </rPr>
      <t>Perimeter Services Only &amp; Waste and Recycling Containers Only</t>
    </r>
  </si>
  <si>
    <r>
      <t>Jox Sports Bar</t>
    </r>
    <r>
      <rPr>
        <b/>
        <sz val="10"/>
        <color rgb="FF002060"/>
        <rFont val="Times New Roman"/>
        <family val="1"/>
      </rPr>
      <t xml:space="preserve"> (MWR)</t>
    </r>
  </si>
  <si>
    <r>
      <t xml:space="preserve">Liberty Center </t>
    </r>
    <r>
      <rPr>
        <b/>
        <sz val="10"/>
        <color rgb="FF002060"/>
        <rFont val="Times New Roman"/>
        <family val="1"/>
      </rPr>
      <t>(MWR)</t>
    </r>
  </si>
  <si>
    <r>
      <t xml:space="preserve">Recreation Field Covered Shelter </t>
    </r>
    <r>
      <rPr>
        <b/>
        <sz val="10"/>
        <color rgb="FF002060"/>
        <rFont val="Times New Roman"/>
        <family val="1"/>
      </rPr>
      <t>(MWR)</t>
    </r>
  </si>
  <si>
    <t>NCTS Sigonella Maint Supply</t>
  </si>
  <si>
    <t>NAVCOMTELSTA Sigonella</t>
  </si>
  <si>
    <t>Fuels II</t>
  </si>
  <si>
    <t>Staff Judge Advocate</t>
  </si>
  <si>
    <t>New ECP Guard Shack</t>
  </si>
  <si>
    <t>Visitors Control Center</t>
  </si>
  <si>
    <t>ICO Admin Offices</t>
  </si>
  <si>
    <t>PWD Administration</t>
  </si>
  <si>
    <t>PWD Shops</t>
  </si>
  <si>
    <t>Material Storage (FISC)</t>
  </si>
  <si>
    <t>Auto Vehicle Shop</t>
  </si>
  <si>
    <t>Crane Shop</t>
  </si>
  <si>
    <t>Safety</t>
  </si>
  <si>
    <t>SPMAGTF</t>
  </si>
  <si>
    <t>Fleet Mail Center</t>
  </si>
  <si>
    <t>Maintenance Hangar</t>
  </si>
  <si>
    <t>Commander Task Force-67</t>
  </si>
  <si>
    <t>Air Terminal Annex</t>
  </si>
  <si>
    <t>Personal Property/Supply</t>
  </si>
  <si>
    <t>MVRO Force Protection Offices</t>
  </si>
  <si>
    <t>MWD Kennel</t>
  </si>
  <si>
    <t>Chapel</t>
  </si>
  <si>
    <t>NCTS Emerg Locker</t>
  </si>
  <si>
    <t>Armory</t>
  </si>
  <si>
    <t>Weapons Admin</t>
  </si>
  <si>
    <t>FUNDING ACTIVITY:  CNRE (Region) - HAZMIN Center</t>
  </si>
  <si>
    <t>HAZMAT</t>
  </si>
  <si>
    <r>
      <t>FUNDING ACTIVITY:  Air Mobility Command (AMC)</t>
    </r>
    <r>
      <rPr>
        <sz val="10"/>
        <color rgb="FF002060"/>
        <rFont val="Times New Roman"/>
        <family val="1"/>
      </rPr>
      <t xml:space="preserve"> - 71% Funded by AMC / 29% funded by CNRE</t>
    </r>
  </si>
  <si>
    <t>Air Passenger Terminal (Common)</t>
  </si>
  <si>
    <t>Air Cargo Terminal (AMC Area)</t>
  </si>
  <si>
    <t>Air Cargo Terminal (Navy Area - CNRE Funded)</t>
  </si>
  <si>
    <t>FUNDING ACTIVITY:  Naval Criminal Investigative Service (NCIS)</t>
  </si>
  <si>
    <t>NCIS Office</t>
  </si>
  <si>
    <t> </t>
  </si>
  <si>
    <t>FUNDING ACTIVITY:  NGIS</t>
  </si>
  <si>
    <t>FUNDING ACTIVITY:  Operations Air Force - Global Hawk</t>
  </si>
  <si>
    <t>Global Hawk Hangar</t>
  </si>
  <si>
    <t>Global Hawk SATCOM</t>
  </si>
  <si>
    <t>Global Hawk SATCOM - Storage Area</t>
  </si>
  <si>
    <t>Global Hawk SATCOM - Guard Shack</t>
  </si>
  <si>
    <t>FUNDING ACTIVITY:  Space Force</t>
  </si>
  <si>
    <t>Space Force</t>
  </si>
  <si>
    <t>FUNDING ACTIVITY:  DLA Disposition</t>
  </si>
  <si>
    <t>Emergency Management</t>
  </si>
  <si>
    <t>FUNDING ACTIVITY:  DLA Energy</t>
  </si>
  <si>
    <t>Fuel Farm Office</t>
  </si>
  <si>
    <t>Fuels I</t>
  </si>
  <si>
    <t>FUNDING ACTIVITY:  NAVSUP FLC (for custodial frequencies above Standard Service Level, see</t>
  </si>
  <si>
    <t>Total CNRE (Region) - HAZMIN Center:</t>
  </si>
  <si>
    <t>Total Air Mobility Command (AMC):</t>
  </si>
  <si>
    <t>Total NCIS:</t>
  </si>
  <si>
    <t>Total NGIS:</t>
  </si>
  <si>
    <t>Total Global Hawk:</t>
  </si>
  <si>
    <t>Total Space Force</t>
  </si>
  <si>
    <t>Total DLA Disposition:</t>
  </si>
  <si>
    <t>Total DLA Energy:</t>
  </si>
  <si>
    <t>Total NAVSUP FLC:</t>
  </si>
  <si>
    <t>Total NAS II:</t>
  </si>
  <si>
    <t>NISCEMI</t>
  </si>
  <si>
    <t>Niscemi NRTF</t>
  </si>
  <si>
    <t>Total NISCEMI:</t>
  </si>
  <si>
    <t>Contract Totals:</t>
  </si>
  <si>
    <t>NUMBER OF FLOORS BY BUILDING</t>
  </si>
  <si>
    <t>Bldg. No.</t>
  </si>
  <si>
    <t>Number of floors</t>
  </si>
  <si>
    <t>East Energy Building Perimeter Services Only</t>
  </si>
  <si>
    <t>MWR CONNECTIONS / TRAINING</t>
  </si>
  <si>
    <t>(Unoccupied as of FY-18) Perimeter Services Only</t>
  </si>
  <si>
    <t>NGIS Perimeter Services Only</t>
  </si>
  <si>
    <t>Midtown (MWR)</t>
  </si>
  <si>
    <t>(Unoccupied as of FY-17) Perimeter Services Only</t>
  </si>
  <si>
    <t>Memorial Park Playground</t>
  </si>
  <si>
    <t>NEX/DECA/Food Court</t>
  </si>
  <si>
    <t>MWR Warehouse (MWR)</t>
  </si>
  <si>
    <t>Educ Dev Intervent Svcs (EDIS)</t>
  </si>
  <si>
    <t>Hospital/Dental Clinic</t>
  </si>
  <si>
    <t>Admin/Training Facility</t>
  </si>
  <si>
    <t>Child Development Center (MWR) CYP Facility</t>
  </si>
  <si>
    <t>Community Building</t>
  </si>
  <si>
    <t>Administrative Buildlilng Family Services-Center</t>
  </si>
  <si>
    <t>Parking Garage</t>
  </si>
  <si>
    <t>Chock Full of Nuts</t>
  </si>
  <si>
    <t>Air Cargo Terminal</t>
  </si>
  <si>
    <t>Comptroller / NCIS</t>
  </si>
  <si>
    <t>Pool Bath House (MWR)</t>
  </si>
  <si>
    <t xml:space="preserve">NGIS </t>
  </si>
  <si>
    <t>Gymnasium (MWR)</t>
  </si>
  <si>
    <t>NEX Minimart Perimeter Services Only</t>
  </si>
  <si>
    <t>Flight Line Clinic</t>
  </si>
  <si>
    <t>Parking Garage Perimeter Services Only</t>
  </si>
  <si>
    <t>Bachelor Enlisted Qtrs Perimeter Services Only</t>
  </si>
  <si>
    <t>Big Al's</t>
  </si>
  <si>
    <t>Recreation Field Covered Shelter (MWR)</t>
  </si>
  <si>
    <t>NCTS Maint Supply</t>
  </si>
  <si>
    <t>NCTS</t>
  </si>
  <si>
    <t>ICO Admin</t>
  </si>
  <si>
    <t>CTF-67</t>
  </si>
  <si>
    <t>MVRO</t>
  </si>
  <si>
    <t>MARINAI HOUSING</t>
  </si>
  <si>
    <t>Youth Complex / Marinai Realty / Housing Office</t>
  </si>
  <si>
    <t>Note 1:</t>
  </si>
  <si>
    <t>Floor areas for restrooms are provided in column "T" Area (SM).  Floor type for restrooms is Tile</t>
  </si>
  <si>
    <t>Note 2:</t>
  </si>
  <si>
    <t>DHA facilities detailed custodial inventory and frequencies are provided in separate attachment J-1503010-06.b.  Custodial inventory and frequencies for Bldg 318, Veterinary Clinic (CNRE funded) are also provided in attachment J-1503010-06.b</t>
  </si>
  <si>
    <t>Note 4:</t>
  </si>
  <si>
    <t>For CNRE (Region) funded desk-side waste containers inventory see attachment J-1503040-06.a, Tab 3</t>
  </si>
  <si>
    <t xml:space="preserve"> </t>
  </si>
  <si>
    <t>Note 5:</t>
  </si>
  <si>
    <t>For CNRE (Region) recycling containers inventory see attachment J-1503040-06.a, Tab 4</t>
  </si>
  <si>
    <t>Note 6:</t>
  </si>
  <si>
    <t>On average there are two (2) walk-off mats per each building/facility listed in column "A"</t>
  </si>
  <si>
    <t>ATTACHMENT J-1503010-06.a (Tab 2)</t>
  </si>
  <si>
    <t>FREQUENCIES OF CUSTODIAL SERVICES FOR NAS SIGONELLA, ITALY</t>
  </si>
  <si>
    <t>Floor Care</t>
  </si>
  <si>
    <t>Space Cleaning</t>
  </si>
  <si>
    <t>Restroom Services</t>
  </si>
  <si>
    <t>Group Shower/ Locker Room</t>
  </si>
  <si>
    <t>Building Perimeter Services</t>
  </si>
  <si>
    <t>Limited Service Interval Time</t>
  </si>
  <si>
    <t>Sweeping and Dust Mopping</t>
  </si>
  <si>
    <t>Sweeping and Dust Mopping (Offices)</t>
  </si>
  <si>
    <t>Vacuuming Carpets and Rugs</t>
  </si>
  <si>
    <t>Vacuuming Carpets and Rugs (Offices)</t>
  </si>
  <si>
    <t>Cleaning Walk-off Mats (Note 2)</t>
  </si>
  <si>
    <t xml:space="preserve">Spray Cleaning and Buffing </t>
  </si>
  <si>
    <t>Machine Scrubbing</t>
  </si>
  <si>
    <t>Wet Mopping</t>
  </si>
  <si>
    <t>Wet Mopping (Offices)</t>
  </si>
  <si>
    <t xml:space="preserve">Stripping, Coating, and Buffing </t>
  </si>
  <si>
    <t>Carpet and Rug Deep Cleaning</t>
  </si>
  <si>
    <t>Emptying Waste and Recycling Containers</t>
  </si>
  <si>
    <t xml:space="preserve">Low Area Cleaning </t>
  </si>
  <si>
    <t xml:space="preserve">High Area Cleaning </t>
  </si>
  <si>
    <t xml:space="preserve">Interior Window Cleaning </t>
  </si>
  <si>
    <t xml:space="preserve">Exterior Window Cleaning </t>
  </si>
  <si>
    <t xml:space="preserve">Window Blinds Cleaning </t>
  </si>
  <si>
    <t>Entrance Cleaning</t>
  </si>
  <si>
    <t>Interior Glass Surfaces Cleaning</t>
  </si>
  <si>
    <t>Exercise/Gym Servicing</t>
  </si>
  <si>
    <t>Drinking Fountains Cleaning</t>
  </si>
  <si>
    <t>Lactation Rooms</t>
  </si>
  <si>
    <t>Lunch/Break Room Cleaning</t>
  </si>
  <si>
    <t>Restroom Cleaning</t>
  </si>
  <si>
    <t>Restock Supplies</t>
  </si>
  <si>
    <t xml:space="preserve">Debris Removal </t>
  </si>
  <si>
    <t xml:space="preserve">Emptying Perimeter Waste Containers </t>
  </si>
  <si>
    <t>2M</t>
  </si>
  <si>
    <t>W</t>
  </si>
  <si>
    <t>Recreation Fields Restrooms</t>
  </si>
  <si>
    <t>D7</t>
  </si>
  <si>
    <r>
      <t xml:space="preserve">East Energy Building </t>
    </r>
    <r>
      <rPr>
        <b/>
        <i/>
        <sz val="10"/>
        <color rgb="FF002060"/>
        <rFont val="Times New Roman"/>
        <family val="1"/>
      </rPr>
      <t>Perimeter Services Only</t>
    </r>
  </si>
  <si>
    <t>M</t>
  </si>
  <si>
    <t>D5</t>
  </si>
  <si>
    <t>1400-1600</t>
  </si>
  <si>
    <r>
      <t xml:space="preserve">N9 Admin Building (1st Floor) </t>
    </r>
    <r>
      <rPr>
        <b/>
        <sz val="10"/>
        <color rgb="FF002060"/>
        <rFont val="Times New Roman"/>
        <family val="1"/>
      </rPr>
      <t>(MWR)</t>
    </r>
  </si>
  <si>
    <t>4Y</t>
  </si>
  <si>
    <t>Y/2</t>
  </si>
  <si>
    <r>
      <t xml:space="preserve">N92 Compass Room (2nd Floor) </t>
    </r>
    <r>
      <rPr>
        <b/>
        <sz val="10"/>
        <color rgb="FF002060"/>
        <rFont val="Times New Roman"/>
        <family val="1"/>
      </rPr>
      <t>(MWR)</t>
    </r>
  </si>
  <si>
    <r>
      <t xml:space="preserve">N92 Connections (1st Floor) </t>
    </r>
    <r>
      <rPr>
        <b/>
        <sz val="10"/>
        <color rgb="FF002060"/>
        <rFont val="Times New Roman"/>
        <family val="1"/>
      </rPr>
      <t>(MWR)</t>
    </r>
  </si>
  <si>
    <t xml:space="preserve">Fire Station </t>
  </si>
  <si>
    <t>S</t>
  </si>
  <si>
    <t>Bachelor Enlisted Quarters (Note 3)</t>
  </si>
  <si>
    <t>1000-1200</t>
  </si>
  <si>
    <t>2W</t>
  </si>
  <si>
    <t>3W</t>
  </si>
  <si>
    <t>1000-1100</t>
  </si>
  <si>
    <r>
      <t xml:space="preserve">2M </t>
    </r>
    <r>
      <rPr>
        <b/>
        <sz val="10"/>
        <color rgb="FF002060"/>
        <rFont val="Times New Roman"/>
        <family val="1"/>
      </rPr>
      <t>(*)</t>
    </r>
  </si>
  <si>
    <t>2Y</t>
  </si>
  <si>
    <t>1700-1900</t>
  </si>
  <si>
    <t>4W</t>
  </si>
  <si>
    <t>Y</t>
  </si>
  <si>
    <t>1400-1700</t>
  </si>
  <si>
    <r>
      <t xml:space="preserve">N96 School Age Care (MWR) </t>
    </r>
    <r>
      <rPr>
        <b/>
        <sz val="10"/>
        <color rgb="FF002060"/>
        <rFont val="Times New Roman"/>
        <family val="1"/>
      </rPr>
      <t>CYP Facility</t>
    </r>
  </si>
  <si>
    <t>1430-1730</t>
  </si>
  <si>
    <t>D</t>
  </si>
  <si>
    <t>Navy-Marine Corps Relief</t>
  </si>
  <si>
    <t xml:space="preserve">Training </t>
  </si>
  <si>
    <t>Housing Offices</t>
  </si>
  <si>
    <t>5D</t>
  </si>
  <si>
    <t>0730-0900</t>
  </si>
  <si>
    <t>FUNDING ACTIVITY: CNRE (Region) - Standard Service Level</t>
  </si>
  <si>
    <t>Bus Stop Shelter (Air Term)</t>
  </si>
  <si>
    <t>Bus Stop Shelter (AIMD/PW)</t>
  </si>
  <si>
    <t>Bus Stop Shelter (NEX/Clinic)</t>
  </si>
  <si>
    <t>New ITD Spaces</t>
  </si>
  <si>
    <t>2D7</t>
  </si>
  <si>
    <t>0830 and 1400</t>
  </si>
  <si>
    <t xml:space="preserve">Bachelor Enlisted Qtrs </t>
  </si>
  <si>
    <r>
      <t xml:space="preserve">JOX Sports Bar </t>
    </r>
    <r>
      <rPr>
        <b/>
        <sz val="10"/>
        <color rgb="FF002060"/>
        <rFont val="Times New Roman"/>
        <family val="1"/>
      </rPr>
      <t>(MWR)</t>
    </r>
  </si>
  <si>
    <t xml:space="preserve">PWD Shops </t>
  </si>
  <si>
    <t xml:space="preserve">Auto Vehicle Shop </t>
  </si>
  <si>
    <t>0800-1200</t>
  </si>
  <si>
    <t xml:space="preserve">Weapons Admin </t>
  </si>
  <si>
    <r>
      <t xml:space="preserve">FUNDING ACTIVITY:  Air Mobility Command (AMC) </t>
    </r>
    <r>
      <rPr>
        <sz val="10"/>
        <color rgb="FF002060"/>
        <rFont val="Times New Roman"/>
        <family val="1"/>
      </rPr>
      <t xml:space="preserve"> - 71% paid by AMC / 29% paid by CNRE</t>
    </r>
  </si>
  <si>
    <t>2D</t>
  </si>
  <si>
    <t>6Y</t>
  </si>
  <si>
    <t>3D</t>
  </si>
  <si>
    <t>24/7</t>
  </si>
  <si>
    <t>0900-1200</t>
  </si>
  <si>
    <t>Air Cargo Terminal (Navy Area)</t>
  </si>
  <si>
    <t xml:space="preserve">Bank of America Bank </t>
  </si>
  <si>
    <t>M2</t>
  </si>
  <si>
    <t>Y2</t>
  </si>
  <si>
    <t>0800-1000</t>
  </si>
  <si>
    <t xml:space="preserve">W </t>
  </si>
  <si>
    <t xml:space="preserve">2W </t>
  </si>
  <si>
    <t>Spece Force</t>
  </si>
  <si>
    <t>Fuel I</t>
  </si>
  <si>
    <t xml:space="preserve">HAZMAT </t>
  </si>
  <si>
    <t>Key:</t>
  </si>
  <si>
    <t>Once per shift</t>
  </si>
  <si>
    <t>Two times per day</t>
  </si>
  <si>
    <t>Daily seven times per week</t>
  </si>
  <si>
    <t>Daily five times per week</t>
  </si>
  <si>
    <t>Four times per week (Mon, Tue, Wed, Fri)</t>
  </si>
  <si>
    <t>Three times per week</t>
  </si>
  <si>
    <t>Two times per week</t>
  </si>
  <si>
    <t>One time per week</t>
  </si>
  <si>
    <t>Two times per month</t>
  </si>
  <si>
    <t>One time per month</t>
  </si>
  <si>
    <t>Six times per year</t>
  </si>
  <si>
    <t>Four times per year</t>
  </si>
  <si>
    <t>3Y</t>
  </si>
  <si>
    <t>Three times per year</t>
  </si>
  <si>
    <t>Two times per year</t>
  </si>
  <si>
    <t>One time per year</t>
  </si>
  <si>
    <t>M/18</t>
  </si>
  <si>
    <t>One time every 18 months</t>
  </si>
  <si>
    <t>One time every 2 years</t>
  </si>
  <si>
    <t>DHA facilities detailed custodial inventory and frequencies are provided in separate attachment J-1503010-06.b.  Custodial inventory and frequencies for Bldg 318, Veterinary Clinic (CNRE funded) are also provided in attachment J-1503010-06.b503010-07.</t>
  </si>
  <si>
    <r>
      <t xml:space="preserve">All buildings/facilities listed in column "A" shall have walk-off mats cleaned </t>
    </r>
    <r>
      <rPr>
        <b/>
        <sz val="10"/>
        <color rgb="FF002060"/>
        <rFont val="Times New Roman"/>
        <family val="1"/>
      </rPr>
      <t xml:space="preserve">weekly </t>
    </r>
    <r>
      <rPr>
        <sz val="10"/>
        <color rgb="FF002060"/>
        <rFont val="Times New Roman"/>
        <family val="1"/>
      </rPr>
      <t>unless otherwise specified in columng "G"</t>
    </r>
  </si>
  <si>
    <t>Note 3:</t>
  </si>
  <si>
    <t>Cleaning services for Bldgs. 170 and 623 include electrical rooms</t>
  </si>
  <si>
    <t>Below service frequencies are funded by Region (CNRE):</t>
  </si>
  <si>
    <r>
      <rPr>
        <b/>
        <sz val="10"/>
        <color rgb="FF002060"/>
        <rFont val="Times New Roman"/>
        <family val="1"/>
      </rPr>
      <t>(*)</t>
    </r>
    <r>
      <rPr>
        <sz val="10"/>
        <color rgb="FF002060"/>
        <rFont val="Times New Roman"/>
        <family val="1"/>
      </rPr>
      <t xml:space="preserve">  Sweeping and dust mopping for Bldg. 308 is for the Mess Area</t>
    </r>
  </si>
  <si>
    <t>ATTACHMENT J-1503010-06.a (Tab 3)</t>
  </si>
  <si>
    <t>DESK-SIDE WASTE CONTAINERS INVENTORY</t>
  </si>
  <si>
    <t>Bldg. Description</t>
  </si>
  <si>
    <t>Approx. No. of Desk-Side Containers</t>
  </si>
  <si>
    <t>Funding Activity</t>
  </si>
  <si>
    <t>CNRE (Region)</t>
  </si>
  <si>
    <t>Bachelo Enlisted Quarters</t>
  </si>
  <si>
    <t>MWR Complex</t>
  </si>
  <si>
    <t>MWR Offices</t>
  </si>
  <si>
    <t>CDC</t>
  </si>
  <si>
    <t>Chapel &amp; Community Bldg</t>
  </si>
  <si>
    <t>Veterinary Clinic</t>
  </si>
  <si>
    <t>Library</t>
  </si>
  <si>
    <t>School Age Care</t>
  </si>
  <si>
    <t>Family Service Center</t>
  </si>
  <si>
    <t>Human Resources Center</t>
  </si>
  <si>
    <t>Navy-Marine Corp Relief</t>
  </si>
  <si>
    <t>Control Tower</t>
  </si>
  <si>
    <t>Aircraft/Fire Rescue Station</t>
  </si>
  <si>
    <t>PWD Admin and Shops</t>
  </si>
  <si>
    <t>ATTACHMENT J-1503010-06.a (Tab 4)</t>
  </si>
  <si>
    <t>INTERIOR RECYCLING CONTAINERS INVENTORY</t>
  </si>
  <si>
    <t>Quantity (*sets)</t>
  </si>
  <si>
    <t>Location</t>
  </si>
  <si>
    <t>Connections Club</t>
  </si>
  <si>
    <t>Common area between Connections Club and the Chart Room</t>
  </si>
  <si>
    <t>Chart Room</t>
  </si>
  <si>
    <t>Compass Room</t>
  </si>
  <si>
    <t xml:space="preserve">Common area between Compass room and Base Educ   </t>
  </si>
  <si>
    <t>Base Educ &amp; Trng</t>
  </si>
  <si>
    <t>Mess Area</t>
  </si>
  <si>
    <t>Reception Area</t>
  </si>
  <si>
    <t>2 sets in the gym; 1 set in the reception area; 1 set in the theater</t>
  </si>
  <si>
    <t>CNRE (Region) (MWR)</t>
  </si>
  <si>
    <t>DHA</t>
  </si>
  <si>
    <t>Naval Hospital</t>
  </si>
  <si>
    <t>Offices and Common Areas</t>
  </si>
  <si>
    <t>NH Admin &amp; Training</t>
  </si>
  <si>
    <t>Child Development Center</t>
  </si>
  <si>
    <t>1 set for each floor</t>
  </si>
  <si>
    <t>1 set in the Navy College; 1 set in the common area between Navy College and Red Cross</t>
  </si>
  <si>
    <t>Entrance</t>
  </si>
  <si>
    <t>Kitchen Area</t>
  </si>
  <si>
    <t>Personal Property</t>
  </si>
  <si>
    <t>Aircraft/Fire Rescue Sta</t>
  </si>
  <si>
    <t>Kitchen</t>
  </si>
  <si>
    <t>Global Hawk</t>
  </si>
  <si>
    <t>Operations Air Force - Global Hawk</t>
  </si>
  <si>
    <t>Trans Squadron Ops</t>
  </si>
  <si>
    <t>AIMD-ITD</t>
  </si>
  <si>
    <t>2 sets for each floor / Common Area</t>
  </si>
  <si>
    <t xml:space="preserve">  </t>
  </si>
  <si>
    <t>Telephone Exchange Portable</t>
  </si>
  <si>
    <t>New Telephone Office</t>
  </si>
  <si>
    <t xml:space="preserve"> 1 set for each floor / Common Area</t>
  </si>
  <si>
    <t>ISD</t>
  </si>
  <si>
    <t>Supply/Comptroller</t>
  </si>
  <si>
    <t>Bach Ofcr's Qtrs</t>
  </si>
  <si>
    <t>NGIS</t>
  </si>
  <si>
    <t>Gymnasium</t>
  </si>
  <si>
    <t>NEX Minimart</t>
  </si>
  <si>
    <t xml:space="preserve">Info Res Center/Navy Legal </t>
  </si>
  <si>
    <t>Take 5 Rec Cen</t>
  </si>
  <si>
    <t xml:space="preserve"> Common Area</t>
  </si>
  <si>
    <t>NAVFAC PWD</t>
  </si>
  <si>
    <t>Aircraft Maint Hgr</t>
  </si>
  <si>
    <t>1 set for each floor / Common Area</t>
  </si>
  <si>
    <t>A/C Maint Hgr-Comm Ant</t>
  </si>
  <si>
    <t>Commander Task Force</t>
  </si>
  <si>
    <t>Servmart Area</t>
  </si>
  <si>
    <t>HHG Personal Property</t>
  </si>
  <si>
    <t>MVRO Force Protection Office</t>
  </si>
  <si>
    <t>CNRE (Region) (HAZMIN Center)</t>
  </si>
  <si>
    <t>2569 (Marinai Residence)</t>
  </si>
  <si>
    <t>Family Housing</t>
  </si>
  <si>
    <t>2229A (Marinai Residence)</t>
  </si>
  <si>
    <t>NOTE:</t>
  </si>
  <si>
    <r>
      <t xml:space="preserve">* 1 set of 3 containers: 1 </t>
    </r>
    <r>
      <rPr>
        <u/>
        <sz val="10"/>
        <color rgb="FF002060"/>
        <rFont val="Times New Roman"/>
        <family val="1"/>
      </rPr>
      <t>Plastic</t>
    </r>
    <r>
      <rPr>
        <sz val="10"/>
        <color rgb="FF002060"/>
        <rFont val="Times New Roman"/>
        <family val="1"/>
      </rPr>
      <t xml:space="preserve">, 1 DUO </t>
    </r>
    <r>
      <rPr>
        <u/>
        <sz val="10"/>
        <color rgb="FF002060"/>
        <rFont val="Times New Roman"/>
        <family val="1"/>
      </rPr>
      <t>Glass-Aluminum/General Refuse</t>
    </r>
    <r>
      <rPr>
        <sz val="10"/>
        <color rgb="FF002060"/>
        <rFont val="Times New Roman"/>
        <family val="1"/>
      </rPr>
      <t xml:space="preserve">, and  1 </t>
    </r>
    <r>
      <rPr>
        <u/>
        <sz val="10"/>
        <color rgb="FF002060"/>
        <rFont val="Times New Roman"/>
        <family val="1"/>
      </rPr>
      <t>Paper</t>
    </r>
    <r>
      <rPr>
        <sz val="10"/>
        <color rgb="FF002060"/>
        <rFont val="Times New Roman"/>
        <family val="1"/>
      </rPr>
      <t xml:space="preserve"> / 1,000 Lt capacity each.</t>
    </r>
  </si>
  <si>
    <t>ATTACHMENT J-1503010-06.a (Tab 5)</t>
  </si>
  <si>
    <t>CUSTOMIZABLE FOOD SERVICE RECYCLING/WASTE COLLECTION POINTS</t>
  </si>
  <si>
    <t>2 sets</t>
  </si>
  <si>
    <t>Elementry School</t>
  </si>
  <si>
    <t>2 Sets</t>
  </si>
  <si>
    <t>Inside Cafeteria</t>
  </si>
  <si>
    <t>DoDEA</t>
  </si>
  <si>
    <t>High School</t>
  </si>
  <si>
    <t xml:space="preserve">NEX </t>
  </si>
  <si>
    <t>Food Court</t>
  </si>
  <si>
    <t>Air Terminal</t>
  </si>
  <si>
    <t>1 set</t>
  </si>
  <si>
    <t>3 sets</t>
  </si>
  <si>
    <t>* 1 set of 3 Customizable Food Service Recycling/Waste containers: 1 Plastic, 1 Glass/Aluminum, and 1 General Refuse / 1,000 Lt capacity each.</t>
  </si>
  <si>
    <t>ATTACHMENT J-1503010-06.a (Tab 6)</t>
  </si>
  <si>
    <t>RUGS AND MATS INVENTORY</t>
  </si>
  <si>
    <t>Quantity</t>
  </si>
  <si>
    <t>Description</t>
  </si>
  <si>
    <t>Dimensions / Size</t>
  </si>
  <si>
    <t>Large Rubber Floor Mat</t>
  </si>
  <si>
    <t>1 Main Entrance, 2 End of Bldg</t>
  </si>
  <si>
    <t xml:space="preserve">2,43 x 1,82 cm </t>
  </si>
  <si>
    <t>Unaccompanied Housing</t>
  </si>
  <si>
    <t>Small Rubber Floor Mat</t>
  </si>
  <si>
    <t>Main Lobby Entrance</t>
  </si>
  <si>
    <t xml:space="preserve">1,74 x 1,14 cm </t>
  </si>
  <si>
    <t xml:space="preserve"> Large Floor Rug </t>
  </si>
  <si>
    <t>Main Entrance</t>
  </si>
  <si>
    <t xml:space="preserve">Small Floor Rugs </t>
  </si>
  <si>
    <t>Court Yard Exits</t>
  </si>
  <si>
    <t>1,75 x 1,15 cm</t>
  </si>
  <si>
    <t>Main Lobby Exit</t>
  </si>
  <si>
    <t>1,84 x 1,13 cm</t>
  </si>
  <si>
    <t>Elevators</t>
  </si>
  <si>
    <t>1,70 x 1,10 cm</t>
  </si>
  <si>
    <t>Small Floor Rug</t>
  </si>
  <si>
    <t>Main Office</t>
  </si>
  <si>
    <t>1,85 x 1,13 cm</t>
  </si>
  <si>
    <t>1 Main Entrance, 2 End of Bldg.</t>
  </si>
  <si>
    <t>2,40 x 1,80 cm</t>
  </si>
  <si>
    <t>Main Lobby Entrance From Courtyard</t>
  </si>
  <si>
    <t>Main Entrance/Big Lobby</t>
  </si>
  <si>
    <t xml:space="preserve">2,98 x 200 cm </t>
  </si>
  <si>
    <t>Main Lobby Exits To Courtyard</t>
  </si>
  <si>
    <t>Small Lobby</t>
  </si>
  <si>
    <t xml:space="preserve">2,40 x 1,80 cm </t>
  </si>
  <si>
    <t xml:space="preserve">Floor Rugs </t>
  </si>
  <si>
    <t>approx. 150 sm</t>
  </si>
  <si>
    <t>Youth Center</t>
  </si>
  <si>
    <t>approx. 6 sm</t>
  </si>
  <si>
    <t>Floor mats and rugs located in Bldgs. 170 and 623 shall be vacuumed and cleaned with pressure washer (detergent and water).</t>
  </si>
  <si>
    <t>2100-MUOS</t>
  </si>
  <si>
    <t>1 Portable Toilet, Contractor provided</t>
  </si>
  <si>
    <r>
      <rPr>
        <b/>
        <sz val="10"/>
        <color rgb="FF002060"/>
        <rFont val="Times New Roman"/>
        <family val="1"/>
      </rPr>
      <t>Bank of America Bank</t>
    </r>
    <r>
      <rPr>
        <sz val="10"/>
        <color rgb="FF002060"/>
        <rFont val="Times New Roman"/>
        <family val="1"/>
      </rPr>
      <t xml:space="preserve"> </t>
    </r>
    <r>
      <rPr>
        <b/>
        <i/>
        <sz val="10"/>
        <color rgb="FFFF0000"/>
        <rFont val="Times New Roman"/>
        <family val="1"/>
      </rPr>
      <t/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</si>
  <si>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Post Office </t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</si>
  <si>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Supply</t>
    </r>
  </si>
  <si>
    <r>
      <rPr>
        <b/>
        <sz val="10"/>
        <color rgb="FF002060"/>
        <rFont val="Times New Roman"/>
        <family val="1"/>
      </rPr>
      <t xml:space="preserve">NAVSUP FLC </t>
    </r>
    <r>
      <rPr>
        <sz val="10"/>
        <color rgb="FF002060"/>
        <rFont val="Times New Roman"/>
        <family val="1"/>
      </rPr>
      <t>- Personal Property/Supply</t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</si>
  <si>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HAZMAT </t>
    </r>
  </si>
  <si>
    <t xml:space="preserve">FUNDING ACTIVITY: CNRE (Region) - Standard Service Level </t>
  </si>
  <si>
    <r>
      <rPr>
        <b/>
        <sz val="10"/>
        <color rgb="FF002060"/>
        <rFont val="Times New Roman"/>
        <family val="1"/>
      </rPr>
      <t xml:space="preserve">FUNDING ACTIVITY:  Bank of America (BOA) - </t>
    </r>
    <r>
      <rPr>
        <b/>
        <i/>
        <sz val="10"/>
        <color rgb="FF002060"/>
        <rFont val="Times New Roman"/>
        <family val="1"/>
      </rPr>
      <t>Only for custodial frequencies above Standrd Service Level - See Note 4</t>
    </r>
  </si>
  <si>
    <r>
      <t xml:space="preserve">FUNDING ACTIVITY: NAVSUP FLC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</si>
  <si>
    <r>
      <t xml:space="preserve">FUNDING ACTIVITY:  Bank of America Bank (BOA)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</si>
  <si>
    <r>
      <t xml:space="preserve">FUNDING ACTIVITY:  NAVSUP FLC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</si>
</sst>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\ * #,##0.00_-;\-[$€]\ * #,##0.00_-;_-[$€]\ * &quot;-&quot;??_-;_-@_-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2"/>
      <color rgb="FF002060"/>
      <name val="Times New Roman"/>
      <family val="1"/>
    </font>
    <font>
      <b/>
      <sz val="10"/>
      <color rgb="FF002060"/>
      <name val="Times New Roman"/>
      <family val="1"/>
    </font>
    <font>
      <sz val="10"/>
      <color rgb="FF002060"/>
      <name val="Times New Roman"/>
      <family val="1"/>
    </font>
    <font>
      <b/>
      <i/>
      <sz val="10"/>
      <color rgb="FF002060"/>
      <name val="Times New Roman"/>
      <family val="1"/>
    </font>
    <font>
      <strike/>
      <sz val="10"/>
      <color rgb="FF002060"/>
      <name val="Times New Roman"/>
      <family val="1"/>
    </font>
    <font>
      <sz val="10"/>
      <color rgb="FF002060"/>
      <name val="Arial"/>
      <family val="2"/>
    </font>
    <font>
      <b/>
      <u/>
      <sz val="10"/>
      <color rgb="FF002060"/>
      <name val="Times New Roman"/>
      <family val="1"/>
    </font>
    <font>
      <sz val="11"/>
      <color rgb="FF002060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u/>
      <sz val="10"/>
      <color rgb="FF00206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theme="0" tint="-0.14999847407452621"/>
      <name val="Times New Roman"/>
      <family val="1"/>
    </font>
    <font>
      <i/>
      <sz val="10"/>
      <color theme="0" tint="-0.14999847407452621"/>
      <name val="Arial"/>
      <family val="2"/>
    </font>
    <font>
      <i/>
      <sz val="10"/>
      <color theme="0" tint="-0.14999847407452621"/>
      <name val="Times New Roman"/>
      <family val="1"/>
    </font>
    <font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2060"/>
      <name val="Times New Roman"/>
      <family val="1"/>
    </font>
    <font>
      <b/>
      <i/>
      <sz val="10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4" fillId="0" borderId="0"/>
    <xf numFmtId="0" fontId="1" fillId="0" borderId="0"/>
    <xf numFmtId="0" fontId="1" fillId="0" borderId="0"/>
  </cellStyleXfs>
  <cellXfs count="368">
    <xf numFmtId="0" fontId="0" fillId="0" borderId="0" xfId="0"/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10" fillId="0" borderId="2" xfId="0" applyFont="1" applyBorder="1" applyAlignment="1">
      <alignment horizontal="center" vertical="center" textRotation="90" wrapText="1"/>
    </xf>
    <xf numFmtId="1" fontId="10" fillId="0" borderId="2" xfId="0" applyNumberFormat="1" applyFont="1" applyBorder="1" applyAlignment="1">
      <alignment horizontal="center" vertical="center" textRotation="90" wrapText="1"/>
    </xf>
    <xf numFmtId="1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1" fontId="11" fillId="0" borderId="2" xfId="0" applyNumberFormat="1" applyFont="1" applyBorder="1" applyAlignment="1">
      <alignment horizontal="center" vertical="top" wrapText="1"/>
    </xf>
    <xf numFmtId="1" fontId="11" fillId="0" borderId="12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11" fillId="0" borderId="0" xfId="0" applyFont="1"/>
    <xf numFmtId="1" fontId="15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top"/>
    </xf>
    <xf numFmtId="0" fontId="10" fillId="14" borderId="3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" xfId="0" applyFont="1" applyFill="1" applyBorder="1"/>
    <xf numFmtId="0" fontId="11" fillId="0" borderId="2" xfId="0" applyFont="1" applyBorder="1" applyAlignment="1">
      <alignment horizontal="center"/>
    </xf>
    <xf numFmtId="0" fontId="10" fillId="15" borderId="2" xfId="3" applyFont="1" applyFill="1" applyBorder="1" applyAlignment="1">
      <alignment horizontal="center" vertical="center" wrapText="1"/>
    </xf>
    <xf numFmtId="0" fontId="10" fillId="15" borderId="8" xfId="3" applyFont="1" applyFill="1" applyBorder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textRotation="90" wrapText="1"/>
    </xf>
    <xf numFmtId="0" fontId="10" fillId="14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3" fontId="10" fillId="0" borderId="2" xfId="0" applyNumberFormat="1" applyFont="1" applyBorder="1" applyAlignment="1">
      <alignment horizontal="center" vertical="center" textRotation="90" wrapText="1"/>
    </xf>
    <xf numFmtId="3" fontId="10" fillId="4" borderId="2" xfId="0" applyNumberFormat="1" applyFont="1" applyFill="1" applyBorder="1" applyAlignment="1">
      <alignment horizontal="center" vertical="center" textRotation="90" wrapText="1"/>
    </xf>
    <xf numFmtId="3" fontId="10" fillId="5" borderId="2" xfId="0" applyNumberFormat="1" applyFont="1" applyFill="1" applyBorder="1" applyAlignment="1">
      <alignment horizontal="center" vertical="center" textRotation="90" wrapText="1"/>
    </xf>
    <xf numFmtId="3" fontId="10" fillId="2" borderId="2" xfId="0" applyNumberFormat="1" applyFont="1" applyFill="1" applyBorder="1" applyAlignment="1">
      <alignment horizontal="center" vertical="center" textRotation="90" wrapText="1"/>
    </xf>
    <xf numFmtId="3" fontId="10" fillId="6" borderId="2" xfId="0" applyNumberFormat="1" applyFont="1" applyFill="1" applyBorder="1" applyAlignment="1">
      <alignment horizontal="center" vertical="center" textRotation="90" wrapText="1"/>
    </xf>
    <xf numFmtId="3" fontId="10" fillId="6" borderId="2" xfId="0" applyNumberFormat="1" applyFont="1" applyFill="1" applyBorder="1" applyAlignment="1">
      <alignment horizontal="center" vertical="center" textRotation="90"/>
    </xf>
    <xf numFmtId="3" fontId="8" fillId="0" borderId="0" xfId="0" applyNumberFormat="1" applyFont="1" applyAlignment="1">
      <alignment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3" fontId="11" fillId="5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3" fontId="11" fillId="0" borderId="2" xfId="0" applyNumberFormat="1" applyFont="1" applyBorder="1" applyAlignment="1">
      <alignment vertical="center" wrapText="1"/>
    </xf>
    <xf numFmtId="3" fontId="13" fillId="5" borderId="2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1" xfId="0" applyNumberFormat="1" applyFont="1" applyBorder="1" applyAlignment="1">
      <alignment vertical="center"/>
    </xf>
    <xf numFmtId="3" fontId="5" fillId="16" borderId="10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11" fillId="0" borderId="0" xfId="0" applyNumberFormat="1" applyFont="1" applyFill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11" fillId="12" borderId="0" xfId="0" applyNumberFormat="1" applyFont="1" applyFill="1" applyAlignment="1">
      <alignment vertical="center"/>
    </xf>
    <xf numFmtId="3" fontId="6" fillId="0" borderId="2" xfId="0" applyNumberFormat="1" applyFont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16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2" xfId="5" applyFont="1" applyFill="1" applyBorder="1" applyAlignment="1">
      <alignment horizontal="center" vertical="center" textRotation="90" wrapText="1"/>
    </xf>
    <xf numFmtId="0" fontId="10" fillId="5" borderId="2" xfId="0" applyFont="1" applyFill="1" applyBorder="1" applyAlignment="1">
      <alignment horizontal="center" vertical="center" textRotation="90" wrapText="1"/>
    </xf>
    <xf numFmtId="0" fontId="10" fillId="2" borderId="2" xfId="0" applyFont="1" applyFill="1" applyBorder="1" applyAlignment="1">
      <alignment horizontal="center" vertical="center" textRotation="90" wrapText="1"/>
    </xf>
    <xf numFmtId="0" fontId="10" fillId="7" borderId="2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2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0" fontId="11" fillId="4" borderId="2" xfId="5" applyFont="1" applyFill="1" applyBorder="1" applyAlignment="1">
      <alignment horizontal="center" vertical="top"/>
    </xf>
    <xf numFmtId="0" fontId="13" fillId="4" borderId="2" xfId="0" applyFont="1" applyFill="1" applyBorder="1" applyAlignment="1">
      <alignment horizontal="center" vertical="top"/>
    </xf>
    <xf numFmtId="0" fontId="13" fillId="4" borderId="2" xfId="5" applyFont="1" applyFill="1" applyBorder="1" applyAlignment="1">
      <alignment horizontal="center" vertical="top"/>
    </xf>
    <xf numFmtId="0" fontId="13" fillId="5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11" fillId="9" borderId="2" xfId="0" applyFont="1" applyFill="1" applyBorder="1" applyAlignment="1">
      <alignment horizontal="center" vertical="top"/>
    </xf>
    <xf numFmtId="0" fontId="11" fillId="9" borderId="2" xfId="5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0" fontId="13" fillId="10" borderId="2" xfId="0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center" vertical="top"/>
    </xf>
    <xf numFmtId="0" fontId="11" fillId="7" borderId="2" xfId="0" applyFont="1" applyFill="1" applyBorder="1" applyAlignment="1">
      <alignment horizontal="center" vertical="top"/>
    </xf>
    <xf numFmtId="3" fontId="11" fillId="0" borderId="2" xfId="0" applyNumberFormat="1" applyFont="1" applyBorder="1" applyAlignment="1">
      <alignment vertical="top"/>
    </xf>
    <xf numFmtId="1" fontId="11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vertical="top" wrapText="1"/>
    </xf>
    <xf numFmtId="1" fontId="11" fillId="0" borderId="2" xfId="0" applyNumberFormat="1" applyFont="1" applyBorder="1" applyAlignment="1">
      <alignment vertical="top"/>
    </xf>
    <xf numFmtId="0" fontId="11" fillId="0" borderId="2" xfId="2" applyFont="1" applyBorder="1" applyAlignment="1">
      <alignment horizontal="center" vertical="top"/>
    </xf>
    <xf numFmtId="0" fontId="11" fillId="4" borderId="2" xfId="2" applyFont="1" applyFill="1" applyBorder="1" applyAlignment="1">
      <alignment horizontal="center" vertical="top"/>
    </xf>
    <xf numFmtId="0" fontId="11" fillId="5" borderId="2" xfId="2" applyFont="1" applyFill="1" applyBorder="1" applyAlignment="1">
      <alignment horizontal="center" vertical="top"/>
    </xf>
    <xf numFmtId="0" fontId="13" fillId="5" borderId="2" xfId="2" applyFont="1" applyFill="1" applyBorder="1" applyAlignment="1">
      <alignment horizontal="center" vertical="top"/>
    </xf>
    <xf numFmtId="0" fontId="11" fillId="2" borderId="2" xfId="2" applyFont="1" applyFill="1" applyBorder="1" applyAlignment="1">
      <alignment horizontal="center" vertical="top"/>
    </xf>
    <xf numFmtId="0" fontId="11" fillId="6" borderId="2" xfId="2" applyFont="1" applyFill="1" applyBorder="1" applyAlignment="1">
      <alignment horizontal="center" vertical="top"/>
    </xf>
    <xf numFmtId="0" fontId="11" fillId="0" borderId="0" xfId="2" applyFont="1" applyAlignment="1">
      <alignment vertical="top"/>
    </xf>
    <xf numFmtId="0" fontId="13" fillId="9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 wrapText="1"/>
    </xf>
    <xf numFmtId="0" fontId="11" fillId="0" borderId="2" xfId="0" applyNumberFormat="1" applyFont="1" applyFill="1" applyBorder="1" applyAlignment="1">
      <alignment horizontal="center" vertical="top"/>
    </xf>
    <xf numFmtId="0" fontId="11" fillId="0" borderId="2" xfId="0" applyNumberFormat="1" applyFont="1" applyFill="1" applyBorder="1" applyAlignment="1">
      <alignment vertical="top"/>
    </xf>
    <xf numFmtId="0" fontId="11" fillId="4" borderId="2" xfId="0" applyNumberFormat="1" applyFont="1" applyFill="1" applyBorder="1" applyAlignment="1">
      <alignment horizontal="center" vertical="top"/>
    </xf>
    <xf numFmtId="0" fontId="11" fillId="4" borderId="2" xfId="5" applyNumberFormat="1" applyFont="1" applyFill="1" applyBorder="1" applyAlignment="1">
      <alignment horizontal="center" vertical="top"/>
    </xf>
    <xf numFmtId="0" fontId="11" fillId="5" borderId="2" xfId="0" applyNumberFormat="1" applyFont="1" applyFill="1" applyBorder="1" applyAlignment="1">
      <alignment horizontal="center" vertical="top"/>
    </xf>
    <xf numFmtId="0" fontId="13" fillId="5" borderId="2" xfId="0" applyNumberFormat="1" applyFont="1" applyFill="1" applyBorder="1" applyAlignment="1">
      <alignment horizontal="center" vertical="top"/>
    </xf>
    <xf numFmtId="0" fontId="11" fillId="2" borderId="2" xfId="0" applyNumberFormat="1" applyFont="1" applyFill="1" applyBorder="1" applyAlignment="1">
      <alignment horizontal="center" vertical="top"/>
    </xf>
    <xf numFmtId="0" fontId="11" fillId="6" borderId="2" xfId="0" applyNumberFormat="1" applyFont="1" applyFill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top"/>
    </xf>
    <xf numFmtId="0" fontId="11" fillId="0" borderId="0" xfId="0" applyNumberFormat="1" applyFont="1" applyAlignment="1">
      <alignment vertical="top"/>
    </xf>
    <xf numFmtId="0" fontId="11" fillId="0" borderId="2" xfId="5" applyFont="1" applyBorder="1" applyAlignment="1">
      <alignment horizontal="center" vertical="top"/>
    </xf>
    <xf numFmtId="0" fontId="11" fillId="0" borderId="2" xfId="5" applyFont="1" applyBorder="1" applyAlignment="1">
      <alignment vertical="top"/>
    </xf>
    <xf numFmtId="0" fontId="11" fillId="5" borderId="2" xfId="5" applyFont="1" applyFill="1" applyBorder="1" applyAlignment="1">
      <alignment horizontal="center" vertical="top"/>
    </xf>
    <xf numFmtId="0" fontId="13" fillId="5" borderId="2" xfId="5" applyFont="1" applyFill="1" applyBorder="1" applyAlignment="1">
      <alignment horizontal="center" vertical="top"/>
    </xf>
    <xf numFmtId="0" fontId="11" fillId="2" borderId="2" xfId="5" applyFont="1" applyFill="1" applyBorder="1" applyAlignment="1">
      <alignment horizontal="center" vertical="top"/>
    </xf>
    <xf numFmtId="0" fontId="11" fillId="6" borderId="2" xfId="5" applyFont="1" applyFill="1" applyBorder="1" applyAlignment="1">
      <alignment horizontal="center" vertical="top"/>
    </xf>
    <xf numFmtId="1" fontId="11" fillId="0" borderId="0" xfId="0" applyNumberFormat="1" applyFont="1" applyAlignment="1">
      <alignment vertical="top"/>
    </xf>
    <xf numFmtId="3" fontId="11" fillId="0" borderId="2" xfId="0" applyNumberFormat="1" applyFont="1" applyBorder="1" applyAlignment="1">
      <alignment vertical="top" wrapText="1"/>
    </xf>
    <xf numFmtId="3" fontId="11" fillId="0" borderId="2" xfId="0" applyNumberFormat="1" applyFont="1" applyBorder="1" applyAlignment="1">
      <alignment horizontal="center" vertical="top"/>
    </xf>
    <xf numFmtId="3" fontId="11" fillId="4" borderId="2" xfId="0" applyNumberFormat="1" applyFont="1" applyFill="1" applyBorder="1" applyAlignment="1">
      <alignment horizontal="center" vertical="top"/>
    </xf>
    <xf numFmtId="3" fontId="11" fillId="5" borderId="2" xfId="0" applyNumberFormat="1" applyFont="1" applyFill="1" applyBorder="1" applyAlignment="1">
      <alignment horizontal="center" vertical="top"/>
    </xf>
    <xf numFmtId="3" fontId="11" fillId="2" borderId="2" xfId="0" applyNumberFormat="1" applyFont="1" applyFill="1" applyBorder="1" applyAlignment="1">
      <alignment horizontal="center" vertical="top"/>
    </xf>
    <xf numFmtId="3" fontId="11" fillId="6" borderId="2" xfId="0" applyNumberFormat="1" applyFont="1" applyFill="1" applyBorder="1" applyAlignment="1">
      <alignment horizontal="center" vertical="top"/>
    </xf>
    <xf numFmtId="3" fontId="11" fillId="0" borderId="0" xfId="0" applyNumberFormat="1" applyFont="1" applyAlignment="1">
      <alignment vertical="top"/>
    </xf>
    <xf numFmtId="3" fontId="10" fillId="0" borderId="0" xfId="0" applyNumberFormat="1" applyFont="1" applyAlignment="1">
      <alignment vertical="top"/>
    </xf>
    <xf numFmtId="3" fontId="11" fillId="8" borderId="2" xfId="0" applyNumberFormat="1" applyFont="1" applyFill="1" applyBorder="1" applyAlignment="1">
      <alignment horizontal="center" vertical="top"/>
    </xf>
    <xf numFmtId="3" fontId="11" fillId="7" borderId="2" xfId="0" applyNumberFormat="1" applyFont="1" applyFill="1" applyBorder="1" applyAlignment="1">
      <alignment horizontal="center" vertical="top"/>
    </xf>
    <xf numFmtId="3" fontId="11" fillId="15" borderId="2" xfId="0" applyNumberFormat="1" applyFont="1" applyFill="1" applyBorder="1" applyAlignment="1">
      <alignment horizontal="center" vertical="top"/>
    </xf>
    <xf numFmtId="3" fontId="13" fillId="5" borderId="2" xfId="0" applyNumberFormat="1" applyFont="1" applyFill="1" applyBorder="1" applyAlignment="1">
      <alignment horizontal="center" vertical="top"/>
    </xf>
    <xf numFmtId="3" fontId="11" fillId="9" borderId="2" xfId="0" applyNumberFormat="1" applyFont="1" applyFill="1" applyBorder="1" applyAlignment="1">
      <alignment horizontal="center" vertical="top"/>
    </xf>
    <xf numFmtId="3" fontId="11" fillId="10" borderId="2" xfId="0" applyNumberFormat="1" applyFont="1" applyFill="1" applyBorder="1" applyAlignment="1">
      <alignment horizontal="center" vertical="top"/>
    </xf>
    <xf numFmtId="3" fontId="11" fillId="0" borderId="2" xfId="0" applyNumberFormat="1" applyFont="1" applyBorder="1" applyAlignment="1">
      <alignment horizontal="center" vertical="top" wrapText="1"/>
    </xf>
    <xf numFmtId="3" fontId="11" fillId="4" borderId="2" xfId="0" applyNumberFormat="1" applyFont="1" applyFill="1" applyBorder="1" applyAlignment="1">
      <alignment horizontal="center" vertical="top" wrapText="1"/>
    </xf>
    <xf numFmtId="3" fontId="11" fillId="5" borderId="2" xfId="0" applyNumberFormat="1" applyFont="1" applyFill="1" applyBorder="1" applyAlignment="1">
      <alignment horizontal="center" vertical="top" wrapText="1"/>
    </xf>
    <xf numFmtId="3" fontId="11" fillId="2" borderId="2" xfId="0" applyNumberFormat="1" applyFont="1" applyFill="1" applyBorder="1" applyAlignment="1">
      <alignment horizontal="center" vertical="top" wrapText="1"/>
    </xf>
    <xf numFmtId="3" fontId="11" fillId="6" borderId="2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Alignment="1">
      <alignment vertical="top" wrapText="1"/>
    </xf>
    <xf numFmtId="3" fontId="13" fillId="5" borderId="2" xfId="0" applyNumberFormat="1" applyFont="1" applyFill="1" applyBorder="1" applyAlignment="1">
      <alignment horizontal="center" vertical="top" wrapText="1"/>
    </xf>
    <xf numFmtId="3" fontId="11" fillId="10" borderId="2" xfId="0" applyNumberFormat="1" applyFont="1" applyFill="1" applyBorder="1" applyAlignment="1">
      <alignment horizontal="center" vertical="top" wrapText="1"/>
    </xf>
    <xf numFmtId="3" fontId="11" fillId="7" borderId="2" xfId="0" applyNumberFormat="1" applyFont="1" applyFill="1" applyBorder="1" applyAlignment="1">
      <alignment horizontal="center" vertical="top" wrapText="1"/>
    </xf>
    <xf numFmtId="1" fontId="11" fillId="0" borderId="2" xfId="0" applyNumberFormat="1" applyFont="1" applyFill="1" applyBorder="1" applyAlignment="1">
      <alignment horizontal="center" vertical="top" wrapText="1"/>
    </xf>
    <xf numFmtId="3" fontId="11" fillId="0" borderId="2" xfId="0" applyNumberFormat="1" applyFont="1" applyFill="1" applyBorder="1" applyAlignment="1">
      <alignment horizontal="center" vertical="top" wrapText="1"/>
    </xf>
    <xf numFmtId="3" fontId="11" fillId="15" borderId="2" xfId="0" applyNumberFormat="1" applyFont="1" applyFill="1" applyBorder="1" applyAlignment="1">
      <alignment horizontal="center" vertical="top" wrapText="1"/>
    </xf>
    <xf numFmtId="1" fontId="11" fillId="12" borderId="2" xfId="0" applyNumberFormat="1" applyFont="1" applyFill="1" applyBorder="1" applyAlignment="1">
      <alignment horizontal="center" vertical="top" wrapText="1"/>
    </xf>
    <xf numFmtId="3" fontId="11" fillId="12" borderId="2" xfId="0" applyNumberFormat="1" applyFont="1" applyFill="1" applyBorder="1" applyAlignment="1">
      <alignment vertical="top" wrapText="1"/>
    </xf>
    <xf numFmtId="3" fontId="11" fillId="0" borderId="0" xfId="0" applyNumberFormat="1" applyFont="1" applyFill="1" applyAlignment="1">
      <alignment vertical="top" wrapText="1"/>
    </xf>
    <xf numFmtId="3" fontId="9" fillId="0" borderId="0" xfId="0" applyNumberFormat="1" applyFont="1" applyAlignment="1">
      <alignment vertical="top" wrapText="1"/>
    </xf>
    <xf numFmtId="3" fontId="6" fillId="0" borderId="2" xfId="0" applyNumberFormat="1" applyFont="1" applyBorder="1" applyAlignment="1">
      <alignment vertical="top" wrapText="1"/>
    </xf>
    <xf numFmtId="0" fontId="17" fillId="0" borderId="0" xfId="0" applyFont="1"/>
    <xf numFmtId="0" fontId="17" fillId="0" borderId="0" xfId="0" applyFont="1" applyBorder="1" applyAlignment="1">
      <alignment horizontal="center" vertical="center"/>
    </xf>
    <xf numFmtId="0" fontId="11" fillId="0" borderId="7" xfId="0" applyFont="1" applyBorder="1" applyAlignment="1"/>
    <xf numFmtId="0" fontId="11" fillId="0" borderId="0" xfId="0" applyFont="1" applyBorder="1" applyAlignment="1"/>
    <xf numFmtId="0" fontId="13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21" fillId="14" borderId="0" xfId="0" applyFont="1" applyFill="1" applyAlignment="1">
      <alignment horizontal="center" vertical="center" textRotation="90" wrapText="1"/>
    </xf>
    <xf numFmtId="0" fontId="20" fillId="5" borderId="2" xfId="0" applyFont="1" applyFill="1" applyBorder="1" applyAlignment="1">
      <alignment horizontal="center" vertical="top"/>
    </xf>
    <xf numFmtId="0" fontId="20" fillId="10" borderId="2" xfId="0" applyFont="1" applyFill="1" applyBorder="1" applyAlignment="1">
      <alignment horizontal="center" vertical="top"/>
    </xf>
    <xf numFmtId="0" fontId="20" fillId="5" borderId="2" xfId="2" applyFont="1" applyFill="1" applyBorder="1" applyAlignment="1">
      <alignment horizontal="center" vertical="top"/>
    </xf>
    <xf numFmtId="0" fontId="20" fillId="5" borderId="2" xfId="0" applyNumberFormat="1" applyFont="1" applyFill="1" applyBorder="1" applyAlignment="1">
      <alignment horizontal="center" vertical="top"/>
    </xf>
    <xf numFmtId="0" fontId="20" fillId="5" borderId="2" xfId="5" applyFont="1" applyFill="1" applyBorder="1" applyAlignment="1">
      <alignment horizontal="center" vertical="top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3" fontId="11" fillId="17" borderId="2" xfId="0" applyNumberFormat="1" applyFont="1" applyFill="1" applyBorder="1" applyAlignment="1">
      <alignment horizontal="center" vertical="center"/>
    </xf>
    <xf numFmtId="1" fontId="10" fillId="17" borderId="3" xfId="0" applyNumberFormat="1" applyFont="1" applyFill="1" applyBorder="1" applyAlignment="1">
      <alignment horizontal="right" vertical="center"/>
    </xf>
    <xf numFmtId="3" fontId="5" fillId="17" borderId="10" xfId="0" applyNumberFormat="1" applyFont="1" applyFill="1" applyBorder="1" applyAlignment="1">
      <alignment horizontal="center" vertical="center"/>
    </xf>
    <xf numFmtId="3" fontId="5" fillId="17" borderId="11" xfId="0" applyNumberFormat="1" applyFont="1" applyFill="1" applyBorder="1" applyAlignment="1">
      <alignment horizontal="center" vertical="center"/>
    </xf>
    <xf numFmtId="3" fontId="6" fillId="17" borderId="2" xfId="0" applyNumberFormat="1" applyFont="1" applyFill="1" applyBorder="1" applyAlignment="1">
      <alignment horizontal="center" vertical="center"/>
    </xf>
    <xf numFmtId="3" fontId="11" fillId="18" borderId="2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5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10" fillId="14" borderId="7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center" vertical="center" textRotation="90" wrapText="1"/>
    </xf>
    <xf numFmtId="0" fontId="21" fillId="15" borderId="4" xfId="0" applyFont="1" applyFill="1" applyBorder="1" applyAlignment="1">
      <alignment horizontal="center" vertical="center" textRotation="90" wrapText="1"/>
    </xf>
    <xf numFmtId="0" fontId="10" fillId="15" borderId="5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center" vertical="center" textRotation="90" wrapText="1"/>
    </xf>
    <xf numFmtId="0" fontId="21" fillId="14" borderId="4" xfId="0" applyFont="1" applyFill="1" applyBorder="1" applyAlignment="1">
      <alignment horizontal="center" vertical="center" textRotation="90" wrapText="1"/>
    </xf>
    <xf numFmtId="0" fontId="26" fillId="0" borderId="0" xfId="3" applyFont="1"/>
    <xf numFmtId="0" fontId="27" fillId="0" borderId="0" xfId="3" applyFont="1"/>
    <xf numFmtId="0" fontId="11" fillId="0" borderId="2" xfId="0" applyFont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3" fillId="4" borderId="2" xfId="2" applyFont="1" applyFill="1" applyBorder="1" applyAlignment="1">
      <alignment horizontal="center" vertical="top"/>
    </xf>
    <xf numFmtId="0" fontId="22" fillId="19" borderId="2" xfId="0" applyFont="1" applyFill="1" applyBorder="1" applyAlignment="1">
      <alignment horizontal="center"/>
    </xf>
    <xf numFmtId="0" fontId="22" fillId="19" borderId="5" xfId="0" applyFont="1" applyFill="1" applyBorder="1" applyAlignment="1">
      <alignment horizontal="center"/>
    </xf>
    <xf numFmtId="0" fontId="22" fillId="20" borderId="2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top"/>
    </xf>
    <xf numFmtId="0" fontId="11" fillId="4" borderId="19" xfId="0" applyFont="1" applyFill="1" applyBorder="1" applyAlignment="1">
      <alignment horizontal="center" vertical="top"/>
    </xf>
    <xf numFmtId="0" fontId="11" fillId="4" borderId="19" xfId="0" applyFont="1" applyFill="1" applyBorder="1" applyAlignment="1">
      <alignment horizontal="center" vertical="top" wrapText="1"/>
    </xf>
    <xf numFmtId="0" fontId="11" fillId="5" borderId="19" xfId="0" applyFont="1" applyFill="1" applyBorder="1" applyAlignment="1">
      <alignment horizontal="center" vertical="top"/>
    </xf>
    <xf numFmtId="0" fontId="20" fillId="5" borderId="19" xfId="0" applyFont="1" applyFill="1" applyBorder="1" applyAlignment="1">
      <alignment horizontal="center" vertical="top"/>
    </xf>
    <xf numFmtId="0" fontId="11" fillId="2" borderId="19" xfId="0" applyFont="1" applyFill="1" applyBorder="1" applyAlignment="1">
      <alignment horizontal="center" vertical="top"/>
    </xf>
    <xf numFmtId="0" fontId="11" fillId="6" borderId="19" xfId="0" applyFont="1" applyFill="1" applyBorder="1" applyAlignment="1">
      <alignment horizontal="center" vertical="top"/>
    </xf>
    <xf numFmtId="3" fontId="11" fillId="0" borderId="3" xfId="0" applyNumberFormat="1" applyFont="1" applyBorder="1" applyAlignment="1">
      <alignment vertical="top"/>
    </xf>
    <xf numFmtId="0" fontId="10" fillId="14" borderId="16" xfId="0" applyFont="1" applyFill="1" applyBorder="1" applyAlignment="1">
      <alignment horizontal="center" vertical="center" textRotation="90" wrapText="1"/>
    </xf>
    <xf numFmtId="0" fontId="21" fillId="14" borderId="16" xfId="0" applyFont="1" applyFill="1" applyBorder="1" applyAlignment="1">
      <alignment horizontal="center" vertical="center" textRotation="90" wrapText="1"/>
    </xf>
    <xf numFmtId="0" fontId="10" fillId="15" borderId="16" xfId="0" applyFont="1" applyFill="1" applyBorder="1" applyAlignment="1">
      <alignment horizontal="center" vertical="center" textRotation="90" wrapText="1"/>
    </xf>
    <xf numFmtId="0" fontId="21" fillId="15" borderId="16" xfId="0" applyFont="1" applyFill="1" applyBorder="1" applyAlignment="1">
      <alignment horizontal="center" vertical="center" textRotation="90" wrapText="1"/>
    </xf>
    <xf numFmtId="1" fontId="11" fillId="0" borderId="2" xfId="0" applyNumberFormat="1" applyFont="1" applyFill="1" applyBorder="1" applyAlignment="1">
      <alignment horizontal="center" vertical="top"/>
    </xf>
    <xf numFmtId="1" fontId="28" fillId="12" borderId="2" xfId="0" applyNumberFormat="1" applyFont="1" applyFill="1" applyBorder="1" applyAlignment="1">
      <alignment vertical="top"/>
    </xf>
    <xf numFmtId="1" fontId="22" fillId="0" borderId="2" xfId="0" applyNumberFormat="1" applyFont="1" applyBorder="1" applyAlignment="1">
      <alignment horizontal="center" vertical="center"/>
    </xf>
    <xf numFmtId="3" fontId="22" fillId="0" borderId="2" xfId="0" applyNumberFormat="1" applyFont="1" applyBorder="1" applyAlignment="1">
      <alignment vertical="center"/>
    </xf>
    <xf numFmtId="1" fontId="22" fillId="12" borderId="2" xfId="0" applyNumberFormat="1" applyFont="1" applyFill="1" applyBorder="1" applyAlignment="1">
      <alignment horizontal="center" vertical="center"/>
    </xf>
    <xf numFmtId="3" fontId="22" fillId="12" borderId="2" xfId="0" applyNumberFormat="1" applyFont="1" applyFill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1" fontId="22" fillId="0" borderId="2" xfId="0" applyNumberFormat="1" applyFont="1" applyBorder="1" applyAlignment="1">
      <alignment horizontal="center" vertical="top"/>
    </xf>
    <xf numFmtId="3" fontId="22" fillId="0" borderId="2" xfId="0" applyNumberFormat="1" applyFont="1" applyBorder="1" applyAlignment="1">
      <alignment vertical="top"/>
    </xf>
    <xf numFmtId="0" fontId="11" fillId="0" borderId="2" xfId="0" applyFont="1" applyFill="1" applyBorder="1" applyAlignment="1">
      <alignment vertical="top" wrapText="1"/>
    </xf>
    <xf numFmtId="3" fontId="10" fillId="17" borderId="5" xfId="0" applyNumberFormat="1" applyFont="1" applyFill="1" applyBorder="1" applyAlignment="1">
      <alignment horizontal="right" vertical="center" wrapText="1"/>
    </xf>
    <xf numFmtId="3" fontId="11" fillId="17" borderId="12" xfId="0" applyNumberFormat="1" applyFont="1" applyFill="1" applyBorder="1" applyAlignment="1">
      <alignment horizontal="center" vertical="center"/>
    </xf>
    <xf numFmtId="1" fontId="11" fillId="12" borderId="2" xfId="0" applyNumberFormat="1" applyFont="1" applyFill="1" applyBorder="1" applyAlignment="1">
      <alignment horizontal="center" vertical="top"/>
    </xf>
    <xf numFmtId="3" fontId="11" fillId="12" borderId="2" xfId="0" applyNumberFormat="1" applyFont="1" applyFill="1" applyBorder="1" applyAlignment="1">
      <alignment vertical="top"/>
    </xf>
    <xf numFmtId="3" fontId="11" fillId="12" borderId="2" xfId="0" applyNumberFormat="1" applyFont="1" applyFill="1" applyBorder="1" applyAlignment="1">
      <alignment horizontal="center" vertical="top"/>
    </xf>
    <xf numFmtId="3" fontId="11" fillId="12" borderId="0" xfId="0" applyNumberFormat="1" applyFont="1" applyFill="1" applyAlignment="1">
      <alignment vertical="top"/>
    </xf>
    <xf numFmtId="3" fontId="25" fillId="0" borderId="0" xfId="0" applyNumberFormat="1" applyFont="1" applyBorder="1" applyAlignment="1">
      <alignment horizontal="center" vertical="center"/>
    </xf>
    <xf numFmtId="3" fontId="5" fillId="16" borderId="11" xfId="0" applyNumberFormat="1" applyFont="1" applyFill="1" applyBorder="1" applyAlignment="1">
      <alignment horizontal="center" vertical="center"/>
    </xf>
    <xf numFmtId="3" fontId="10" fillId="17" borderId="5" xfId="0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left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3" fontId="5" fillId="17" borderId="22" xfId="0" applyNumberFormat="1" applyFont="1" applyFill="1" applyBorder="1" applyAlignment="1">
      <alignment horizontal="center" vertical="center"/>
    </xf>
    <xf numFmtId="3" fontId="5" fillId="17" borderId="23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vertical="top" wrapText="1"/>
    </xf>
    <xf numFmtId="0" fontId="11" fillId="12" borderId="19" xfId="0" applyFont="1" applyFill="1" applyBorder="1" applyAlignment="1">
      <alignment horizontal="center" vertical="top"/>
    </xf>
    <xf numFmtId="0" fontId="11" fillId="12" borderId="0" xfId="0" applyFont="1" applyFill="1" applyAlignment="1">
      <alignment vertical="top"/>
    </xf>
    <xf numFmtId="0" fontId="10" fillId="12" borderId="2" xfId="0" applyFont="1" applyFill="1" applyBorder="1" applyAlignment="1">
      <alignment vertical="top" wrapText="1"/>
    </xf>
    <xf numFmtId="0" fontId="11" fillId="12" borderId="0" xfId="0" applyFont="1" applyFill="1" applyAlignment="1">
      <alignment horizontal="center" vertical="top"/>
    </xf>
    <xf numFmtId="0" fontId="11" fillId="12" borderId="5" xfId="0" applyFont="1" applyFill="1" applyBorder="1" applyAlignment="1">
      <alignment horizontal="center" vertical="top"/>
    </xf>
    <xf numFmtId="0" fontId="11" fillId="12" borderId="19" xfId="0" applyFont="1" applyFill="1" applyBorder="1" applyAlignment="1">
      <alignment horizontal="center" vertical="top" wrapText="1"/>
    </xf>
    <xf numFmtId="0" fontId="10" fillId="12" borderId="0" xfId="0" applyFont="1" applyFill="1" applyAlignment="1">
      <alignment vertical="top"/>
    </xf>
    <xf numFmtId="3" fontId="11" fillId="12" borderId="3" xfId="0" applyNumberFormat="1" applyFont="1" applyFill="1" applyBorder="1" applyAlignment="1">
      <alignment vertical="top" wrapText="1"/>
    </xf>
    <xf numFmtId="0" fontId="11" fillId="12" borderId="2" xfId="5" applyFont="1" applyFill="1" applyBorder="1" applyAlignment="1">
      <alignment horizontal="center" vertical="top"/>
    </xf>
    <xf numFmtId="1" fontId="11" fillId="12" borderId="2" xfId="0" applyNumberFormat="1" applyFont="1" applyFill="1" applyBorder="1" applyAlignment="1">
      <alignment horizontal="center" vertical="center"/>
    </xf>
    <xf numFmtId="3" fontId="11" fillId="12" borderId="3" xfId="0" applyNumberFormat="1" applyFont="1" applyFill="1" applyBorder="1" applyAlignment="1">
      <alignment vertical="center"/>
    </xf>
    <xf numFmtId="0" fontId="10" fillId="10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 wrapText="1"/>
    </xf>
    <xf numFmtId="3" fontId="9" fillId="15" borderId="2" xfId="0" applyNumberFormat="1" applyFont="1" applyFill="1" applyBorder="1" applyAlignment="1">
      <alignment horizontal="left" vertical="center"/>
    </xf>
    <xf numFmtId="3" fontId="10" fillId="17" borderId="3" xfId="0" applyNumberFormat="1" applyFont="1" applyFill="1" applyBorder="1" applyAlignment="1">
      <alignment horizontal="right" vertical="center"/>
    </xf>
    <xf numFmtId="3" fontId="10" fillId="17" borderId="5" xfId="0" applyNumberFormat="1" applyFont="1" applyFill="1" applyBorder="1" applyAlignment="1">
      <alignment horizontal="right" vertical="center"/>
    </xf>
    <xf numFmtId="3" fontId="5" fillId="17" borderId="3" xfId="0" applyNumberFormat="1" applyFont="1" applyFill="1" applyBorder="1" applyAlignment="1">
      <alignment horizontal="right" vertical="center"/>
    </xf>
    <xf numFmtId="3" fontId="4" fillId="17" borderId="5" xfId="0" applyNumberFormat="1" applyFont="1" applyFill="1" applyBorder="1" applyAlignment="1">
      <alignment horizontal="right" vertical="center"/>
    </xf>
    <xf numFmtId="3" fontId="23" fillId="0" borderId="0" xfId="0" applyNumberFormat="1" applyFont="1" applyBorder="1" applyAlignment="1">
      <alignment horizontal="right" vertical="center"/>
    </xf>
    <xf numFmtId="3" fontId="24" fillId="0" borderId="0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3" fontId="10" fillId="17" borderId="2" xfId="0" applyNumberFormat="1" applyFont="1" applyFill="1" applyBorder="1" applyAlignment="1">
      <alignment horizontal="right" vertical="center"/>
    </xf>
    <xf numFmtId="3" fontId="5" fillId="17" borderId="9" xfId="0" applyNumberFormat="1" applyFont="1" applyFill="1" applyBorder="1" applyAlignment="1">
      <alignment horizontal="right" vertical="center"/>
    </xf>
    <xf numFmtId="3" fontId="5" fillId="17" borderId="10" xfId="0" applyNumberFormat="1" applyFont="1" applyFill="1" applyBorder="1" applyAlignment="1">
      <alignment horizontal="right" vertical="center"/>
    </xf>
    <xf numFmtId="3" fontId="5" fillId="16" borderId="17" xfId="0" applyNumberFormat="1" applyFont="1" applyFill="1" applyBorder="1" applyAlignment="1">
      <alignment horizontal="right" vertical="center"/>
    </xf>
    <xf numFmtId="3" fontId="5" fillId="16" borderId="18" xfId="0" applyNumberFormat="1" applyFont="1" applyFill="1" applyBorder="1" applyAlignment="1">
      <alignment horizontal="right" vertical="center"/>
    </xf>
    <xf numFmtId="3" fontId="9" fillId="14" borderId="3" xfId="0" applyNumberFormat="1" applyFont="1" applyFill="1" applyBorder="1" applyAlignment="1">
      <alignment horizontal="left" vertical="center" wrapText="1"/>
    </xf>
    <xf numFmtId="3" fontId="9" fillId="14" borderId="4" xfId="0" applyNumberFormat="1" applyFont="1" applyFill="1" applyBorder="1" applyAlignment="1">
      <alignment horizontal="left" vertical="center" wrapText="1"/>
    </xf>
    <xf numFmtId="3" fontId="9" fillId="14" borderId="5" xfId="0" applyNumberFormat="1" applyFont="1" applyFill="1" applyBorder="1" applyAlignment="1">
      <alignment horizontal="left" vertical="center" wrapText="1"/>
    </xf>
    <xf numFmtId="3" fontId="10" fillId="17" borderId="3" xfId="0" applyNumberFormat="1" applyFont="1" applyFill="1" applyBorder="1" applyAlignment="1">
      <alignment horizontal="right" vertical="center" wrapText="1"/>
    </xf>
    <xf numFmtId="3" fontId="10" fillId="17" borderId="4" xfId="0" applyNumberFormat="1" applyFont="1" applyFill="1" applyBorder="1" applyAlignment="1">
      <alignment horizontal="right" vertical="center" wrapText="1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left" vertical="center"/>
    </xf>
    <xf numFmtId="3" fontId="14" fillId="17" borderId="5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center" vertical="center" wrapText="1"/>
    </xf>
    <xf numFmtId="3" fontId="9" fillId="14" borderId="17" xfId="0" applyNumberFormat="1" applyFont="1" applyFill="1" applyBorder="1" applyAlignment="1">
      <alignment horizontal="left" vertical="center" wrapText="1"/>
    </xf>
    <xf numFmtId="3" fontId="9" fillId="14" borderId="20" xfId="0" applyNumberFormat="1" applyFont="1" applyFill="1" applyBorder="1" applyAlignment="1">
      <alignment horizontal="left" vertical="center" wrapText="1"/>
    </xf>
    <xf numFmtId="3" fontId="9" fillId="14" borderId="21" xfId="0" applyNumberFormat="1" applyFont="1" applyFill="1" applyBorder="1" applyAlignment="1">
      <alignment horizontal="left" vertical="center" wrapText="1"/>
    </xf>
    <xf numFmtId="3" fontId="9" fillId="15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0" fillId="14" borderId="5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</cellXfs>
  <cellStyles count="8">
    <cellStyle name="Euro" xfId="1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00000000-0005-0000-0000-000004000000}"/>
    <cellStyle name="Normal 2 3" xfId="6" xr:uid="{00000000-0005-0000-0000-000005000000}"/>
    <cellStyle name="Normal 3" xfId="5" xr:uid="{00000000-0005-0000-0000-000006000000}"/>
    <cellStyle name="Normale 2" xfId="2" xr:uid="{00000000-0005-0000-0000-000007000000}"/>
  </cellStyles>
  <dxfs count="0"/>
  <tableStyles count="0" defaultTableStyle="TableStyleMedium9" defaultPivotStyle="PivotStyleLight16"/>
  <colors>
    <mruColors>
      <color rgb="FFFFFFCC"/>
      <color rgb="FFE1E1FF"/>
      <color rgb="FFF9F9F9"/>
      <color rgb="FFFFCC00"/>
      <color rgb="FF00FF00"/>
      <color rgb="FFCCCCFF"/>
      <color rgb="FFCC99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odified%20Pricing%20BOS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Owner\My%20Documents\Strategic%20Consulting%20Solutions\WSI\POTAX\FINALPOTINV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 2003"/>
      <sheetName val="Working Sheet"/>
      <sheetName val="Explanation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NS PM"/>
      <sheetName val="safety_lighting"/>
      <sheetName val="fire_protection"/>
      <sheetName val="elevator"/>
      <sheetName val="HVAC FILTER CHANGE"/>
      <sheetName val="HVAC FOR P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llinger, Emma C CIV USN NAVFAC LANT NOR VA (USA)" id="{914C2B7F-DEBE-44B8-9414-168C49DE02DD}" userId="S::emma.c.bellinger.civ@us.navy.mil::07f421d2-9500-4fb1-986f-fa0ab9df1312" providerId="AD"/>
  <person displayName="Caruso, Vincenza M LN (ITA)" id="{4A583085-6100-431B-B40F-65F199C91776}" userId="S::vincenza.m.caruso.ln@us.navy.mil::cebd7add-8458-4249-bf50-9c1430ae18a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2" dT="2025-04-02T12:40:14.67" personId="{4A583085-6100-431B-B40F-65F199C91776}" id="{EA71FA10-8750-4111-A45E-DA80AA0C446A}">
    <text>new mod</text>
  </threadedComment>
  <threadedComment ref="H102" dT="2025-04-14T13:09:29.18" personId="{914C2B7F-DEBE-44B8-9414-168C49DE02DD}" id="{9DEBE4A7-7480-4280-80A6-892BDDEAED4C}" parentId="{EA71FA10-8750-4111-A45E-DA80AA0C446A}">
    <text>Accepted</text>
  </threadedComment>
  <threadedComment ref="A178" dT="2025-04-02T14:09:55.62" personId="{4A583085-6100-431B-B40F-65F199C91776}" id="{96F0C163-4362-471E-927A-E00CF1226E39}">
    <text>FMD informed that B466 and B1030 are 100% Reimbursable as per iNFADS Property Record: CHANGE funding Activity from CNIC to DLA ENERGY </text>
  </threadedComment>
  <threadedComment ref="A178" dT="2025-04-14T13:14:37.95" personId="{914C2B7F-DEBE-44B8-9414-168C49DE02DD}" id="{9136E8DF-93BD-4114-8174-27B64D1C81A0}" parentId="{96F0C163-4362-471E-927A-E00CF1226E39}">
    <text>Accepted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fitToPage="1"/>
  </sheetPr>
  <dimension ref="A1:AI334"/>
  <sheetViews>
    <sheetView showGridLines="0" tabSelected="1" zoomScaleNormal="100" zoomScaleSheetLayoutView="85" workbookViewId="0">
      <pane ySplit="4" topLeftCell="A5" activePane="bottomLeft" state="frozen"/>
      <selection pane="bottomLeft" activeCell="A4" sqref="A4"/>
    </sheetView>
  </sheetViews>
  <sheetFormatPr defaultColWidth="9.3046875" defaultRowHeight="12.9" x14ac:dyDescent="0.35"/>
  <cols>
    <col min="1" max="1" width="9.3046875" style="2" customWidth="1"/>
    <col min="2" max="2" width="40.53515625" style="38" customWidth="1"/>
    <col min="3" max="3" width="5.69140625" style="71" hidden="1" customWidth="1"/>
    <col min="4" max="4" width="7.84375" style="71" customWidth="1"/>
    <col min="5" max="5" width="5.69140625" style="71" bestFit="1" customWidth="1"/>
    <col min="6" max="6" width="5.69140625" style="71" customWidth="1"/>
    <col min="7" max="7" width="5.69140625" style="71" bestFit="1" customWidth="1"/>
    <col min="8" max="8" width="6.15234375" style="71" customWidth="1"/>
    <col min="9" max="9" width="6" style="71" customWidth="1"/>
    <col min="10" max="11" width="5.69140625" style="71" bestFit="1" customWidth="1"/>
    <col min="12" max="12" width="5.15234375" style="71" bestFit="1" customWidth="1"/>
    <col min="13" max="30" width="5.3828125" style="71" customWidth="1"/>
    <col min="31" max="16384" width="9.3046875" style="38"/>
  </cols>
  <sheetData>
    <row r="1" spans="1:30" ht="18" customHeight="1" x14ac:dyDescent="0.35">
      <c r="A1" s="323" t="s">
        <v>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</row>
    <row r="2" spans="1:30" s="39" customFormat="1" ht="18.649999999999999" customHeight="1" x14ac:dyDescent="0.35">
      <c r="A2" s="301" t="s">
        <v>1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</row>
    <row r="3" spans="1:30" s="40" customFormat="1" ht="23.65" customHeight="1" x14ac:dyDescent="0.35">
      <c r="A3" s="302" t="s">
        <v>2</v>
      </c>
      <c r="B3" s="302"/>
      <c r="C3" s="302"/>
      <c r="D3" s="302"/>
      <c r="E3" s="303" t="s">
        <v>3</v>
      </c>
      <c r="F3" s="303"/>
      <c r="G3" s="304"/>
      <c r="H3" s="304"/>
      <c r="I3" s="304"/>
      <c r="J3" s="304"/>
      <c r="K3" s="304"/>
      <c r="L3" s="305" t="s">
        <v>4</v>
      </c>
      <c r="M3" s="305"/>
      <c r="N3" s="305"/>
      <c r="O3" s="305"/>
      <c r="P3" s="305"/>
      <c r="Q3" s="305"/>
      <c r="R3" s="306" t="s">
        <v>5</v>
      </c>
      <c r="S3" s="306"/>
      <c r="T3" s="306"/>
      <c r="U3" s="306"/>
      <c r="V3" s="306"/>
      <c r="W3" s="306"/>
      <c r="X3" s="306"/>
      <c r="Y3" s="306"/>
      <c r="Z3" s="257"/>
      <c r="AA3" s="307" t="s">
        <v>6</v>
      </c>
      <c r="AB3" s="307"/>
      <c r="AC3" s="307"/>
      <c r="AD3" s="307"/>
    </row>
    <row r="4" spans="1:30" s="40" customFormat="1" ht="104.5" customHeight="1" x14ac:dyDescent="0.35">
      <c r="A4" s="6" t="s">
        <v>7</v>
      </c>
      <c r="B4" s="257" t="s">
        <v>8</v>
      </c>
      <c r="C4" s="41" t="s">
        <v>9</v>
      </c>
      <c r="D4" s="41" t="s">
        <v>10</v>
      </c>
      <c r="E4" s="42" t="s">
        <v>11</v>
      </c>
      <c r="F4" s="42" t="s">
        <v>12</v>
      </c>
      <c r="G4" s="42" t="s">
        <v>13</v>
      </c>
      <c r="H4" s="42" t="s">
        <v>14</v>
      </c>
      <c r="I4" s="42" t="s">
        <v>15</v>
      </c>
      <c r="J4" s="42" t="s">
        <v>16</v>
      </c>
      <c r="K4" s="42" t="s">
        <v>17</v>
      </c>
      <c r="L4" s="43" t="s">
        <v>18</v>
      </c>
      <c r="M4" s="43" t="s">
        <v>19</v>
      </c>
      <c r="N4" s="43" t="s">
        <v>20</v>
      </c>
      <c r="O4" s="43" t="s">
        <v>21</v>
      </c>
      <c r="P4" s="43" t="s">
        <v>22</v>
      </c>
      <c r="Q4" s="43" t="s">
        <v>23</v>
      </c>
      <c r="R4" s="44" t="s">
        <v>24</v>
      </c>
      <c r="S4" s="44" t="s">
        <v>25</v>
      </c>
      <c r="T4" s="44" t="s">
        <v>26</v>
      </c>
      <c r="U4" s="44" t="s">
        <v>27</v>
      </c>
      <c r="V4" s="44" t="s">
        <v>28</v>
      </c>
      <c r="W4" s="44" t="s">
        <v>29</v>
      </c>
      <c r="X4" s="44" t="s">
        <v>30</v>
      </c>
      <c r="Y4" s="44" t="s">
        <v>31</v>
      </c>
      <c r="Z4" s="41" t="s">
        <v>32</v>
      </c>
      <c r="AA4" s="45" t="s">
        <v>33</v>
      </c>
      <c r="AB4" s="45" t="s">
        <v>34</v>
      </c>
      <c r="AC4" s="46" t="s">
        <v>35</v>
      </c>
      <c r="AD4" s="45" t="s">
        <v>19</v>
      </c>
    </row>
    <row r="5" spans="1:30" s="47" customFormat="1" ht="15.75" customHeight="1" x14ac:dyDescent="0.35">
      <c r="A5" s="313" t="s">
        <v>36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5"/>
    </row>
    <row r="6" spans="1:30" s="47" customFormat="1" ht="15" x14ac:dyDescent="0.35">
      <c r="A6" s="294" t="s">
        <v>37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</row>
    <row r="7" spans="1:30" s="139" customFormat="1" x14ac:dyDescent="0.35">
      <c r="A7" s="104">
        <v>1</v>
      </c>
      <c r="B7" s="103" t="s">
        <v>38</v>
      </c>
      <c r="C7" s="134"/>
      <c r="D7" s="134">
        <v>15</v>
      </c>
      <c r="E7" s="135"/>
      <c r="F7" s="135"/>
      <c r="G7" s="135"/>
      <c r="H7" s="135"/>
      <c r="I7" s="135"/>
      <c r="J7" s="135"/>
      <c r="K7" s="135">
        <v>15</v>
      </c>
      <c r="L7" s="136"/>
      <c r="M7" s="136"/>
      <c r="N7" s="136"/>
      <c r="O7" s="136"/>
      <c r="P7" s="136"/>
      <c r="Q7" s="136"/>
      <c r="R7" s="137"/>
      <c r="S7" s="137"/>
      <c r="T7" s="137"/>
      <c r="U7" s="137"/>
      <c r="V7" s="137"/>
      <c r="W7" s="137"/>
      <c r="X7" s="137"/>
      <c r="Y7" s="137"/>
      <c r="Z7" s="134"/>
      <c r="AA7" s="138"/>
      <c r="AB7" s="138"/>
      <c r="AC7" s="138"/>
      <c r="AD7" s="138"/>
    </row>
    <row r="8" spans="1:30" s="140" customFormat="1" x14ac:dyDescent="0.35">
      <c r="A8" s="104">
        <v>3</v>
      </c>
      <c r="B8" s="103" t="s">
        <v>39</v>
      </c>
      <c r="C8" s="134"/>
      <c r="D8" s="134">
        <v>15</v>
      </c>
      <c r="E8" s="135"/>
      <c r="F8" s="135"/>
      <c r="G8" s="135"/>
      <c r="H8" s="135"/>
      <c r="I8" s="135"/>
      <c r="J8" s="135"/>
      <c r="K8" s="135">
        <v>15</v>
      </c>
      <c r="L8" s="136"/>
      <c r="M8" s="136"/>
      <c r="N8" s="136"/>
      <c r="O8" s="136"/>
      <c r="P8" s="136"/>
      <c r="Q8" s="136"/>
      <c r="R8" s="137"/>
      <c r="S8" s="137"/>
      <c r="T8" s="137"/>
      <c r="U8" s="137"/>
      <c r="V8" s="137"/>
      <c r="W8" s="137"/>
      <c r="X8" s="137"/>
      <c r="Y8" s="137"/>
      <c r="Z8" s="134"/>
      <c r="AA8" s="138"/>
      <c r="AB8" s="138"/>
      <c r="AC8" s="138">
        <v>1</v>
      </c>
      <c r="AD8" s="138">
        <v>3</v>
      </c>
    </row>
    <row r="9" spans="1:30" s="139" customFormat="1" x14ac:dyDescent="0.35">
      <c r="A9" s="104">
        <v>146</v>
      </c>
      <c r="B9" s="103" t="s">
        <v>40</v>
      </c>
      <c r="C9" s="134"/>
      <c r="D9" s="134">
        <f>SUM(E9:K9,S9,Z9)</f>
        <v>21</v>
      </c>
      <c r="E9" s="135"/>
      <c r="F9" s="135"/>
      <c r="G9" s="135"/>
      <c r="H9" s="135"/>
      <c r="I9" s="135"/>
      <c r="J9" s="135"/>
      <c r="K9" s="135"/>
      <c r="L9" s="136"/>
      <c r="M9" s="136"/>
      <c r="N9" s="136"/>
      <c r="O9" s="136"/>
      <c r="P9" s="136"/>
      <c r="Q9" s="136"/>
      <c r="R9" s="141">
        <v>2</v>
      </c>
      <c r="S9" s="141">
        <v>21</v>
      </c>
      <c r="T9" s="141"/>
      <c r="U9" s="141"/>
      <c r="V9" s="141"/>
      <c r="W9" s="141"/>
      <c r="X9" s="141"/>
      <c r="Y9" s="141"/>
      <c r="Z9" s="134"/>
      <c r="AA9" s="142"/>
      <c r="AB9" s="142">
        <v>8</v>
      </c>
      <c r="AC9" s="142">
        <v>2</v>
      </c>
      <c r="AD9" s="142">
        <v>6</v>
      </c>
    </row>
    <row r="10" spans="1:30" s="139" customFormat="1" x14ac:dyDescent="0.35">
      <c r="A10" s="104">
        <v>156</v>
      </c>
      <c r="B10" s="103" t="s">
        <v>41</v>
      </c>
      <c r="C10" s="134"/>
      <c r="D10" s="143"/>
      <c r="E10" s="135"/>
      <c r="F10" s="135"/>
      <c r="G10" s="135"/>
      <c r="H10" s="135"/>
      <c r="I10" s="135"/>
      <c r="J10" s="135"/>
      <c r="K10" s="135"/>
      <c r="L10" s="136"/>
      <c r="M10" s="136"/>
      <c r="N10" s="136"/>
      <c r="O10" s="136"/>
      <c r="P10" s="136"/>
      <c r="Q10" s="136"/>
      <c r="R10" s="141"/>
      <c r="S10" s="141"/>
      <c r="T10" s="141"/>
      <c r="U10" s="141"/>
      <c r="V10" s="141"/>
      <c r="W10" s="141"/>
      <c r="X10" s="141"/>
      <c r="Y10" s="141"/>
      <c r="Z10" s="134"/>
      <c r="AA10" s="142"/>
      <c r="AB10" s="142"/>
      <c r="AC10" s="142">
        <v>1</v>
      </c>
      <c r="AD10" s="142">
        <v>3</v>
      </c>
    </row>
    <row r="11" spans="1:30" s="139" customFormat="1" x14ac:dyDescent="0.35">
      <c r="A11" s="104">
        <v>157</v>
      </c>
      <c r="B11" s="103" t="s">
        <v>42</v>
      </c>
      <c r="C11" s="134"/>
      <c r="D11" s="134">
        <f>SUM(E11:K11,S11,Z11)</f>
        <v>312</v>
      </c>
      <c r="E11" s="135"/>
      <c r="F11" s="135"/>
      <c r="G11" s="135"/>
      <c r="H11" s="135">
        <v>312</v>
      </c>
      <c r="I11" s="135"/>
      <c r="J11" s="135"/>
      <c r="K11" s="135"/>
      <c r="L11" s="136">
        <v>1</v>
      </c>
      <c r="M11" s="136">
        <v>3</v>
      </c>
      <c r="N11" s="136"/>
      <c r="O11" s="136"/>
      <c r="P11" s="136"/>
      <c r="Q11" s="136">
        <v>2</v>
      </c>
      <c r="R11" s="137"/>
      <c r="S11" s="141"/>
      <c r="T11" s="137"/>
      <c r="U11" s="137"/>
      <c r="V11" s="137"/>
      <c r="W11" s="137"/>
      <c r="X11" s="137"/>
      <c r="Y11" s="137"/>
      <c r="Z11" s="134"/>
      <c r="AA11" s="138"/>
      <c r="AB11" s="138"/>
      <c r="AC11" s="138"/>
      <c r="AD11" s="138"/>
    </row>
    <row r="12" spans="1:30" s="139" customFormat="1" x14ac:dyDescent="0.35">
      <c r="A12" s="104">
        <v>157</v>
      </c>
      <c r="B12" s="103" t="s">
        <v>43</v>
      </c>
      <c r="C12" s="134"/>
      <c r="D12" s="134">
        <f>SUM(E12:K12,S12,Z12)</f>
        <v>1142</v>
      </c>
      <c r="E12" s="135">
        <v>20</v>
      </c>
      <c r="F12" s="135"/>
      <c r="G12" s="135"/>
      <c r="H12" s="135">
        <v>245</v>
      </c>
      <c r="I12" s="135">
        <v>830</v>
      </c>
      <c r="J12" s="135"/>
      <c r="K12" s="135"/>
      <c r="L12" s="136">
        <v>1</v>
      </c>
      <c r="M12" s="136">
        <v>3</v>
      </c>
      <c r="N12" s="136"/>
      <c r="O12" s="136"/>
      <c r="P12" s="136"/>
      <c r="Q12" s="136"/>
      <c r="R12" s="137">
        <v>2</v>
      </c>
      <c r="S12" s="137">
        <v>39</v>
      </c>
      <c r="T12" s="137"/>
      <c r="U12" s="137"/>
      <c r="V12" s="137"/>
      <c r="W12" s="137"/>
      <c r="X12" s="137"/>
      <c r="Y12" s="137"/>
      <c r="Z12" s="134">
        <v>8</v>
      </c>
      <c r="AA12" s="138"/>
      <c r="AB12" s="138">
        <v>12</v>
      </c>
      <c r="AC12" s="138">
        <v>2</v>
      </c>
      <c r="AD12" s="138">
        <v>6</v>
      </c>
    </row>
    <row r="13" spans="1:30" s="139" customFormat="1" ht="12.8" customHeight="1" x14ac:dyDescent="0.35">
      <c r="A13" s="104">
        <v>157</v>
      </c>
      <c r="B13" s="133" t="s">
        <v>44</v>
      </c>
      <c r="C13" s="134"/>
      <c r="D13" s="134">
        <f>SUM(E13:K13,S13,Z13)</f>
        <v>364</v>
      </c>
      <c r="E13" s="135">
        <v>213</v>
      </c>
      <c r="F13" s="135"/>
      <c r="G13" s="135"/>
      <c r="H13" s="135">
        <v>92</v>
      </c>
      <c r="I13" s="135">
        <v>20</v>
      </c>
      <c r="J13" s="135"/>
      <c r="K13" s="135"/>
      <c r="L13" s="136">
        <v>1</v>
      </c>
      <c r="M13" s="136">
        <v>3</v>
      </c>
      <c r="N13" s="136"/>
      <c r="O13" s="136"/>
      <c r="P13" s="136"/>
      <c r="Q13" s="136"/>
      <c r="R13" s="137">
        <v>2</v>
      </c>
      <c r="S13" s="137">
        <v>39</v>
      </c>
      <c r="T13" s="137"/>
      <c r="U13" s="137"/>
      <c r="V13" s="137"/>
      <c r="W13" s="137"/>
      <c r="X13" s="137"/>
      <c r="Y13" s="137"/>
      <c r="Z13" s="134"/>
      <c r="AA13" s="138"/>
      <c r="AB13" s="138"/>
      <c r="AC13" s="138"/>
      <c r="AD13" s="138"/>
    </row>
    <row r="14" spans="1:30" s="139" customFormat="1" ht="12.8" customHeight="1" x14ac:dyDescent="0.35">
      <c r="A14" s="104">
        <v>157</v>
      </c>
      <c r="B14" s="133" t="s">
        <v>45</v>
      </c>
      <c r="C14" s="134"/>
      <c r="D14" s="134">
        <f>H14+S14</f>
        <v>272</v>
      </c>
      <c r="E14" s="135"/>
      <c r="F14" s="135"/>
      <c r="G14" s="135"/>
      <c r="H14" s="135">
        <v>265</v>
      </c>
      <c r="I14" s="135"/>
      <c r="J14" s="135"/>
      <c r="K14" s="135"/>
      <c r="L14" s="136">
        <v>1</v>
      </c>
      <c r="M14" s="136">
        <v>3</v>
      </c>
      <c r="N14" s="136"/>
      <c r="O14" s="136"/>
      <c r="P14" s="136"/>
      <c r="Q14" s="136"/>
      <c r="R14" s="137">
        <v>2</v>
      </c>
      <c r="S14" s="137">
        <v>7</v>
      </c>
      <c r="T14" s="137"/>
      <c r="U14" s="137"/>
      <c r="V14" s="137"/>
      <c r="W14" s="137"/>
      <c r="X14" s="137"/>
      <c r="Y14" s="137"/>
      <c r="Z14" s="134"/>
      <c r="AA14" s="138"/>
      <c r="AB14" s="138"/>
      <c r="AC14" s="138"/>
      <c r="AD14" s="138"/>
    </row>
    <row r="15" spans="1:30" s="139" customFormat="1" ht="12.8" customHeight="1" x14ac:dyDescent="0.35">
      <c r="A15" s="104">
        <v>158</v>
      </c>
      <c r="B15" s="103" t="s">
        <v>46</v>
      </c>
      <c r="C15" s="134"/>
      <c r="D15" s="134">
        <v>202</v>
      </c>
      <c r="E15" s="135"/>
      <c r="F15" s="135"/>
      <c r="G15" s="135"/>
      <c r="H15" s="135">
        <v>128</v>
      </c>
      <c r="I15" s="135">
        <f>3.4*3.2+3.8*3.4</f>
        <v>23.8</v>
      </c>
      <c r="J15" s="135"/>
      <c r="K15" s="135"/>
      <c r="L15" s="136">
        <v>1</v>
      </c>
      <c r="M15" s="136">
        <v>3</v>
      </c>
      <c r="N15" s="136"/>
      <c r="O15" s="136"/>
      <c r="P15" s="136"/>
      <c r="Q15" s="136"/>
      <c r="R15" s="137">
        <v>4</v>
      </c>
      <c r="S15" s="137">
        <v>30</v>
      </c>
      <c r="T15" s="137"/>
      <c r="U15" s="137"/>
      <c r="V15" s="137"/>
      <c r="W15" s="137"/>
      <c r="X15" s="137"/>
      <c r="Y15" s="137"/>
      <c r="Z15" s="134">
        <v>20</v>
      </c>
      <c r="AA15" s="138"/>
      <c r="AB15" s="138"/>
      <c r="AC15" s="138"/>
      <c r="AD15" s="138"/>
    </row>
    <row r="16" spans="1:30" s="139" customFormat="1" ht="12.8" customHeight="1" x14ac:dyDescent="0.35">
      <c r="A16" s="104">
        <v>170</v>
      </c>
      <c r="B16" s="103" t="s">
        <v>47</v>
      </c>
      <c r="C16" s="134"/>
      <c r="D16" s="134">
        <f>SUM(E16:K16,S16,Z16)</f>
        <v>991.4</v>
      </c>
      <c r="E16" s="135">
        <v>18.399999999999999</v>
      </c>
      <c r="F16" s="135"/>
      <c r="G16" s="135"/>
      <c r="H16" s="135">
        <v>853</v>
      </c>
      <c r="I16" s="135">
        <v>67</v>
      </c>
      <c r="J16" s="135">
        <v>19</v>
      </c>
      <c r="K16" s="135"/>
      <c r="L16" s="136">
        <v>1</v>
      </c>
      <c r="M16" s="136">
        <v>3</v>
      </c>
      <c r="N16" s="136">
        <v>61</v>
      </c>
      <c r="O16" s="136"/>
      <c r="P16" s="136"/>
      <c r="Q16" s="136">
        <v>2</v>
      </c>
      <c r="R16" s="137">
        <v>2</v>
      </c>
      <c r="S16" s="137">
        <v>34</v>
      </c>
      <c r="T16" s="137"/>
      <c r="U16" s="137"/>
      <c r="V16" s="137"/>
      <c r="W16" s="137"/>
      <c r="X16" s="137"/>
      <c r="Y16" s="137"/>
      <c r="Z16" s="134"/>
      <c r="AA16" s="138"/>
      <c r="AB16" s="138">
        <v>7</v>
      </c>
      <c r="AC16" s="138">
        <v>1</v>
      </c>
      <c r="AD16" s="138">
        <v>3</v>
      </c>
    </row>
    <row r="17" spans="1:30" s="139" customFormat="1" x14ac:dyDescent="0.35">
      <c r="A17" s="104">
        <v>171</v>
      </c>
      <c r="B17" s="103" t="s">
        <v>48</v>
      </c>
      <c r="C17" s="134"/>
      <c r="D17" s="143"/>
      <c r="E17" s="135"/>
      <c r="F17" s="135"/>
      <c r="G17" s="135"/>
      <c r="H17" s="135"/>
      <c r="I17" s="135"/>
      <c r="J17" s="135"/>
      <c r="K17" s="135"/>
      <c r="L17" s="136"/>
      <c r="M17" s="136"/>
      <c r="N17" s="136"/>
      <c r="O17" s="136"/>
      <c r="P17" s="136"/>
      <c r="Q17" s="136"/>
      <c r="R17" s="137"/>
      <c r="S17" s="137"/>
      <c r="T17" s="137"/>
      <c r="U17" s="137"/>
      <c r="V17" s="137"/>
      <c r="W17" s="137"/>
      <c r="X17" s="137"/>
      <c r="Y17" s="137"/>
      <c r="Z17" s="134"/>
      <c r="AA17" s="138"/>
      <c r="AB17" s="138"/>
      <c r="AC17" s="138"/>
      <c r="AD17" s="138"/>
    </row>
    <row r="18" spans="1:30" s="139" customFormat="1" x14ac:dyDescent="0.35">
      <c r="A18" s="169">
        <v>175</v>
      </c>
      <c r="B18" s="238" t="s">
        <v>49</v>
      </c>
      <c r="C18" s="134"/>
      <c r="D18" s="134">
        <f>SUM(E18:K18,S18,Z18)</f>
        <v>3653</v>
      </c>
      <c r="E18" s="135">
        <v>161</v>
      </c>
      <c r="F18" s="135">
        <v>78</v>
      </c>
      <c r="G18" s="135">
        <v>1116</v>
      </c>
      <c r="H18" s="135">
        <v>307</v>
      </c>
      <c r="I18" s="135">
        <v>38</v>
      </c>
      <c r="J18" s="135">
        <v>1559</v>
      </c>
      <c r="K18" s="135">
        <v>0</v>
      </c>
      <c r="L18" s="136">
        <v>2</v>
      </c>
      <c r="M18" s="136">
        <v>6</v>
      </c>
      <c r="N18" s="136"/>
      <c r="O18" s="136"/>
      <c r="P18" s="136"/>
      <c r="Q18" s="136">
        <v>8</v>
      </c>
      <c r="R18" s="137">
        <v>4</v>
      </c>
      <c r="S18" s="137">
        <v>394</v>
      </c>
      <c r="T18" s="137"/>
      <c r="U18" s="137"/>
      <c r="V18" s="137"/>
      <c r="W18" s="137"/>
      <c r="X18" s="137"/>
      <c r="Y18" s="137"/>
      <c r="Z18" s="134"/>
      <c r="AA18" s="138"/>
      <c r="AB18" s="138"/>
      <c r="AC18" s="138"/>
      <c r="AD18" s="138"/>
    </row>
    <row r="19" spans="1:30" s="139" customFormat="1" x14ac:dyDescent="0.35">
      <c r="A19" s="169">
        <v>175</v>
      </c>
      <c r="B19" s="238" t="s">
        <v>50</v>
      </c>
      <c r="C19" s="134"/>
      <c r="D19" s="134">
        <f>SUM(E19:K19,S19,Z19)</f>
        <v>408</v>
      </c>
      <c r="E19" s="135"/>
      <c r="F19" s="135"/>
      <c r="G19" s="135"/>
      <c r="H19" s="135">
        <v>370</v>
      </c>
      <c r="I19" s="135"/>
      <c r="J19" s="135"/>
      <c r="K19" s="135"/>
      <c r="L19" s="136">
        <v>2</v>
      </c>
      <c r="M19" s="136">
        <v>6</v>
      </c>
      <c r="N19" s="136"/>
      <c r="O19" s="136"/>
      <c r="P19" s="136"/>
      <c r="Q19" s="136">
        <v>2</v>
      </c>
      <c r="R19" s="137">
        <v>2</v>
      </c>
      <c r="S19" s="137">
        <v>38</v>
      </c>
      <c r="T19" s="137"/>
      <c r="U19" s="137"/>
      <c r="V19" s="137"/>
      <c r="W19" s="137"/>
      <c r="X19" s="137"/>
      <c r="Y19" s="137"/>
      <c r="Z19" s="134"/>
      <c r="AA19" s="138"/>
      <c r="AB19" s="138"/>
      <c r="AC19" s="138"/>
      <c r="AD19" s="138"/>
    </row>
    <row r="20" spans="1:30" s="139" customFormat="1" ht="13.35" customHeight="1" x14ac:dyDescent="0.35">
      <c r="A20" s="169">
        <v>175</v>
      </c>
      <c r="B20" s="238" t="s">
        <v>51</v>
      </c>
      <c r="C20" s="134"/>
      <c r="D20" s="134">
        <f>SUM(E20:K20,S20,Z20)</f>
        <v>1517</v>
      </c>
      <c r="E20" s="135">
        <v>0</v>
      </c>
      <c r="F20" s="135">
        <v>78</v>
      </c>
      <c r="G20" s="135">
        <v>415</v>
      </c>
      <c r="H20" s="135">
        <v>640</v>
      </c>
      <c r="I20" s="135">
        <v>47</v>
      </c>
      <c r="J20" s="135">
        <v>146</v>
      </c>
      <c r="K20" s="135"/>
      <c r="L20" s="136">
        <v>2</v>
      </c>
      <c r="M20" s="136">
        <v>6</v>
      </c>
      <c r="N20" s="136"/>
      <c r="O20" s="136"/>
      <c r="P20" s="136"/>
      <c r="Q20" s="136">
        <v>7</v>
      </c>
      <c r="R20" s="137">
        <v>10</v>
      </c>
      <c r="S20" s="137">
        <v>164</v>
      </c>
      <c r="T20" s="137"/>
      <c r="U20" s="137"/>
      <c r="V20" s="137"/>
      <c r="W20" s="137"/>
      <c r="X20" s="137"/>
      <c r="Y20" s="137"/>
      <c r="Z20" s="134">
        <v>27</v>
      </c>
      <c r="AA20" s="138">
        <v>6</v>
      </c>
      <c r="AB20" s="138"/>
      <c r="AC20" s="138">
        <v>2</v>
      </c>
      <c r="AD20" s="138">
        <v>6</v>
      </c>
    </row>
    <row r="21" spans="1:30" s="139" customFormat="1" x14ac:dyDescent="0.35">
      <c r="A21" s="169">
        <v>183</v>
      </c>
      <c r="B21" s="238" t="s">
        <v>52</v>
      </c>
      <c r="C21" s="134"/>
      <c r="D21" s="134">
        <v>104</v>
      </c>
      <c r="E21" s="135"/>
      <c r="F21" s="135"/>
      <c r="G21" s="135"/>
      <c r="H21" s="135">
        <v>92</v>
      </c>
      <c r="I21" s="135"/>
      <c r="J21" s="135"/>
      <c r="K21" s="135">
        <v>3</v>
      </c>
      <c r="L21" s="136"/>
      <c r="M21" s="136"/>
      <c r="N21" s="136"/>
      <c r="O21" s="136"/>
      <c r="P21" s="136"/>
      <c r="Q21" s="136"/>
      <c r="R21" s="137">
        <v>2</v>
      </c>
      <c r="S21" s="137">
        <v>18</v>
      </c>
      <c r="T21" s="137"/>
      <c r="U21" s="137"/>
      <c r="V21" s="137"/>
      <c r="W21" s="137"/>
      <c r="X21" s="137"/>
      <c r="Y21" s="137"/>
      <c r="Z21" s="134">
        <v>11</v>
      </c>
      <c r="AA21" s="138"/>
      <c r="AB21" s="138"/>
      <c r="AC21" s="138"/>
      <c r="AD21" s="138"/>
    </row>
    <row r="22" spans="1:30" s="140" customFormat="1" x14ac:dyDescent="0.35">
      <c r="A22" s="104">
        <v>202</v>
      </c>
      <c r="B22" s="103" t="s">
        <v>48</v>
      </c>
      <c r="C22" s="134"/>
      <c r="D22" s="143"/>
      <c r="E22" s="135"/>
      <c r="F22" s="135"/>
      <c r="G22" s="135"/>
      <c r="H22" s="135"/>
      <c r="I22" s="135"/>
      <c r="J22" s="135"/>
      <c r="K22" s="135"/>
      <c r="L22" s="136"/>
      <c r="M22" s="136"/>
      <c r="N22" s="136"/>
      <c r="O22" s="136"/>
      <c r="P22" s="136"/>
      <c r="Q22" s="136"/>
      <c r="R22" s="137"/>
      <c r="S22" s="137"/>
      <c r="T22" s="137"/>
      <c r="U22" s="137"/>
      <c r="V22" s="137"/>
      <c r="W22" s="137"/>
      <c r="X22" s="137"/>
      <c r="Y22" s="137"/>
      <c r="Z22" s="134"/>
      <c r="AA22" s="138"/>
      <c r="AB22" s="138"/>
      <c r="AC22" s="138">
        <v>1</v>
      </c>
      <c r="AD22" s="138">
        <v>3</v>
      </c>
    </row>
    <row r="23" spans="1:30" s="139" customFormat="1" ht="25.8" x14ac:dyDescent="0.35">
      <c r="A23" s="104">
        <v>204</v>
      </c>
      <c r="B23" s="133" t="s">
        <v>53</v>
      </c>
      <c r="C23" s="134"/>
      <c r="D23" s="143"/>
      <c r="E23" s="135"/>
      <c r="F23" s="135"/>
      <c r="G23" s="135"/>
      <c r="H23" s="135"/>
      <c r="I23" s="135"/>
      <c r="J23" s="135"/>
      <c r="K23" s="135"/>
      <c r="L23" s="136"/>
      <c r="M23" s="136"/>
      <c r="N23" s="136"/>
      <c r="O23" s="136"/>
      <c r="P23" s="136"/>
      <c r="Q23" s="136"/>
      <c r="R23" s="137"/>
      <c r="S23" s="137"/>
      <c r="T23" s="137"/>
      <c r="U23" s="137"/>
      <c r="V23" s="137"/>
      <c r="W23" s="137"/>
      <c r="X23" s="137"/>
      <c r="Y23" s="137"/>
      <c r="Z23" s="134"/>
      <c r="AA23" s="138"/>
      <c r="AB23" s="138"/>
      <c r="AC23" s="138">
        <v>2</v>
      </c>
      <c r="AD23" s="138">
        <v>6</v>
      </c>
    </row>
    <row r="24" spans="1:30" s="139" customFormat="1" x14ac:dyDescent="0.35">
      <c r="A24" s="104">
        <v>212</v>
      </c>
      <c r="B24" s="103" t="s">
        <v>54</v>
      </c>
      <c r="C24" s="134"/>
      <c r="D24" s="134">
        <f>SUM(E24:K24, S24, Z24)</f>
        <v>153</v>
      </c>
      <c r="E24" s="135"/>
      <c r="F24" s="135"/>
      <c r="G24" s="135"/>
      <c r="H24" s="135">
        <v>36</v>
      </c>
      <c r="I24" s="135">
        <v>100</v>
      </c>
      <c r="J24" s="135"/>
      <c r="K24" s="135"/>
      <c r="L24" s="136">
        <v>1</v>
      </c>
      <c r="M24" s="136">
        <v>3</v>
      </c>
      <c r="N24" s="136">
        <v>15</v>
      </c>
      <c r="O24" s="136"/>
      <c r="P24" s="136">
        <v>15</v>
      </c>
      <c r="Q24" s="136">
        <v>1</v>
      </c>
      <c r="R24" s="137">
        <v>2</v>
      </c>
      <c r="S24" s="137">
        <v>17</v>
      </c>
      <c r="T24" s="137"/>
      <c r="U24" s="137"/>
      <c r="V24" s="137"/>
      <c r="W24" s="137"/>
      <c r="X24" s="137"/>
      <c r="Y24" s="137"/>
      <c r="Z24" s="134"/>
      <c r="AA24" s="138"/>
      <c r="AB24" s="138"/>
      <c r="AC24" s="138"/>
      <c r="AD24" s="138"/>
    </row>
    <row r="25" spans="1:30" s="139" customFormat="1" ht="25.8" x14ac:dyDescent="0.35">
      <c r="A25" s="104">
        <v>225</v>
      </c>
      <c r="B25" s="133" t="s">
        <v>55</v>
      </c>
      <c r="C25" s="134"/>
      <c r="D25" s="143"/>
      <c r="E25" s="135"/>
      <c r="F25" s="135"/>
      <c r="G25" s="135"/>
      <c r="H25" s="135"/>
      <c r="I25" s="135"/>
      <c r="J25" s="135"/>
      <c r="K25" s="135"/>
      <c r="L25" s="136">
        <v>2</v>
      </c>
      <c r="M25" s="136">
        <v>6</v>
      </c>
      <c r="N25" s="136"/>
      <c r="O25" s="136"/>
      <c r="P25" s="136"/>
      <c r="Q25" s="136"/>
      <c r="R25" s="137"/>
      <c r="S25" s="137"/>
      <c r="T25" s="137"/>
      <c r="U25" s="137"/>
      <c r="V25" s="137"/>
      <c r="W25" s="137"/>
      <c r="X25" s="137"/>
      <c r="Y25" s="137"/>
      <c r="Z25" s="134"/>
      <c r="AA25" s="138"/>
      <c r="AB25" s="138"/>
      <c r="AC25" s="138">
        <v>6</v>
      </c>
      <c r="AD25" s="138">
        <v>18</v>
      </c>
    </row>
    <row r="26" spans="1:30" s="139" customFormat="1" x14ac:dyDescent="0.35">
      <c r="A26" s="104">
        <v>230</v>
      </c>
      <c r="B26" s="133" t="s">
        <v>56</v>
      </c>
      <c r="C26" s="134"/>
      <c r="D26" s="143">
        <f>SUM(E26:K26,S26,Z26)</f>
        <v>15</v>
      </c>
      <c r="E26" s="135"/>
      <c r="F26" s="135"/>
      <c r="G26" s="135"/>
      <c r="H26" s="135">
        <v>9</v>
      </c>
      <c r="I26" s="135"/>
      <c r="J26" s="135"/>
      <c r="K26" s="135"/>
      <c r="L26" s="136"/>
      <c r="M26" s="136"/>
      <c r="N26" s="136"/>
      <c r="O26" s="136"/>
      <c r="P26" s="136"/>
      <c r="Q26" s="136"/>
      <c r="R26" s="137">
        <v>2</v>
      </c>
      <c r="S26" s="137">
        <v>6</v>
      </c>
      <c r="T26" s="137"/>
      <c r="U26" s="137"/>
      <c r="V26" s="137"/>
      <c r="W26" s="137"/>
      <c r="X26" s="137"/>
      <c r="Y26" s="137"/>
      <c r="Z26" s="134"/>
      <c r="AA26" s="138"/>
      <c r="AB26" s="138"/>
      <c r="AC26" s="138"/>
      <c r="AD26" s="138"/>
    </row>
    <row r="27" spans="1:30" s="139" customFormat="1" x14ac:dyDescent="0.35">
      <c r="A27" s="104">
        <v>303</v>
      </c>
      <c r="B27" s="103" t="s">
        <v>48</v>
      </c>
      <c r="C27" s="134"/>
      <c r="D27" s="143"/>
      <c r="E27" s="135"/>
      <c r="F27" s="135"/>
      <c r="G27" s="135"/>
      <c r="H27" s="135"/>
      <c r="I27" s="135"/>
      <c r="J27" s="135"/>
      <c r="K27" s="135"/>
      <c r="L27" s="136"/>
      <c r="M27" s="136"/>
      <c r="N27" s="136"/>
      <c r="O27" s="136"/>
      <c r="P27" s="136"/>
      <c r="Q27" s="136"/>
      <c r="R27" s="137"/>
      <c r="S27" s="137"/>
      <c r="T27" s="137"/>
      <c r="U27" s="137"/>
      <c r="V27" s="137"/>
      <c r="W27" s="137"/>
      <c r="X27" s="137"/>
      <c r="Y27" s="137"/>
      <c r="Z27" s="134"/>
      <c r="AA27" s="142"/>
      <c r="AB27" s="142"/>
      <c r="AC27" s="142">
        <v>1</v>
      </c>
      <c r="AD27" s="142">
        <v>3</v>
      </c>
    </row>
    <row r="28" spans="1:30" s="139" customFormat="1" x14ac:dyDescent="0.35">
      <c r="A28" s="104">
        <v>308</v>
      </c>
      <c r="B28" s="103" t="s">
        <v>57</v>
      </c>
      <c r="C28" s="134"/>
      <c r="D28" s="134">
        <f>SUM(E28:K28, S28, Z28)</f>
        <v>46</v>
      </c>
      <c r="E28" s="135"/>
      <c r="F28" s="135"/>
      <c r="G28" s="135"/>
      <c r="H28" s="135"/>
      <c r="I28" s="135"/>
      <c r="J28" s="135"/>
      <c r="K28" s="135"/>
      <c r="L28" s="136"/>
      <c r="M28" s="136"/>
      <c r="N28" s="136"/>
      <c r="O28" s="136"/>
      <c r="P28" s="136"/>
      <c r="Q28" s="136"/>
      <c r="R28" s="137">
        <v>2</v>
      </c>
      <c r="S28" s="137">
        <v>11</v>
      </c>
      <c r="T28" s="137">
        <v>2</v>
      </c>
      <c r="U28" s="137">
        <v>2</v>
      </c>
      <c r="V28" s="137">
        <v>2</v>
      </c>
      <c r="W28" s="137">
        <v>1</v>
      </c>
      <c r="X28" s="137"/>
      <c r="Y28" s="137"/>
      <c r="Z28" s="134">
        <v>35</v>
      </c>
      <c r="AA28" s="138"/>
      <c r="AB28" s="138"/>
      <c r="AC28" s="138"/>
      <c r="AD28" s="138"/>
    </row>
    <row r="29" spans="1:30" s="139" customFormat="1" x14ac:dyDescent="0.35">
      <c r="A29" s="104">
        <v>314</v>
      </c>
      <c r="B29" s="90" t="s">
        <v>58</v>
      </c>
      <c r="C29" s="134"/>
      <c r="D29" s="134">
        <f t="shared" ref="D29:D34" si="0">SUM(E29:K29,S29,Z29)</f>
        <v>1729</v>
      </c>
      <c r="E29" s="135">
        <v>169</v>
      </c>
      <c r="F29" s="135"/>
      <c r="G29" s="135"/>
      <c r="H29" s="135">
        <v>1331</v>
      </c>
      <c r="I29" s="135">
        <v>171</v>
      </c>
      <c r="J29" s="135"/>
      <c r="K29" s="135"/>
      <c r="L29" s="136">
        <v>1</v>
      </c>
      <c r="M29" s="136">
        <v>3</v>
      </c>
      <c r="N29" s="136">
        <v>382</v>
      </c>
      <c r="O29" s="136"/>
      <c r="P29" s="136"/>
      <c r="Q29" s="136"/>
      <c r="R29" s="137">
        <v>11</v>
      </c>
      <c r="S29" s="137">
        <f>53+5</f>
        <v>58</v>
      </c>
      <c r="T29" s="137"/>
      <c r="U29" s="137"/>
      <c r="V29" s="137"/>
      <c r="W29" s="137"/>
      <c r="X29" s="137"/>
      <c r="Y29" s="137"/>
      <c r="Z29" s="134"/>
      <c r="AA29" s="142">
        <v>6</v>
      </c>
      <c r="AB29" s="142"/>
      <c r="AC29" s="142">
        <v>1</v>
      </c>
      <c r="AD29" s="142">
        <v>3</v>
      </c>
    </row>
    <row r="30" spans="1:30" s="139" customFormat="1" x14ac:dyDescent="0.35">
      <c r="A30" s="104">
        <v>317</v>
      </c>
      <c r="B30" s="106" t="s">
        <v>59</v>
      </c>
      <c r="C30" s="134"/>
      <c r="D30" s="134">
        <f t="shared" si="0"/>
        <v>1703</v>
      </c>
      <c r="E30" s="135">
        <v>445</v>
      </c>
      <c r="F30" s="135">
        <v>93</v>
      </c>
      <c r="G30" s="135"/>
      <c r="H30" s="135">
        <v>751</v>
      </c>
      <c r="I30" s="135"/>
      <c r="J30" s="135"/>
      <c r="K30" s="135">
        <v>350</v>
      </c>
      <c r="L30" s="136">
        <v>2</v>
      </c>
      <c r="M30" s="136">
        <v>6</v>
      </c>
      <c r="N30" s="144"/>
      <c r="O30" s="136"/>
      <c r="P30" s="136"/>
      <c r="Q30" s="136">
        <v>2</v>
      </c>
      <c r="R30" s="137">
        <v>3</v>
      </c>
      <c r="S30" s="137">
        <v>64</v>
      </c>
      <c r="T30" s="137"/>
      <c r="U30" s="137"/>
      <c r="V30" s="137"/>
      <c r="W30" s="137"/>
      <c r="X30" s="137"/>
      <c r="Y30" s="137"/>
      <c r="Z30" s="134"/>
      <c r="AA30" s="142"/>
      <c r="AB30" s="142"/>
      <c r="AC30" s="142">
        <v>2</v>
      </c>
      <c r="AD30" s="142">
        <v>6</v>
      </c>
    </row>
    <row r="31" spans="1:30" s="139" customFormat="1" x14ac:dyDescent="0.35">
      <c r="A31" s="104">
        <v>318</v>
      </c>
      <c r="B31" s="103" t="s">
        <v>60</v>
      </c>
      <c r="C31" s="134"/>
      <c r="D31" s="134">
        <f t="shared" si="0"/>
        <v>94</v>
      </c>
      <c r="E31" s="135"/>
      <c r="F31" s="135"/>
      <c r="G31" s="135"/>
      <c r="H31" s="135">
        <v>94</v>
      </c>
      <c r="I31" s="135"/>
      <c r="J31" s="135"/>
      <c r="K31" s="135"/>
      <c r="L31" s="136">
        <v>1</v>
      </c>
      <c r="M31" s="136">
        <v>3</v>
      </c>
      <c r="N31" s="144"/>
      <c r="O31" s="136"/>
      <c r="P31" s="136"/>
      <c r="Q31" s="136"/>
      <c r="R31" s="137"/>
      <c r="S31" s="137"/>
      <c r="T31" s="137"/>
      <c r="U31" s="137"/>
      <c r="V31" s="137"/>
      <c r="W31" s="137"/>
      <c r="X31" s="137"/>
      <c r="Y31" s="137"/>
      <c r="Z31" s="134"/>
      <c r="AA31" s="142"/>
      <c r="AB31" s="142"/>
      <c r="AC31" s="142"/>
      <c r="AD31" s="142"/>
    </row>
    <row r="32" spans="1:30" s="139" customFormat="1" x14ac:dyDescent="0.35">
      <c r="A32" s="104">
        <v>318</v>
      </c>
      <c r="B32" s="103" t="s">
        <v>61</v>
      </c>
      <c r="C32" s="134"/>
      <c r="D32" s="134">
        <f t="shared" si="0"/>
        <v>545</v>
      </c>
      <c r="E32" s="135">
        <f>63+54+44</f>
        <v>161</v>
      </c>
      <c r="F32" s="135">
        <f>116+38</f>
        <v>154</v>
      </c>
      <c r="G32" s="135"/>
      <c r="H32" s="135">
        <f>17+17+25+84</f>
        <v>143</v>
      </c>
      <c r="I32" s="135">
        <v>54</v>
      </c>
      <c r="J32" s="135"/>
      <c r="K32" s="135"/>
      <c r="L32" s="136">
        <v>1</v>
      </c>
      <c r="M32" s="136">
        <v>3</v>
      </c>
      <c r="N32" s="136"/>
      <c r="O32" s="136"/>
      <c r="P32" s="136"/>
      <c r="Q32" s="136"/>
      <c r="R32" s="137">
        <v>2</v>
      </c>
      <c r="S32" s="137">
        <v>33</v>
      </c>
      <c r="T32" s="137"/>
      <c r="U32" s="137"/>
      <c r="V32" s="137"/>
      <c r="W32" s="137"/>
      <c r="X32" s="137"/>
      <c r="Y32" s="137"/>
      <c r="Z32" s="134"/>
      <c r="AA32" s="142"/>
      <c r="AB32" s="142"/>
      <c r="AC32" s="142"/>
      <c r="AD32" s="142"/>
    </row>
    <row r="33" spans="1:30" s="139" customFormat="1" x14ac:dyDescent="0.35">
      <c r="A33" s="104">
        <v>318</v>
      </c>
      <c r="B33" s="103" t="s">
        <v>62</v>
      </c>
      <c r="C33" s="134"/>
      <c r="D33" s="134">
        <f t="shared" si="0"/>
        <v>48</v>
      </c>
      <c r="E33" s="135">
        <v>32</v>
      </c>
      <c r="F33" s="135">
        <v>16</v>
      </c>
      <c r="G33" s="135"/>
      <c r="H33" s="135"/>
      <c r="I33" s="135"/>
      <c r="J33" s="135"/>
      <c r="K33" s="135"/>
      <c r="L33" s="136">
        <v>1</v>
      </c>
      <c r="M33" s="136">
        <v>3</v>
      </c>
      <c r="N33" s="136"/>
      <c r="O33" s="136"/>
      <c r="P33" s="136"/>
      <c r="Q33" s="136"/>
      <c r="R33" s="137"/>
      <c r="S33" s="137"/>
      <c r="T33" s="137"/>
      <c r="U33" s="137"/>
      <c r="V33" s="137"/>
      <c r="W33" s="137"/>
      <c r="X33" s="137"/>
      <c r="Y33" s="137"/>
      <c r="Z33" s="134"/>
      <c r="AA33" s="142"/>
      <c r="AB33" s="142"/>
      <c r="AC33" s="142"/>
      <c r="AD33" s="142"/>
    </row>
    <row r="34" spans="1:30" s="140" customFormat="1" x14ac:dyDescent="0.35">
      <c r="A34" s="104">
        <v>318</v>
      </c>
      <c r="B34" s="103" t="s">
        <v>64</v>
      </c>
      <c r="C34" s="134"/>
      <c r="D34" s="134">
        <f t="shared" si="0"/>
        <v>99</v>
      </c>
      <c r="E34" s="145"/>
      <c r="F34" s="145"/>
      <c r="G34" s="145"/>
      <c r="H34" s="145">
        <v>99</v>
      </c>
      <c r="I34" s="145"/>
      <c r="J34" s="145"/>
      <c r="K34" s="145"/>
      <c r="L34" s="146">
        <v>1</v>
      </c>
      <c r="M34" s="146">
        <v>3</v>
      </c>
      <c r="N34" s="146">
        <v>20</v>
      </c>
      <c r="O34" s="146"/>
      <c r="P34" s="146"/>
      <c r="Q34" s="146"/>
      <c r="R34" s="141"/>
      <c r="S34" s="141"/>
      <c r="T34" s="141"/>
      <c r="U34" s="141"/>
      <c r="V34" s="141"/>
      <c r="W34" s="141"/>
      <c r="X34" s="141"/>
      <c r="Y34" s="141"/>
      <c r="Z34" s="134"/>
      <c r="AA34" s="142"/>
      <c r="AB34" s="142"/>
      <c r="AC34" s="142"/>
      <c r="AD34" s="142"/>
    </row>
    <row r="35" spans="1:30" s="140" customFormat="1" x14ac:dyDescent="0.35">
      <c r="A35" s="104">
        <v>318</v>
      </c>
      <c r="B35" s="103" t="s">
        <v>65</v>
      </c>
      <c r="C35" s="134"/>
      <c r="D35" s="134">
        <f>SUM(E35:K35)+Z35+S35</f>
        <v>120</v>
      </c>
      <c r="E35" s="145"/>
      <c r="F35" s="145"/>
      <c r="G35" s="145"/>
      <c r="H35" s="145">
        <v>106</v>
      </c>
      <c r="I35" s="145"/>
      <c r="J35" s="145"/>
      <c r="K35" s="145"/>
      <c r="L35" s="146"/>
      <c r="M35" s="146"/>
      <c r="N35" s="146">
        <v>20</v>
      </c>
      <c r="O35" s="146"/>
      <c r="P35" s="146"/>
      <c r="Q35" s="146"/>
      <c r="R35" s="141"/>
      <c r="S35" s="141"/>
      <c r="T35" s="141"/>
      <c r="U35" s="141"/>
      <c r="V35" s="141"/>
      <c r="W35" s="141"/>
      <c r="X35" s="141"/>
      <c r="Y35" s="141"/>
      <c r="Z35" s="134">
        <v>14</v>
      </c>
      <c r="AA35" s="142"/>
      <c r="AB35" s="142"/>
      <c r="AC35" s="142"/>
      <c r="AD35" s="142"/>
    </row>
    <row r="36" spans="1:30" s="140" customFormat="1" x14ac:dyDescent="0.35">
      <c r="A36" s="104">
        <v>318</v>
      </c>
      <c r="B36" s="103" t="s">
        <v>66</v>
      </c>
      <c r="C36" s="134"/>
      <c r="D36" s="134">
        <f>SUM(E36:K36)+Z36+S36</f>
        <v>133</v>
      </c>
      <c r="E36" s="145"/>
      <c r="F36" s="145"/>
      <c r="G36" s="145"/>
      <c r="H36" s="145">
        <v>133</v>
      </c>
      <c r="I36" s="145"/>
      <c r="J36" s="145"/>
      <c r="K36" s="145"/>
      <c r="L36" s="146"/>
      <c r="M36" s="146"/>
      <c r="N36" s="146">
        <v>10</v>
      </c>
      <c r="O36" s="146"/>
      <c r="P36" s="146"/>
      <c r="Q36" s="146"/>
      <c r="R36" s="141"/>
      <c r="S36" s="141"/>
      <c r="T36" s="141"/>
      <c r="U36" s="141"/>
      <c r="V36" s="141"/>
      <c r="W36" s="141"/>
      <c r="X36" s="141"/>
      <c r="Y36" s="141"/>
      <c r="Z36" s="134"/>
      <c r="AA36" s="142"/>
      <c r="AB36" s="142"/>
      <c r="AC36" s="142"/>
      <c r="AD36" s="142"/>
    </row>
    <row r="37" spans="1:30" s="140" customFormat="1" x14ac:dyDescent="0.35">
      <c r="A37" s="104">
        <v>318</v>
      </c>
      <c r="B37" s="103" t="s">
        <v>67</v>
      </c>
      <c r="C37" s="134"/>
      <c r="D37" s="134">
        <f>SUM(E37:K37)+Z37+S37</f>
        <v>28</v>
      </c>
      <c r="E37" s="145"/>
      <c r="F37" s="145"/>
      <c r="G37" s="145"/>
      <c r="H37" s="145"/>
      <c r="I37" s="145"/>
      <c r="J37" s="145"/>
      <c r="K37" s="145"/>
      <c r="L37" s="146"/>
      <c r="M37" s="146"/>
      <c r="N37" s="146"/>
      <c r="O37" s="146"/>
      <c r="P37" s="146"/>
      <c r="Q37" s="146"/>
      <c r="R37" s="141">
        <v>3</v>
      </c>
      <c r="S37" s="141">
        <v>28</v>
      </c>
      <c r="T37" s="141"/>
      <c r="U37" s="141"/>
      <c r="V37" s="141"/>
      <c r="W37" s="141"/>
      <c r="X37" s="141"/>
      <c r="Y37" s="141"/>
      <c r="Z37" s="134"/>
      <c r="AA37" s="142"/>
      <c r="AB37" s="142"/>
      <c r="AC37" s="142"/>
      <c r="AD37" s="142"/>
    </row>
    <row r="38" spans="1:30" s="140" customFormat="1" x14ac:dyDescent="0.35">
      <c r="A38" s="104">
        <v>318</v>
      </c>
      <c r="B38" s="103" t="s">
        <v>68</v>
      </c>
      <c r="C38" s="134"/>
      <c r="D38" s="134">
        <f>SUM(E38:K38)+Z38+S38</f>
        <v>28</v>
      </c>
      <c r="E38" s="145"/>
      <c r="F38" s="145"/>
      <c r="G38" s="145"/>
      <c r="H38" s="145">
        <v>28</v>
      </c>
      <c r="I38" s="145"/>
      <c r="J38" s="145"/>
      <c r="K38" s="145"/>
      <c r="L38" s="146"/>
      <c r="M38" s="146"/>
      <c r="N38" s="146">
        <v>10</v>
      </c>
      <c r="O38" s="146"/>
      <c r="P38" s="146"/>
      <c r="Q38" s="146"/>
      <c r="R38" s="141"/>
      <c r="S38" s="141"/>
      <c r="T38" s="141"/>
      <c r="U38" s="141"/>
      <c r="V38" s="141"/>
      <c r="W38" s="141"/>
      <c r="X38" s="141"/>
      <c r="Y38" s="141"/>
      <c r="Z38" s="134"/>
      <c r="AA38" s="142"/>
      <c r="AB38" s="142"/>
      <c r="AC38" s="142"/>
      <c r="AD38" s="142"/>
    </row>
    <row r="39" spans="1:30" s="140" customFormat="1" x14ac:dyDescent="0.35">
      <c r="A39" s="104">
        <v>318</v>
      </c>
      <c r="B39" s="103" t="s">
        <v>69</v>
      </c>
      <c r="C39" s="134"/>
      <c r="D39" s="134">
        <f>SUM(E39:K39)+Z39+S39</f>
        <v>3</v>
      </c>
      <c r="E39" s="145"/>
      <c r="F39" s="145"/>
      <c r="G39" s="145"/>
      <c r="H39" s="145">
        <v>3</v>
      </c>
      <c r="I39" s="145"/>
      <c r="J39" s="145"/>
      <c r="K39" s="145"/>
      <c r="L39" s="146"/>
      <c r="M39" s="146"/>
      <c r="N39" s="146"/>
      <c r="O39" s="146"/>
      <c r="P39" s="146"/>
      <c r="Q39" s="146"/>
      <c r="R39" s="141"/>
      <c r="S39" s="141"/>
      <c r="T39" s="141"/>
      <c r="U39" s="141"/>
      <c r="V39" s="141"/>
      <c r="W39" s="141"/>
      <c r="X39" s="141"/>
      <c r="Y39" s="141"/>
      <c r="Z39" s="134"/>
      <c r="AA39" s="142"/>
      <c r="AB39" s="142"/>
      <c r="AC39" s="142"/>
      <c r="AD39" s="142"/>
    </row>
    <row r="40" spans="1:30" s="140" customFormat="1" x14ac:dyDescent="0.35">
      <c r="A40" s="104">
        <v>318</v>
      </c>
      <c r="B40" s="103" t="s">
        <v>70</v>
      </c>
      <c r="C40" s="134"/>
      <c r="D40" s="134">
        <f t="shared" ref="D40:D50" si="1">SUM(E40:K40,S40,Z40)</f>
        <v>432</v>
      </c>
      <c r="E40" s="145">
        <v>300</v>
      </c>
      <c r="F40" s="145">
        <v>42</v>
      </c>
      <c r="G40" s="145"/>
      <c r="H40" s="145">
        <v>90</v>
      </c>
      <c r="I40" s="145"/>
      <c r="J40" s="145"/>
      <c r="K40" s="145"/>
      <c r="L40" s="146">
        <v>1</v>
      </c>
      <c r="M40" s="146">
        <v>3</v>
      </c>
      <c r="N40" s="146"/>
      <c r="O40" s="146"/>
      <c r="P40" s="146"/>
      <c r="Q40" s="146"/>
      <c r="R40" s="141"/>
      <c r="S40" s="141"/>
      <c r="T40" s="141"/>
      <c r="U40" s="141"/>
      <c r="V40" s="141"/>
      <c r="W40" s="141"/>
      <c r="X40" s="141"/>
      <c r="Y40" s="141"/>
      <c r="Z40" s="134"/>
      <c r="AA40" s="142"/>
      <c r="AB40" s="142"/>
      <c r="AC40" s="142"/>
      <c r="AD40" s="142"/>
    </row>
    <row r="41" spans="1:30" s="140" customFormat="1" x14ac:dyDescent="0.35">
      <c r="A41" s="104">
        <v>318</v>
      </c>
      <c r="B41" s="103" t="s">
        <v>71</v>
      </c>
      <c r="C41" s="134"/>
      <c r="D41" s="134">
        <f t="shared" si="1"/>
        <v>476</v>
      </c>
      <c r="E41" s="145">
        <v>23</v>
      </c>
      <c r="F41" s="145"/>
      <c r="G41" s="145"/>
      <c r="H41" s="145">
        <v>367</v>
      </c>
      <c r="I41" s="145"/>
      <c r="J41" s="145"/>
      <c r="K41" s="145">
        <v>48</v>
      </c>
      <c r="L41" s="146">
        <v>1</v>
      </c>
      <c r="M41" s="146">
        <v>3</v>
      </c>
      <c r="N41" s="146"/>
      <c r="O41" s="146"/>
      <c r="P41" s="146"/>
      <c r="Q41" s="146">
        <v>2</v>
      </c>
      <c r="R41" s="141">
        <v>2</v>
      </c>
      <c r="S41" s="141">
        <v>38</v>
      </c>
      <c r="T41" s="141"/>
      <c r="U41" s="141"/>
      <c r="V41" s="141"/>
      <c r="W41" s="141"/>
      <c r="X41" s="141"/>
      <c r="Y41" s="141"/>
      <c r="Z41" s="134"/>
      <c r="AA41" s="142"/>
      <c r="AB41" s="142"/>
      <c r="AC41" s="142"/>
      <c r="AD41" s="142"/>
    </row>
    <row r="42" spans="1:30" s="140" customFormat="1" x14ac:dyDescent="0.35">
      <c r="A42" s="104">
        <v>318</v>
      </c>
      <c r="B42" s="103" t="s">
        <v>72</v>
      </c>
      <c r="C42" s="134"/>
      <c r="D42" s="134">
        <f t="shared" si="1"/>
        <v>318</v>
      </c>
      <c r="E42" s="135"/>
      <c r="F42" s="135"/>
      <c r="G42" s="135"/>
      <c r="H42" s="135">
        <v>50</v>
      </c>
      <c r="I42" s="135"/>
      <c r="J42" s="135"/>
      <c r="K42" s="135">
        <v>230</v>
      </c>
      <c r="L42" s="146">
        <v>1</v>
      </c>
      <c r="M42" s="146">
        <v>3</v>
      </c>
      <c r="N42" s="146"/>
      <c r="O42" s="146"/>
      <c r="P42" s="146"/>
      <c r="Q42" s="146">
        <v>2</v>
      </c>
      <c r="R42" s="137">
        <v>2</v>
      </c>
      <c r="S42" s="141">
        <v>38</v>
      </c>
      <c r="T42" s="137"/>
      <c r="U42" s="137"/>
      <c r="V42" s="137"/>
      <c r="W42" s="137"/>
      <c r="X42" s="137"/>
      <c r="Y42" s="137"/>
      <c r="Z42" s="134"/>
      <c r="AA42" s="142">
        <v>5</v>
      </c>
      <c r="AB42" s="142"/>
      <c r="AC42" s="142"/>
      <c r="AD42" s="142"/>
    </row>
    <row r="43" spans="1:30" s="140" customFormat="1" x14ac:dyDescent="0.35">
      <c r="A43" s="104">
        <v>319</v>
      </c>
      <c r="B43" s="103" t="s">
        <v>73</v>
      </c>
      <c r="C43" s="134"/>
      <c r="D43" s="134">
        <f t="shared" si="1"/>
        <v>25</v>
      </c>
      <c r="E43" s="135"/>
      <c r="F43" s="135">
        <v>25</v>
      </c>
      <c r="G43" s="135"/>
      <c r="H43" s="135"/>
      <c r="I43" s="135"/>
      <c r="J43" s="135"/>
      <c r="K43" s="135"/>
      <c r="L43" s="146"/>
      <c r="M43" s="146"/>
      <c r="N43" s="146"/>
      <c r="O43" s="146"/>
      <c r="P43" s="146"/>
      <c r="Q43" s="146"/>
      <c r="R43" s="137"/>
      <c r="S43" s="137"/>
      <c r="T43" s="137"/>
      <c r="U43" s="137"/>
      <c r="V43" s="137"/>
      <c r="W43" s="137"/>
      <c r="X43" s="137"/>
      <c r="Y43" s="137"/>
      <c r="Z43" s="134"/>
      <c r="AA43" s="142"/>
      <c r="AB43" s="142"/>
      <c r="AC43" s="142"/>
      <c r="AD43" s="142"/>
    </row>
    <row r="44" spans="1:30" s="140" customFormat="1" x14ac:dyDescent="0.35">
      <c r="A44" s="104">
        <v>319</v>
      </c>
      <c r="B44" s="103" t="s">
        <v>74</v>
      </c>
      <c r="C44" s="134"/>
      <c r="D44" s="134">
        <f t="shared" si="1"/>
        <v>542</v>
      </c>
      <c r="E44" s="135">
        <v>118</v>
      </c>
      <c r="F44" s="135">
        <v>295</v>
      </c>
      <c r="G44" s="135"/>
      <c r="H44" s="135">
        <v>129</v>
      </c>
      <c r="I44" s="135"/>
      <c r="J44" s="135"/>
      <c r="K44" s="135"/>
      <c r="L44" s="136">
        <v>1</v>
      </c>
      <c r="M44" s="136">
        <v>3</v>
      </c>
      <c r="N44" s="146">
        <v>108</v>
      </c>
      <c r="O44" s="136"/>
      <c r="P44" s="136"/>
      <c r="Q44" s="136"/>
      <c r="R44" s="137"/>
      <c r="S44" s="137"/>
      <c r="T44" s="137"/>
      <c r="U44" s="137"/>
      <c r="V44" s="137"/>
      <c r="W44" s="137"/>
      <c r="X44" s="137"/>
      <c r="Y44" s="137"/>
      <c r="Z44" s="134"/>
      <c r="AA44" s="142"/>
      <c r="AB44" s="142"/>
      <c r="AC44" s="142"/>
      <c r="AD44" s="142"/>
    </row>
    <row r="45" spans="1:30" s="139" customFormat="1" x14ac:dyDescent="0.35">
      <c r="A45" s="104">
        <v>319</v>
      </c>
      <c r="B45" s="103" t="s">
        <v>75</v>
      </c>
      <c r="C45" s="134"/>
      <c r="D45" s="134">
        <f t="shared" si="1"/>
        <v>304</v>
      </c>
      <c r="E45" s="135">
        <v>24</v>
      </c>
      <c r="F45" s="135">
        <f>143+118</f>
        <v>261</v>
      </c>
      <c r="G45" s="135"/>
      <c r="H45" s="135">
        <v>19</v>
      </c>
      <c r="I45" s="135"/>
      <c r="J45" s="135"/>
      <c r="K45" s="135"/>
      <c r="L45" s="136"/>
      <c r="M45" s="136"/>
      <c r="N45" s="136"/>
      <c r="O45" s="136"/>
      <c r="P45" s="136"/>
      <c r="Q45" s="136"/>
      <c r="R45" s="137"/>
      <c r="S45" s="137"/>
      <c r="T45" s="137"/>
      <c r="U45" s="137"/>
      <c r="V45" s="137"/>
      <c r="W45" s="137"/>
      <c r="X45" s="137"/>
      <c r="Y45" s="137"/>
      <c r="Z45" s="134"/>
      <c r="AA45" s="142"/>
      <c r="AB45" s="142"/>
      <c r="AC45" s="142"/>
      <c r="AD45" s="142"/>
    </row>
    <row r="46" spans="1:30" s="139" customFormat="1" x14ac:dyDescent="0.35">
      <c r="A46" s="104">
        <v>319</v>
      </c>
      <c r="B46" s="103" t="s">
        <v>76</v>
      </c>
      <c r="C46" s="134"/>
      <c r="D46" s="134">
        <f t="shared" si="1"/>
        <v>142</v>
      </c>
      <c r="E46" s="135">
        <v>20</v>
      </c>
      <c r="F46" s="135">
        <v>75</v>
      </c>
      <c r="G46" s="135"/>
      <c r="H46" s="135">
        <v>36</v>
      </c>
      <c r="I46" s="135"/>
      <c r="J46" s="135"/>
      <c r="K46" s="135"/>
      <c r="L46" s="136"/>
      <c r="M46" s="136"/>
      <c r="N46" s="144">
        <v>4</v>
      </c>
      <c r="O46" s="136"/>
      <c r="P46" s="136"/>
      <c r="Q46" s="136"/>
      <c r="R46" s="137"/>
      <c r="S46" s="137"/>
      <c r="T46" s="137"/>
      <c r="U46" s="137"/>
      <c r="V46" s="137"/>
      <c r="W46" s="137"/>
      <c r="X46" s="137"/>
      <c r="Y46" s="137"/>
      <c r="Z46" s="134">
        <v>11</v>
      </c>
      <c r="AA46" s="142"/>
      <c r="AB46" s="142"/>
      <c r="AC46" s="142"/>
      <c r="AD46" s="142"/>
    </row>
    <row r="47" spans="1:30" s="139" customFormat="1" x14ac:dyDescent="0.35">
      <c r="A47" s="104">
        <v>319</v>
      </c>
      <c r="B47" s="103" t="s">
        <v>77</v>
      </c>
      <c r="C47" s="134"/>
      <c r="D47" s="134">
        <f t="shared" si="1"/>
        <v>8</v>
      </c>
      <c r="E47" s="135"/>
      <c r="F47" s="135"/>
      <c r="G47" s="135"/>
      <c r="H47" s="135">
        <v>8</v>
      </c>
      <c r="I47" s="135"/>
      <c r="J47" s="135"/>
      <c r="K47" s="135"/>
      <c r="L47" s="136"/>
      <c r="M47" s="136"/>
      <c r="N47" s="136"/>
      <c r="O47" s="136"/>
      <c r="P47" s="136"/>
      <c r="Q47" s="136"/>
      <c r="R47" s="137"/>
      <c r="S47" s="137"/>
      <c r="T47" s="137"/>
      <c r="U47" s="137"/>
      <c r="V47" s="137"/>
      <c r="W47" s="137"/>
      <c r="X47" s="137"/>
      <c r="Y47" s="137"/>
      <c r="Z47" s="134"/>
      <c r="AA47" s="142"/>
      <c r="AB47" s="142"/>
      <c r="AC47" s="142"/>
      <c r="AD47" s="142"/>
    </row>
    <row r="48" spans="1:30" s="139" customFormat="1" x14ac:dyDescent="0.35">
      <c r="A48" s="104">
        <v>319</v>
      </c>
      <c r="B48" s="103" t="s">
        <v>78</v>
      </c>
      <c r="C48" s="134"/>
      <c r="D48" s="134">
        <f t="shared" si="1"/>
        <v>184</v>
      </c>
      <c r="E48" s="135">
        <v>92</v>
      </c>
      <c r="F48" s="135">
        <v>67</v>
      </c>
      <c r="G48" s="135"/>
      <c r="H48" s="135">
        <v>25</v>
      </c>
      <c r="I48" s="135"/>
      <c r="J48" s="135"/>
      <c r="K48" s="135"/>
      <c r="L48" s="136">
        <v>2</v>
      </c>
      <c r="M48" s="136"/>
      <c r="N48" s="136"/>
      <c r="O48" s="136"/>
      <c r="P48" s="136"/>
      <c r="Q48" s="136"/>
      <c r="R48" s="137"/>
      <c r="S48" s="137"/>
      <c r="T48" s="137"/>
      <c r="U48" s="137"/>
      <c r="V48" s="137"/>
      <c r="W48" s="137"/>
      <c r="X48" s="137"/>
      <c r="Y48" s="137"/>
      <c r="Z48" s="134"/>
      <c r="AA48" s="142"/>
      <c r="AB48" s="142"/>
      <c r="AC48" s="142"/>
      <c r="AD48" s="142"/>
    </row>
    <row r="49" spans="1:35" s="139" customFormat="1" x14ac:dyDescent="0.35">
      <c r="A49" s="104">
        <v>319</v>
      </c>
      <c r="B49" s="103" t="s">
        <v>72</v>
      </c>
      <c r="C49" s="134"/>
      <c r="D49" s="134">
        <f t="shared" si="1"/>
        <v>235</v>
      </c>
      <c r="E49" s="135"/>
      <c r="F49" s="135"/>
      <c r="G49" s="135"/>
      <c r="H49" s="135">
        <v>130</v>
      </c>
      <c r="I49" s="135"/>
      <c r="J49" s="135"/>
      <c r="K49" s="135"/>
      <c r="L49" s="136">
        <v>1</v>
      </c>
      <c r="M49" s="136">
        <v>3</v>
      </c>
      <c r="N49" s="136"/>
      <c r="O49" s="136"/>
      <c r="P49" s="136"/>
      <c r="Q49" s="136">
        <v>4</v>
      </c>
      <c r="R49" s="137">
        <v>4</v>
      </c>
      <c r="S49" s="137">
        <v>76</v>
      </c>
      <c r="T49" s="137"/>
      <c r="U49" s="137"/>
      <c r="V49" s="137"/>
      <c r="W49" s="137"/>
      <c r="X49" s="137"/>
      <c r="Y49" s="137"/>
      <c r="Z49" s="134">
        <v>29</v>
      </c>
      <c r="AA49" s="142"/>
      <c r="AB49" s="142"/>
      <c r="AC49" s="142"/>
      <c r="AD49" s="142"/>
    </row>
    <row r="50" spans="1:35" s="139" customFormat="1" ht="12.8" customHeight="1" x14ac:dyDescent="0.35">
      <c r="A50" s="104">
        <v>320</v>
      </c>
      <c r="B50" s="103" t="s">
        <v>79</v>
      </c>
      <c r="C50" s="134"/>
      <c r="D50" s="134">
        <f t="shared" si="1"/>
        <v>113</v>
      </c>
      <c r="E50" s="135"/>
      <c r="F50" s="135"/>
      <c r="G50" s="135"/>
      <c r="H50" s="135">
        <v>83</v>
      </c>
      <c r="I50" s="135">
        <v>17</v>
      </c>
      <c r="J50" s="135"/>
      <c r="K50" s="135"/>
      <c r="L50" s="136">
        <v>1</v>
      </c>
      <c r="M50" s="136">
        <v>3</v>
      </c>
      <c r="N50" s="136"/>
      <c r="O50" s="136"/>
      <c r="P50" s="136"/>
      <c r="Q50" s="136"/>
      <c r="R50" s="137">
        <v>3</v>
      </c>
      <c r="S50" s="137">
        <v>13</v>
      </c>
      <c r="T50" s="137"/>
      <c r="U50" s="137"/>
      <c r="V50" s="137"/>
      <c r="W50" s="137"/>
      <c r="X50" s="137"/>
      <c r="Y50" s="137"/>
      <c r="Z50" s="134"/>
      <c r="AA50" s="142"/>
      <c r="AB50" s="138">
        <v>1</v>
      </c>
      <c r="AC50" s="138">
        <v>1</v>
      </c>
      <c r="AD50" s="138">
        <v>3</v>
      </c>
    </row>
    <row r="51" spans="1:35" s="47" customFormat="1" ht="15" customHeight="1" x14ac:dyDescent="0.35">
      <c r="A51" s="294" t="s">
        <v>80</v>
      </c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</row>
    <row r="52" spans="1:35" s="53" customFormat="1" x14ac:dyDescent="0.35">
      <c r="A52" s="7">
        <v>318</v>
      </c>
      <c r="B52" s="49" t="s">
        <v>81</v>
      </c>
      <c r="C52" s="48"/>
      <c r="D52" s="134">
        <f>SUM(E52:K52,S52,Z52)</f>
        <v>148</v>
      </c>
      <c r="E52" s="135">
        <v>30</v>
      </c>
      <c r="F52" s="135"/>
      <c r="G52" s="135"/>
      <c r="H52" s="135">
        <v>74</v>
      </c>
      <c r="I52" s="258">
        <v>33</v>
      </c>
      <c r="J52" s="258"/>
      <c r="K52" s="258"/>
      <c r="L52" s="50"/>
      <c r="M52" s="50"/>
      <c r="N52" s="50">
        <v>17</v>
      </c>
      <c r="O52" s="50"/>
      <c r="P52" s="50"/>
      <c r="Q52" s="50"/>
      <c r="R52" s="51"/>
      <c r="S52" s="51"/>
      <c r="T52" s="51"/>
      <c r="U52" s="51"/>
      <c r="V52" s="51"/>
      <c r="W52" s="51"/>
      <c r="X52" s="51"/>
      <c r="Y52" s="51"/>
      <c r="Z52" s="48">
        <v>11</v>
      </c>
      <c r="AA52" s="52"/>
      <c r="AB52" s="52"/>
      <c r="AC52" s="52"/>
      <c r="AD52" s="52"/>
    </row>
    <row r="53" spans="1:35" s="56" customFormat="1" ht="15" x14ac:dyDescent="0.35">
      <c r="A53" s="294" t="s">
        <v>82</v>
      </c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</row>
    <row r="54" spans="1:35" s="139" customFormat="1" x14ac:dyDescent="0.35">
      <c r="A54" s="104">
        <v>173</v>
      </c>
      <c r="B54" s="103" t="s">
        <v>83</v>
      </c>
      <c r="C54" s="134"/>
      <c r="D54" s="143"/>
      <c r="E54" s="135"/>
      <c r="F54" s="135"/>
      <c r="G54" s="135"/>
      <c r="H54" s="135"/>
      <c r="I54" s="135"/>
      <c r="J54" s="135"/>
      <c r="K54" s="135"/>
      <c r="L54" s="136"/>
      <c r="M54" s="136"/>
      <c r="N54" s="136"/>
      <c r="O54" s="136"/>
      <c r="P54" s="136"/>
      <c r="Q54" s="136"/>
      <c r="R54" s="137"/>
      <c r="S54" s="137"/>
      <c r="T54" s="137"/>
      <c r="U54" s="137"/>
      <c r="V54" s="137"/>
      <c r="W54" s="137"/>
      <c r="X54" s="137"/>
      <c r="Y54" s="137"/>
      <c r="Z54" s="134"/>
      <c r="AA54" s="138"/>
      <c r="AB54" s="138"/>
      <c r="AC54" s="138">
        <v>1</v>
      </c>
      <c r="AD54" s="138">
        <v>3</v>
      </c>
    </row>
    <row r="55" spans="1:35" s="47" customFormat="1" ht="15" x14ac:dyDescent="0.35">
      <c r="A55" s="294" t="s">
        <v>84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</row>
    <row r="56" spans="1:35" s="140" customFormat="1" x14ac:dyDescent="0.35">
      <c r="A56" s="104">
        <v>319</v>
      </c>
      <c r="B56" s="103" t="s">
        <v>85</v>
      </c>
      <c r="C56" s="134"/>
      <c r="D56" s="134">
        <f>SUM(E56:K56,S56,Z56)</f>
        <v>675</v>
      </c>
      <c r="E56" s="135">
        <v>35</v>
      </c>
      <c r="F56" s="135">
        <v>421</v>
      </c>
      <c r="G56" s="135"/>
      <c r="H56" s="135">
        <v>210</v>
      </c>
      <c r="I56" s="135">
        <v>9</v>
      </c>
      <c r="J56" s="135"/>
      <c r="K56" s="135"/>
      <c r="L56" s="136"/>
      <c r="M56" s="136"/>
      <c r="N56" s="136">
        <v>40</v>
      </c>
      <c r="O56" s="136"/>
      <c r="P56" s="136"/>
      <c r="Q56" s="136"/>
      <c r="R56" s="137"/>
      <c r="S56" s="137"/>
      <c r="T56" s="137"/>
      <c r="U56" s="137"/>
      <c r="V56" s="137"/>
      <c r="W56" s="137"/>
      <c r="X56" s="137"/>
      <c r="Y56" s="137"/>
      <c r="Z56" s="134"/>
      <c r="AA56" s="138"/>
      <c r="AB56" s="138"/>
      <c r="AC56" s="138"/>
      <c r="AD56" s="138"/>
    </row>
    <row r="57" spans="1:35" s="140" customFormat="1" x14ac:dyDescent="0.35">
      <c r="A57" s="104">
        <v>319</v>
      </c>
      <c r="B57" s="103" t="s">
        <v>86</v>
      </c>
      <c r="C57" s="134"/>
      <c r="D57" s="134">
        <f>SUM(E57:K57,S57,Z57)</f>
        <v>50</v>
      </c>
      <c r="E57" s="135">
        <v>50</v>
      </c>
      <c r="F57" s="135"/>
      <c r="G57" s="135"/>
      <c r="H57" s="135"/>
      <c r="I57" s="135"/>
      <c r="J57" s="135"/>
      <c r="K57" s="135"/>
      <c r="L57" s="136"/>
      <c r="M57" s="136"/>
      <c r="N57" s="136"/>
      <c r="O57" s="136"/>
      <c r="P57" s="136"/>
      <c r="Q57" s="136"/>
      <c r="R57" s="137"/>
      <c r="S57" s="137"/>
      <c r="T57" s="137"/>
      <c r="U57" s="137"/>
      <c r="V57" s="137"/>
      <c r="W57" s="137"/>
      <c r="X57" s="137"/>
      <c r="Y57" s="137"/>
      <c r="Z57" s="134"/>
      <c r="AA57" s="138"/>
      <c r="AB57" s="138"/>
      <c r="AC57" s="138"/>
      <c r="AD57" s="138"/>
    </row>
    <row r="58" spans="1:35" s="140" customFormat="1" ht="15" x14ac:dyDescent="0.35">
      <c r="A58" s="294" t="s">
        <v>87</v>
      </c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47"/>
      <c r="AF58" s="47"/>
      <c r="AG58" s="47"/>
      <c r="AH58" s="47"/>
      <c r="AI58" s="47"/>
    </row>
    <row r="59" spans="1:35" s="140" customFormat="1" x14ac:dyDescent="0.35">
      <c r="A59" s="104">
        <v>318</v>
      </c>
      <c r="B59" s="103" t="s">
        <v>63</v>
      </c>
      <c r="C59" s="134"/>
      <c r="D59" s="134">
        <f>SUM(E59:K59,S59,Z59)</f>
        <v>274</v>
      </c>
      <c r="E59" s="135"/>
      <c r="F59" s="135"/>
      <c r="G59" s="135"/>
      <c r="H59" s="135">
        <v>72</v>
      </c>
      <c r="I59" s="135">
        <v>187</v>
      </c>
      <c r="J59" s="135"/>
      <c r="K59" s="135"/>
      <c r="L59" s="136">
        <v>1</v>
      </c>
      <c r="M59" s="136">
        <v>3</v>
      </c>
      <c r="N59" s="136"/>
      <c r="O59" s="136"/>
      <c r="P59" s="136"/>
      <c r="Q59" s="136"/>
      <c r="R59" s="137">
        <v>1</v>
      </c>
      <c r="S59" s="137">
        <v>3</v>
      </c>
      <c r="T59" s="137"/>
      <c r="U59" s="137"/>
      <c r="V59" s="137"/>
      <c r="W59" s="137"/>
      <c r="X59" s="137"/>
      <c r="Y59" s="137"/>
      <c r="Z59" s="134">
        <v>12</v>
      </c>
      <c r="AA59" s="138"/>
      <c r="AB59" s="138"/>
      <c r="AC59" s="138">
        <v>1</v>
      </c>
      <c r="AD59" s="138">
        <v>3</v>
      </c>
    </row>
    <row r="60" spans="1:35" s="253" customFormat="1" x14ac:dyDescent="0.35">
      <c r="A60" s="250"/>
      <c r="B60" s="251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</row>
    <row r="61" spans="1:35" s="53" customFormat="1" x14ac:dyDescent="0.35">
      <c r="A61" s="308" t="s">
        <v>88</v>
      </c>
      <c r="B61" s="308"/>
      <c r="C61" s="186"/>
      <c r="D61" s="186">
        <f t="shared" ref="D61:AD61" si="2">SUM(D7:D50)</f>
        <v>16539.400000000001</v>
      </c>
      <c r="E61" s="186">
        <f t="shared" si="2"/>
        <v>1796.4</v>
      </c>
      <c r="F61" s="186">
        <f t="shared" si="2"/>
        <v>1184</v>
      </c>
      <c r="G61" s="186">
        <f t="shared" si="2"/>
        <v>1531</v>
      </c>
      <c r="H61" s="186">
        <f t="shared" si="2"/>
        <v>6974</v>
      </c>
      <c r="I61" s="186">
        <f t="shared" si="2"/>
        <v>1367.8</v>
      </c>
      <c r="J61" s="186">
        <f t="shared" si="2"/>
        <v>1724</v>
      </c>
      <c r="K61" s="186">
        <f t="shared" si="2"/>
        <v>661</v>
      </c>
      <c r="L61" s="186">
        <f t="shared" si="2"/>
        <v>30</v>
      </c>
      <c r="M61" s="186">
        <f t="shared" si="2"/>
        <v>84</v>
      </c>
      <c r="N61" s="186">
        <f t="shared" si="2"/>
        <v>630</v>
      </c>
      <c r="O61" s="186">
        <f t="shared" si="2"/>
        <v>0</v>
      </c>
      <c r="P61" s="186">
        <f t="shared" si="2"/>
        <v>15</v>
      </c>
      <c r="Q61" s="186">
        <f t="shared" si="2"/>
        <v>32</v>
      </c>
      <c r="R61" s="186">
        <f t="shared" si="2"/>
        <v>68</v>
      </c>
      <c r="S61" s="186">
        <f t="shared" si="2"/>
        <v>1166</v>
      </c>
      <c r="T61" s="186">
        <f t="shared" si="2"/>
        <v>2</v>
      </c>
      <c r="U61" s="186">
        <f t="shared" si="2"/>
        <v>2</v>
      </c>
      <c r="V61" s="186">
        <f t="shared" si="2"/>
        <v>2</v>
      </c>
      <c r="W61" s="186">
        <f t="shared" si="2"/>
        <v>1</v>
      </c>
      <c r="X61" s="186">
        <f t="shared" si="2"/>
        <v>0</v>
      </c>
      <c r="Y61" s="186">
        <f t="shared" si="2"/>
        <v>0</v>
      </c>
      <c r="Z61" s="186">
        <f t="shared" si="2"/>
        <v>155</v>
      </c>
      <c r="AA61" s="186">
        <f t="shared" si="2"/>
        <v>17</v>
      </c>
      <c r="AB61" s="186">
        <f t="shared" si="2"/>
        <v>28</v>
      </c>
      <c r="AC61" s="186">
        <f t="shared" si="2"/>
        <v>23</v>
      </c>
      <c r="AD61" s="186">
        <f t="shared" si="2"/>
        <v>69</v>
      </c>
    </row>
    <row r="62" spans="1:35" s="53" customFormat="1" x14ac:dyDescent="0.35">
      <c r="A62" s="308" t="s">
        <v>89</v>
      </c>
      <c r="B62" s="308"/>
      <c r="C62" s="186"/>
      <c r="D62" s="186">
        <f t="shared" ref="D62:AD62" si="3">SUM(D52)</f>
        <v>148</v>
      </c>
      <c r="E62" s="186">
        <f t="shared" si="3"/>
        <v>30</v>
      </c>
      <c r="F62" s="186">
        <f t="shared" si="3"/>
        <v>0</v>
      </c>
      <c r="G62" s="186">
        <f t="shared" si="3"/>
        <v>0</v>
      </c>
      <c r="H62" s="186">
        <f t="shared" si="3"/>
        <v>74</v>
      </c>
      <c r="I62" s="186">
        <f t="shared" si="3"/>
        <v>33</v>
      </c>
      <c r="J62" s="186">
        <f t="shared" si="3"/>
        <v>0</v>
      </c>
      <c r="K62" s="186">
        <f t="shared" si="3"/>
        <v>0</v>
      </c>
      <c r="L62" s="186">
        <f t="shared" si="3"/>
        <v>0</v>
      </c>
      <c r="M62" s="186">
        <f t="shared" si="3"/>
        <v>0</v>
      </c>
      <c r="N62" s="186">
        <f t="shared" si="3"/>
        <v>17</v>
      </c>
      <c r="O62" s="186">
        <f t="shared" si="3"/>
        <v>0</v>
      </c>
      <c r="P62" s="186">
        <f t="shared" si="3"/>
        <v>0</v>
      </c>
      <c r="Q62" s="186">
        <f t="shared" si="3"/>
        <v>0</v>
      </c>
      <c r="R62" s="186">
        <f t="shared" si="3"/>
        <v>0</v>
      </c>
      <c r="S62" s="186">
        <f t="shared" si="3"/>
        <v>0</v>
      </c>
      <c r="T62" s="186">
        <f t="shared" si="3"/>
        <v>0</v>
      </c>
      <c r="U62" s="186">
        <f t="shared" si="3"/>
        <v>0</v>
      </c>
      <c r="V62" s="186">
        <f t="shared" si="3"/>
        <v>0</v>
      </c>
      <c r="W62" s="186">
        <f t="shared" si="3"/>
        <v>0</v>
      </c>
      <c r="X62" s="186">
        <f t="shared" si="3"/>
        <v>0</v>
      </c>
      <c r="Y62" s="186">
        <f t="shared" si="3"/>
        <v>0</v>
      </c>
      <c r="Z62" s="186">
        <f t="shared" si="3"/>
        <v>11</v>
      </c>
      <c r="AA62" s="186">
        <f t="shared" si="3"/>
        <v>0</v>
      </c>
      <c r="AB62" s="186">
        <f t="shared" si="3"/>
        <v>0</v>
      </c>
      <c r="AC62" s="186">
        <f t="shared" si="3"/>
        <v>0</v>
      </c>
      <c r="AD62" s="186">
        <f t="shared" si="3"/>
        <v>0</v>
      </c>
    </row>
    <row r="63" spans="1:35" s="53" customFormat="1" x14ac:dyDescent="0.35">
      <c r="A63" s="295" t="s">
        <v>91</v>
      </c>
      <c r="B63" s="322" t="s">
        <v>90</v>
      </c>
      <c r="C63" s="186"/>
      <c r="D63" s="186">
        <f t="shared" ref="D63:AD63" si="4">SUM(D54)</f>
        <v>0</v>
      </c>
      <c r="E63" s="186">
        <f t="shared" si="4"/>
        <v>0</v>
      </c>
      <c r="F63" s="186">
        <f t="shared" si="4"/>
        <v>0</v>
      </c>
      <c r="G63" s="186">
        <f t="shared" si="4"/>
        <v>0</v>
      </c>
      <c r="H63" s="186">
        <f t="shared" si="4"/>
        <v>0</v>
      </c>
      <c r="I63" s="186">
        <f t="shared" si="4"/>
        <v>0</v>
      </c>
      <c r="J63" s="186">
        <f t="shared" si="4"/>
        <v>0</v>
      </c>
      <c r="K63" s="186">
        <f t="shared" si="4"/>
        <v>0</v>
      </c>
      <c r="L63" s="186">
        <f t="shared" si="4"/>
        <v>0</v>
      </c>
      <c r="M63" s="186">
        <f t="shared" si="4"/>
        <v>0</v>
      </c>
      <c r="N63" s="186">
        <f t="shared" si="4"/>
        <v>0</v>
      </c>
      <c r="O63" s="186">
        <f t="shared" si="4"/>
        <v>0</v>
      </c>
      <c r="P63" s="186">
        <f t="shared" si="4"/>
        <v>0</v>
      </c>
      <c r="Q63" s="186">
        <f t="shared" si="4"/>
        <v>0</v>
      </c>
      <c r="R63" s="186">
        <f t="shared" si="4"/>
        <v>0</v>
      </c>
      <c r="S63" s="186">
        <f t="shared" si="4"/>
        <v>0</v>
      </c>
      <c r="T63" s="186">
        <f t="shared" si="4"/>
        <v>0</v>
      </c>
      <c r="U63" s="186">
        <f t="shared" si="4"/>
        <v>0</v>
      </c>
      <c r="V63" s="186">
        <f t="shared" si="4"/>
        <v>0</v>
      </c>
      <c r="W63" s="186">
        <f t="shared" si="4"/>
        <v>0</v>
      </c>
      <c r="X63" s="186">
        <f t="shared" si="4"/>
        <v>0</v>
      </c>
      <c r="Y63" s="186">
        <f t="shared" si="4"/>
        <v>0</v>
      </c>
      <c r="Z63" s="186">
        <f t="shared" si="4"/>
        <v>0</v>
      </c>
      <c r="AA63" s="186">
        <f t="shared" si="4"/>
        <v>0</v>
      </c>
      <c r="AB63" s="186">
        <f t="shared" si="4"/>
        <v>0</v>
      </c>
      <c r="AC63" s="186">
        <f t="shared" si="4"/>
        <v>1</v>
      </c>
      <c r="AD63" s="186">
        <f t="shared" si="4"/>
        <v>3</v>
      </c>
    </row>
    <row r="64" spans="1:35" x14ac:dyDescent="0.35">
      <c r="A64" s="297" t="s">
        <v>92</v>
      </c>
      <c r="B64" s="298"/>
      <c r="C64" s="190"/>
      <c r="D64" s="190">
        <f t="shared" ref="D64:AD64" si="5">SUM(D56+D57)</f>
        <v>725</v>
      </c>
      <c r="E64" s="190">
        <f t="shared" si="5"/>
        <v>85</v>
      </c>
      <c r="F64" s="190">
        <f t="shared" si="5"/>
        <v>421</v>
      </c>
      <c r="G64" s="190">
        <f t="shared" si="5"/>
        <v>0</v>
      </c>
      <c r="H64" s="190">
        <f t="shared" si="5"/>
        <v>210</v>
      </c>
      <c r="I64" s="190">
        <f t="shared" si="5"/>
        <v>9</v>
      </c>
      <c r="J64" s="190">
        <f t="shared" si="5"/>
        <v>0</v>
      </c>
      <c r="K64" s="190">
        <f t="shared" si="5"/>
        <v>0</v>
      </c>
      <c r="L64" s="190">
        <f t="shared" si="5"/>
        <v>0</v>
      </c>
      <c r="M64" s="190">
        <f t="shared" si="5"/>
        <v>0</v>
      </c>
      <c r="N64" s="190">
        <f t="shared" si="5"/>
        <v>40</v>
      </c>
      <c r="O64" s="190">
        <f t="shared" si="5"/>
        <v>0</v>
      </c>
      <c r="P64" s="190">
        <f t="shared" si="5"/>
        <v>0</v>
      </c>
      <c r="Q64" s="190">
        <f t="shared" si="5"/>
        <v>0</v>
      </c>
      <c r="R64" s="190">
        <f t="shared" si="5"/>
        <v>0</v>
      </c>
      <c r="S64" s="190">
        <f t="shared" si="5"/>
        <v>0</v>
      </c>
      <c r="T64" s="190">
        <f t="shared" si="5"/>
        <v>0</v>
      </c>
      <c r="U64" s="190">
        <f t="shared" si="5"/>
        <v>0</v>
      </c>
      <c r="V64" s="190">
        <f t="shared" si="5"/>
        <v>0</v>
      </c>
      <c r="W64" s="190">
        <f t="shared" si="5"/>
        <v>0</v>
      </c>
      <c r="X64" s="190">
        <f t="shared" si="5"/>
        <v>0</v>
      </c>
      <c r="Y64" s="190">
        <f t="shared" si="5"/>
        <v>0</v>
      </c>
      <c r="Z64" s="190">
        <f t="shared" si="5"/>
        <v>0</v>
      </c>
      <c r="AA64" s="190">
        <f t="shared" si="5"/>
        <v>0</v>
      </c>
      <c r="AB64" s="190">
        <f t="shared" si="5"/>
        <v>0</v>
      </c>
      <c r="AC64" s="190">
        <f t="shared" si="5"/>
        <v>0</v>
      </c>
      <c r="AD64" s="190">
        <f t="shared" si="5"/>
        <v>0</v>
      </c>
    </row>
    <row r="65" spans="1:30" ht="13.35" thickBot="1" x14ac:dyDescent="0.4">
      <c r="A65" s="297" t="s">
        <v>93</v>
      </c>
      <c r="B65" s="298"/>
      <c r="C65" s="190"/>
      <c r="D65" s="190">
        <f t="shared" ref="D65:AD65" si="6">SUM(D59)</f>
        <v>274</v>
      </c>
      <c r="E65" s="190">
        <f t="shared" si="6"/>
        <v>0</v>
      </c>
      <c r="F65" s="190">
        <f t="shared" si="6"/>
        <v>0</v>
      </c>
      <c r="G65" s="190">
        <f t="shared" si="6"/>
        <v>0</v>
      </c>
      <c r="H65" s="190">
        <f t="shared" si="6"/>
        <v>72</v>
      </c>
      <c r="I65" s="190">
        <f t="shared" si="6"/>
        <v>187</v>
      </c>
      <c r="J65" s="190">
        <f t="shared" si="6"/>
        <v>0</v>
      </c>
      <c r="K65" s="190">
        <f t="shared" si="6"/>
        <v>0</v>
      </c>
      <c r="L65" s="190">
        <f t="shared" si="6"/>
        <v>1</v>
      </c>
      <c r="M65" s="190">
        <f t="shared" si="6"/>
        <v>3</v>
      </c>
      <c r="N65" s="190">
        <f t="shared" si="6"/>
        <v>0</v>
      </c>
      <c r="O65" s="190">
        <f t="shared" si="6"/>
        <v>0</v>
      </c>
      <c r="P65" s="190">
        <f t="shared" si="6"/>
        <v>0</v>
      </c>
      <c r="Q65" s="190">
        <f t="shared" si="6"/>
        <v>0</v>
      </c>
      <c r="R65" s="190">
        <f t="shared" si="6"/>
        <v>1</v>
      </c>
      <c r="S65" s="190">
        <f t="shared" si="6"/>
        <v>3</v>
      </c>
      <c r="T65" s="190">
        <f t="shared" si="6"/>
        <v>0</v>
      </c>
      <c r="U65" s="190">
        <f t="shared" si="6"/>
        <v>0</v>
      </c>
      <c r="V65" s="190">
        <f t="shared" si="6"/>
        <v>0</v>
      </c>
      <c r="W65" s="190">
        <f t="shared" si="6"/>
        <v>0</v>
      </c>
      <c r="X65" s="190">
        <f t="shared" si="6"/>
        <v>0</v>
      </c>
      <c r="Y65" s="190">
        <f t="shared" si="6"/>
        <v>0</v>
      </c>
      <c r="Z65" s="190">
        <f t="shared" si="6"/>
        <v>12</v>
      </c>
      <c r="AA65" s="190">
        <f t="shared" si="6"/>
        <v>0</v>
      </c>
      <c r="AB65" s="190">
        <f t="shared" si="6"/>
        <v>0</v>
      </c>
      <c r="AC65" s="190">
        <f t="shared" si="6"/>
        <v>1</v>
      </c>
      <c r="AD65" s="190">
        <f t="shared" si="6"/>
        <v>3</v>
      </c>
    </row>
    <row r="66" spans="1:30" s="61" customFormat="1" thickBot="1" x14ac:dyDescent="0.4">
      <c r="A66" s="309" t="s">
        <v>94</v>
      </c>
      <c r="B66" s="310"/>
      <c r="C66" s="188"/>
      <c r="D66" s="188">
        <f t="shared" ref="D66:AD66" si="7">SUM(D61:D65)</f>
        <v>17686.400000000001</v>
      </c>
      <c r="E66" s="188">
        <f t="shared" si="7"/>
        <v>1911.4</v>
      </c>
      <c r="F66" s="188">
        <f t="shared" si="7"/>
        <v>1605</v>
      </c>
      <c r="G66" s="188">
        <f t="shared" si="7"/>
        <v>1531</v>
      </c>
      <c r="H66" s="188">
        <f t="shared" si="7"/>
        <v>7330</v>
      </c>
      <c r="I66" s="188">
        <f t="shared" si="7"/>
        <v>1596.8</v>
      </c>
      <c r="J66" s="188">
        <f t="shared" si="7"/>
        <v>1724</v>
      </c>
      <c r="K66" s="188">
        <f t="shared" si="7"/>
        <v>661</v>
      </c>
      <c r="L66" s="188">
        <f t="shared" si="7"/>
        <v>31</v>
      </c>
      <c r="M66" s="188">
        <f t="shared" si="7"/>
        <v>87</v>
      </c>
      <c r="N66" s="188">
        <f t="shared" si="7"/>
        <v>687</v>
      </c>
      <c r="O66" s="188">
        <f t="shared" si="7"/>
        <v>0</v>
      </c>
      <c r="P66" s="188">
        <f t="shared" si="7"/>
        <v>15</v>
      </c>
      <c r="Q66" s="188">
        <f t="shared" si="7"/>
        <v>32</v>
      </c>
      <c r="R66" s="188">
        <f t="shared" si="7"/>
        <v>69</v>
      </c>
      <c r="S66" s="188">
        <f t="shared" si="7"/>
        <v>1169</v>
      </c>
      <c r="T66" s="188">
        <f t="shared" si="7"/>
        <v>2</v>
      </c>
      <c r="U66" s="188">
        <f t="shared" si="7"/>
        <v>2</v>
      </c>
      <c r="V66" s="188">
        <f t="shared" si="7"/>
        <v>2</v>
      </c>
      <c r="W66" s="188">
        <f t="shared" si="7"/>
        <v>1</v>
      </c>
      <c r="X66" s="188">
        <f t="shared" si="7"/>
        <v>0</v>
      </c>
      <c r="Y66" s="188">
        <f t="shared" si="7"/>
        <v>0</v>
      </c>
      <c r="Z66" s="188">
        <f t="shared" si="7"/>
        <v>178</v>
      </c>
      <c r="AA66" s="188">
        <f t="shared" si="7"/>
        <v>17</v>
      </c>
      <c r="AB66" s="188">
        <f t="shared" si="7"/>
        <v>28</v>
      </c>
      <c r="AC66" s="188">
        <f t="shared" si="7"/>
        <v>25</v>
      </c>
      <c r="AD66" s="189">
        <f t="shared" si="7"/>
        <v>75</v>
      </c>
    </row>
    <row r="67" spans="1:30" s="204" customFormat="1" ht="13.35" thickBot="1" x14ac:dyDescent="0.4">
      <c r="A67" s="299"/>
      <c r="B67" s="300"/>
      <c r="C67" s="254"/>
      <c r="D67" s="254">
        <f t="shared" ref="D67:AD67" si="8">SUM(D7:D50,D52,D54,D56,D57,D59)</f>
        <v>17686.400000000001</v>
      </c>
      <c r="E67" s="254">
        <f t="shared" si="8"/>
        <v>1911.4</v>
      </c>
      <c r="F67" s="254">
        <f t="shared" si="8"/>
        <v>1605</v>
      </c>
      <c r="G67" s="254">
        <f t="shared" si="8"/>
        <v>1531</v>
      </c>
      <c r="H67" s="254">
        <f t="shared" si="8"/>
        <v>7330</v>
      </c>
      <c r="I67" s="254">
        <f t="shared" si="8"/>
        <v>1596.8</v>
      </c>
      <c r="J67" s="254">
        <f t="shared" si="8"/>
        <v>1724</v>
      </c>
      <c r="K67" s="254">
        <f t="shared" si="8"/>
        <v>661</v>
      </c>
      <c r="L67" s="254">
        <f t="shared" si="8"/>
        <v>31</v>
      </c>
      <c r="M67" s="254">
        <f t="shared" si="8"/>
        <v>87</v>
      </c>
      <c r="N67" s="254">
        <f t="shared" si="8"/>
        <v>687</v>
      </c>
      <c r="O67" s="254">
        <f t="shared" si="8"/>
        <v>0</v>
      </c>
      <c r="P67" s="254">
        <f t="shared" si="8"/>
        <v>15</v>
      </c>
      <c r="Q67" s="254">
        <f t="shared" si="8"/>
        <v>32</v>
      </c>
      <c r="R67" s="254">
        <f t="shared" si="8"/>
        <v>69</v>
      </c>
      <c r="S67" s="254">
        <f t="shared" si="8"/>
        <v>1169</v>
      </c>
      <c r="T67" s="254">
        <f t="shared" si="8"/>
        <v>2</v>
      </c>
      <c r="U67" s="254">
        <f t="shared" si="8"/>
        <v>2</v>
      </c>
      <c r="V67" s="254">
        <f t="shared" si="8"/>
        <v>2</v>
      </c>
      <c r="W67" s="254">
        <f t="shared" si="8"/>
        <v>1</v>
      </c>
      <c r="X67" s="254">
        <f t="shared" si="8"/>
        <v>0</v>
      </c>
      <c r="Y67" s="254">
        <f t="shared" si="8"/>
        <v>0</v>
      </c>
      <c r="Z67" s="254">
        <f t="shared" si="8"/>
        <v>178</v>
      </c>
      <c r="AA67" s="254">
        <f t="shared" si="8"/>
        <v>17</v>
      </c>
      <c r="AB67" s="254">
        <f t="shared" si="8"/>
        <v>28</v>
      </c>
      <c r="AC67" s="254">
        <f t="shared" si="8"/>
        <v>25</v>
      </c>
      <c r="AD67" s="254">
        <f t="shared" si="8"/>
        <v>75</v>
      </c>
    </row>
    <row r="68" spans="1:30" s="47" customFormat="1" ht="15.75" customHeight="1" thickBot="1" x14ac:dyDescent="0.4">
      <c r="A68" s="324" t="s">
        <v>95</v>
      </c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  <c r="AA68" s="325"/>
      <c r="AB68" s="325"/>
      <c r="AC68" s="325"/>
      <c r="AD68" s="326"/>
    </row>
    <row r="69" spans="1:30" s="56" customFormat="1" ht="15" x14ac:dyDescent="0.35">
      <c r="A69" s="327" t="s">
        <v>96</v>
      </c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7"/>
      <c r="X69" s="327"/>
      <c r="Y69" s="327"/>
      <c r="Z69" s="327"/>
      <c r="AA69" s="327"/>
      <c r="AB69" s="327"/>
      <c r="AC69" s="327"/>
      <c r="AD69" s="327"/>
    </row>
    <row r="70" spans="1:30" s="53" customFormat="1" x14ac:dyDescent="0.35">
      <c r="A70" s="7">
        <v>2569</v>
      </c>
      <c r="B70" s="49" t="s">
        <v>97</v>
      </c>
      <c r="C70" s="48"/>
      <c r="D70" s="48">
        <f>SUM(E70:K70,S70,Z70)</f>
        <v>2380</v>
      </c>
      <c r="E70" s="258">
        <v>3</v>
      </c>
      <c r="F70" s="258"/>
      <c r="G70" s="258"/>
      <c r="H70" s="258">
        <v>774</v>
      </c>
      <c r="I70" s="258"/>
      <c r="J70" s="258">
        <v>216</v>
      </c>
      <c r="K70" s="258">
        <v>1360</v>
      </c>
      <c r="L70" s="50">
        <v>1</v>
      </c>
      <c r="M70" s="50">
        <v>3</v>
      </c>
      <c r="N70" s="50">
        <v>136</v>
      </c>
      <c r="O70" s="50"/>
      <c r="P70" s="50"/>
      <c r="Q70" s="50"/>
      <c r="R70" s="51">
        <v>5</v>
      </c>
      <c r="S70" s="51">
        <v>27</v>
      </c>
      <c r="T70" s="51"/>
      <c r="U70" s="51"/>
      <c r="V70" s="51"/>
      <c r="W70" s="51"/>
      <c r="X70" s="51"/>
      <c r="Y70" s="51"/>
      <c r="Z70" s="48"/>
      <c r="AA70" s="52"/>
      <c r="AB70" s="52"/>
      <c r="AC70" s="52"/>
      <c r="AD70" s="52"/>
    </row>
    <row r="71" spans="1:30" s="53" customFormat="1" x14ac:dyDescent="0.35">
      <c r="A71" s="13">
        <v>2569</v>
      </c>
      <c r="B71" s="59" t="s">
        <v>98</v>
      </c>
      <c r="C71" s="58"/>
      <c r="D71" s="48">
        <f>SUM(E71:K71,S71,Z71)</f>
        <v>80</v>
      </c>
      <c r="E71" s="258"/>
      <c r="F71" s="258"/>
      <c r="G71" s="258"/>
      <c r="H71" s="258">
        <v>70</v>
      </c>
      <c r="I71" s="258"/>
      <c r="J71" s="258"/>
      <c r="K71" s="258"/>
      <c r="L71" s="50">
        <v>1</v>
      </c>
      <c r="M71" s="50">
        <v>3</v>
      </c>
      <c r="N71" s="50"/>
      <c r="O71" s="50"/>
      <c r="P71" s="50"/>
      <c r="Q71" s="50"/>
      <c r="R71" s="51">
        <v>2</v>
      </c>
      <c r="S71" s="51">
        <v>5</v>
      </c>
      <c r="T71" s="51"/>
      <c r="U71" s="51"/>
      <c r="V71" s="51"/>
      <c r="W71" s="51"/>
      <c r="X71" s="51"/>
      <c r="Y71" s="51"/>
      <c r="Z71" s="48">
        <v>5</v>
      </c>
      <c r="AA71" s="52"/>
      <c r="AB71" s="52"/>
      <c r="AC71" s="52"/>
      <c r="AD71" s="52"/>
    </row>
    <row r="72" spans="1:30" s="53" customFormat="1" x14ac:dyDescent="0.35">
      <c r="A72" s="7">
        <v>2552</v>
      </c>
      <c r="B72" s="49" t="s">
        <v>99</v>
      </c>
      <c r="C72" s="48"/>
      <c r="D72" s="48">
        <f>SUM(E72:K72,S72,Z72)</f>
        <v>70</v>
      </c>
      <c r="E72" s="57"/>
      <c r="F72" s="57"/>
      <c r="G72" s="258"/>
      <c r="H72" s="258">
        <v>50</v>
      </c>
      <c r="I72" s="258"/>
      <c r="J72" s="258"/>
      <c r="K72" s="258"/>
      <c r="L72" s="50">
        <v>1</v>
      </c>
      <c r="M72" s="50">
        <v>3</v>
      </c>
      <c r="N72" s="50">
        <v>100</v>
      </c>
      <c r="O72" s="50"/>
      <c r="P72" s="50"/>
      <c r="Q72" s="50"/>
      <c r="R72" s="51">
        <v>2</v>
      </c>
      <c r="S72" s="51">
        <v>20</v>
      </c>
      <c r="T72" s="51">
        <v>2</v>
      </c>
      <c r="U72" s="51">
        <v>2</v>
      </c>
      <c r="V72" s="51"/>
      <c r="W72" s="51"/>
      <c r="X72" s="51"/>
      <c r="Y72" s="51"/>
      <c r="Z72" s="48"/>
      <c r="AA72" s="52"/>
      <c r="AB72" s="52"/>
      <c r="AC72" s="52"/>
      <c r="AD72" s="52"/>
    </row>
    <row r="73" spans="1:30" s="53" customFormat="1" ht="13.95" customHeight="1" x14ac:dyDescent="0.35">
      <c r="A73" s="10" t="s">
        <v>100</v>
      </c>
      <c r="B73" s="54" t="s">
        <v>101</v>
      </c>
      <c r="C73" s="48"/>
      <c r="D73" s="48">
        <f>SUM(E73:K73,S73,Z73)</f>
        <v>68</v>
      </c>
      <c r="E73" s="258"/>
      <c r="F73" s="258"/>
      <c r="G73" s="258"/>
      <c r="H73" s="258"/>
      <c r="I73" s="258"/>
      <c r="J73" s="258"/>
      <c r="K73" s="258"/>
      <c r="L73" s="50">
        <v>6</v>
      </c>
      <c r="M73" s="50">
        <v>2</v>
      </c>
      <c r="N73" s="50">
        <v>10</v>
      </c>
      <c r="O73" s="50"/>
      <c r="P73" s="50"/>
      <c r="Q73" s="50"/>
      <c r="R73" s="51">
        <v>2</v>
      </c>
      <c r="S73" s="51">
        <v>68</v>
      </c>
      <c r="T73" s="51">
        <v>9</v>
      </c>
      <c r="U73" s="51">
        <v>4</v>
      </c>
      <c r="V73" s="51"/>
      <c r="W73" s="51">
        <v>2</v>
      </c>
      <c r="X73" s="51"/>
      <c r="Y73" s="51"/>
      <c r="Z73" s="48"/>
      <c r="AA73" s="52"/>
      <c r="AB73" s="52"/>
      <c r="AC73" s="52"/>
      <c r="AD73" s="52"/>
    </row>
    <row r="74" spans="1:30" s="56" customFormat="1" ht="15" x14ac:dyDescent="0.35">
      <c r="A74" s="294" t="s">
        <v>102</v>
      </c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</row>
    <row r="75" spans="1:30" s="53" customFormat="1" x14ac:dyDescent="0.35">
      <c r="A75" s="11">
        <v>2569</v>
      </c>
      <c r="B75" s="49" t="s">
        <v>85</v>
      </c>
      <c r="C75" s="48"/>
      <c r="D75" s="48">
        <f>SUM(E75:K75,S75,Z75)</f>
        <v>81</v>
      </c>
      <c r="E75" s="258"/>
      <c r="F75" s="258"/>
      <c r="G75" s="258"/>
      <c r="H75" s="258">
        <v>76</v>
      </c>
      <c r="I75" s="258"/>
      <c r="J75" s="258"/>
      <c r="K75" s="258"/>
      <c r="L75" s="50">
        <v>1</v>
      </c>
      <c r="M75" s="50">
        <v>3</v>
      </c>
      <c r="N75" s="50">
        <v>30</v>
      </c>
      <c r="O75" s="50"/>
      <c r="P75" s="50"/>
      <c r="Q75" s="50"/>
      <c r="R75" s="51">
        <v>2</v>
      </c>
      <c r="S75" s="51">
        <v>5</v>
      </c>
      <c r="T75" s="51"/>
      <c r="U75" s="51"/>
      <c r="V75" s="51"/>
      <c r="W75" s="51"/>
      <c r="X75" s="51"/>
      <c r="Y75" s="51"/>
      <c r="Z75" s="48"/>
      <c r="AA75" s="52"/>
      <c r="AB75" s="52"/>
      <c r="AC75" s="52"/>
      <c r="AD75" s="52"/>
    </row>
    <row r="76" spans="1:30" s="53" customFormat="1" x14ac:dyDescent="0.35">
      <c r="A76" s="7" t="s">
        <v>103</v>
      </c>
      <c r="B76" s="49" t="s">
        <v>104</v>
      </c>
      <c r="C76" s="58"/>
      <c r="D76" s="48">
        <f>SUM(E76:K76,S76,Z76)</f>
        <v>121</v>
      </c>
      <c r="E76" s="258"/>
      <c r="F76" s="258"/>
      <c r="G76" s="258"/>
      <c r="H76" s="258">
        <f>57+52-12</f>
        <v>97</v>
      </c>
      <c r="I76" s="258"/>
      <c r="J76" s="258"/>
      <c r="K76" s="258"/>
      <c r="L76" s="50">
        <v>1</v>
      </c>
      <c r="M76" s="50">
        <v>3</v>
      </c>
      <c r="N76" s="50">
        <f>17.5+31</f>
        <v>48.5</v>
      </c>
      <c r="O76" s="50"/>
      <c r="P76" s="50">
        <v>10</v>
      </c>
      <c r="Q76" s="50"/>
      <c r="R76" s="51">
        <v>2</v>
      </c>
      <c r="S76" s="51">
        <v>12</v>
      </c>
      <c r="T76" s="51">
        <v>3</v>
      </c>
      <c r="U76" s="51">
        <v>3</v>
      </c>
      <c r="V76" s="51">
        <v>2</v>
      </c>
      <c r="W76" s="51"/>
      <c r="X76" s="51"/>
      <c r="Y76" s="51"/>
      <c r="Z76" s="48">
        <v>12</v>
      </c>
      <c r="AA76" s="52"/>
      <c r="AB76" s="52"/>
      <c r="AC76" s="52"/>
      <c r="AD76" s="52"/>
    </row>
    <row r="77" spans="1:30" s="53" customFormat="1" x14ac:dyDescent="0.35">
      <c r="A77" s="295" t="s">
        <v>105</v>
      </c>
      <c r="B77" s="322"/>
      <c r="C77" s="186"/>
      <c r="D77" s="186">
        <f t="shared" ref="D77:AD77" si="9">SUM(D70:D73)</f>
        <v>2598</v>
      </c>
      <c r="E77" s="186">
        <f t="shared" si="9"/>
        <v>3</v>
      </c>
      <c r="F77" s="186">
        <f t="shared" si="9"/>
        <v>0</v>
      </c>
      <c r="G77" s="186">
        <f t="shared" si="9"/>
        <v>0</v>
      </c>
      <c r="H77" s="186">
        <f t="shared" si="9"/>
        <v>894</v>
      </c>
      <c r="I77" s="186">
        <f t="shared" si="9"/>
        <v>0</v>
      </c>
      <c r="J77" s="186">
        <f t="shared" si="9"/>
        <v>216</v>
      </c>
      <c r="K77" s="186">
        <f t="shared" si="9"/>
        <v>1360</v>
      </c>
      <c r="L77" s="186">
        <f t="shared" si="9"/>
        <v>9</v>
      </c>
      <c r="M77" s="186">
        <f t="shared" si="9"/>
        <v>11</v>
      </c>
      <c r="N77" s="186">
        <f t="shared" si="9"/>
        <v>246</v>
      </c>
      <c r="O77" s="186">
        <f t="shared" si="9"/>
        <v>0</v>
      </c>
      <c r="P77" s="186">
        <f t="shared" si="9"/>
        <v>0</v>
      </c>
      <c r="Q77" s="186">
        <f t="shared" si="9"/>
        <v>0</v>
      </c>
      <c r="R77" s="186">
        <f t="shared" si="9"/>
        <v>11</v>
      </c>
      <c r="S77" s="186">
        <f t="shared" si="9"/>
        <v>120</v>
      </c>
      <c r="T77" s="186">
        <f t="shared" si="9"/>
        <v>11</v>
      </c>
      <c r="U77" s="186">
        <f t="shared" si="9"/>
        <v>6</v>
      </c>
      <c r="V77" s="186">
        <f t="shared" si="9"/>
        <v>0</v>
      </c>
      <c r="W77" s="186">
        <f t="shared" si="9"/>
        <v>2</v>
      </c>
      <c r="X77" s="186">
        <f t="shared" si="9"/>
        <v>0</v>
      </c>
      <c r="Y77" s="186">
        <f t="shared" si="9"/>
        <v>0</v>
      </c>
      <c r="Z77" s="186">
        <f t="shared" si="9"/>
        <v>5</v>
      </c>
      <c r="AA77" s="186">
        <f t="shared" si="9"/>
        <v>0</v>
      </c>
      <c r="AB77" s="186">
        <f t="shared" si="9"/>
        <v>0</v>
      </c>
      <c r="AC77" s="186">
        <f t="shared" si="9"/>
        <v>0</v>
      </c>
      <c r="AD77" s="186">
        <f t="shared" si="9"/>
        <v>0</v>
      </c>
    </row>
    <row r="78" spans="1:30" s="53" customFormat="1" ht="13.35" thickBot="1" x14ac:dyDescent="0.4">
      <c r="A78" s="295" t="s">
        <v>92</v>
      </c>
      <c r="B78" s="322"/>
      <c r="C78" s="186"/>
      <c r="D78" s="186">
        <f t="shared" ref="D78:AD78" si="10">SUM(D75:D76)</f>
        <v>202</v>
      </c>
      <c r="E78" s="186">
        <f t="shared" si="10"/>
        <v>0</v>
      </c>
      <c r="F78" s="186">
        <f t="shared" si="10"/>
        <v>0</v>
      </c>
      <c r="G78" s="186">
        <f t="shared" si="10"/>
        <v>0</v>
      </c>
      <c r="H78" s="186">
        <f t="shared" si="10"/>
        <v>173</v>
      </c>
      <c r="I78" s="186">
        <f t="shared" si="10"/>
        <v>0</v>
      </c>
      <c r="J78" s="186">
        <f t="shared" si="10"/>
        <v>0</v>
      </c>
      <c r="K78" s="186">
        <f t="shared" si="10"/>
        <v>0</v>
      </c>
      <c r="L78" s="186">
        <f t="shared" si="10"/>
        <v>2</v>
      </c>
      <c r="M78" s="186">
        <f t="shared" si="10"/>
        <v>6</v>
      </c>
      <c r="N78" s="186">
        <f t="shared" si="10"/>
        <v>78.5</v>
      </c>
      <c r="O78" s="186">
        <f t="shared" si="10"/>
        <v>0</v>
      </c>
      <c r="P78" s="186">
        <f t="shared" si="10"/>
        <v>10</v>
      </c>
      <c r="Q78" s="186">
        <f t="shared" si="10"/>
        <v>0</v>
      </c>
      <c r="R78" s="186">
        <f t="shared" si="10"/>
        <v>4</v>
      </c>
      <c r="S78" s="186">
        <f t="shared" si="10"/>
        <v>17</v>
      </c>
      <c r="T78" s="186">
        <f t="shared" si="10"/>
        <v>3</v>
      </c>
      <c r="U78" s="186">
        <f t="shared" si="10"/>
        <v>3</v>
      </c>
      <c r="V78" s="186">
        <f t="shared" si="10"/>
        <v>2</v>
      </c>
      <c r="W78" s="186">
        <f t="shared" si="10"/>
        <v>0</v>
      </c>
      <c r="X78" s="186">
        <f t="shared" si="10"/>
        <v>0</v>
      </c>
      <c r="Y78" s="186">
        <f t="shared" si="10"/>
        <v>0</v>
      </c>
      <c r="Z78" s="186">
        <f t="shared" si="10"/>
        <v>12</v>
      </c>
      <c r="AA78" s="186">
        <f t="shared" si="10"/>
        <v>0</v>
      </c>
      <c r="AB78" s="186">
        <f t="shared" si="10"/>
        <v>0</v>
      </c>
      <c r="AC78" s="186">
        <f t="shared" si="10"/>
        <v>0</v>
      </c>
      <c r="AD78" s="186">
        <f t="shared" si="10"/>
        <v>0</v>
      </c>
    </row>
    <row r="79" spans="1:30" s="61" customFormat="1" thickBot="1" x14ac:dyDescent="0.4">
      <c r="A79" s="309" t="s">
        <v>106</v>
      </c>
      <c r="B79" s="310"/>
      <c r="C79" s="188"/>
      <c r="D79" s="188">
        <f t="shared" ref="D79:AD79" si="11">SUM(D77:D78)</f>
        <v>2800</v>
      </c>
      <c r="E79" s="188">
        <f t="shared" si="11"/>
        <v>3</v>
      </c>
      <c r="F79" s="188">
        <f t="shared" si="11"/>
        <v>0</v>
      </c>
      <c r="G79" s="188">
        <f t="shared" si="11"/>
        <v>0</v>
      </c>
      <c r="H79" s="188">
        <f t="shared" si="11"/>
        <v>1067</v>
      </c>
      <c r="I79" s="188">
        <f t="shared" si="11"/>
        <v>0</v>
      </c>
      <c r="J79" s="188">
        <f t="shared" si="11"/>
        <v>216</v>
      </c>
      <c r="K79" s="188">
        <f t="shared" si="11"/>
        <v>1360</v>
      </c>
      <c r="L79" s="188">
        <f t="shared" si="11"/>
        <v>11</v>
      </c>
      <c r="M79" s="188">
        <f t="shared" si="11"/>
        <v>17</v>
      </c>
      <c r="N79" s="188">
        <f t="shared" si="11"/>
        <v>324.5</v>
      </c>
      <c r="O79" s="188">
        <f t="shared" si="11"/>
        <v>0</v>
      </c>
      <c r="P79" s="188">
        <f t="shared" si="11"/>
        <v>10</v>
      </c>
      <c r="Q79" s="188">
        <f t="shared" si="11"/>
        <v>0</v>
      </c>
      <c r="R79" s="188">
        <f t="shared" si="11"/>
        <v>15</v>
      </c>
      <c r="S79" s="188">
        <f t="shared" si="11"/>
        <v>137</v>
      </c>
      <c r="T79" s="188">
        <f t="shared" si="11"/>
        <v>14</v>
      </c>
      <c r="U79" s="188">
        <f t="shared" si="11"/>
        <v>9</v>
      </c>
      <c r="V79" s="188">
        <f t="shared" si="11"/>
        <v>2</v>
      </c>
      <c r="W79" s="188">
        <f t="shared" si="11"/>
        <v>2</v>
      </c>
      <c r="X79" s="188">
        <f t="shared" si="11"/>
        <v>0</v>
      </c>
      <c r="Y79" s="188">
        <f t="shared" si="11"/>
        <v>0</v>
      </c>
      <c r="Z79" s="188">
        <f t="shared" si="11"/>
        <v>17</v>
      </c>
      <c r="AA79" s="188">
        <f t="shared" si="11"/>
        <v>0</v>
      </c>
      <c r="AB79" s="188">
        <f t="shared" si="11"/>
        <v>0</v>
      </c>
      <c r="AC79" s="188">
        <f t="shared" si="11"/>
        <v>0</v>
      </c>
      <c r="AD79" s="189">
        <f t="shared" si="11"/>
        <v>0</v>
      </c>
    </row>
    <row r="80" spans="1:30" s="204" customFormat="1" x14ac:dyDescent="0.35">
      <c r="A80" s="299"/>
      <c r="B80" s="300"/>
      <c r="C80" s="254"/>
      <c r="D80" s="254">
        <f>SUM(D70:D73,D75:D76)</f>
        <v>2800</v>
      </c>
      <c r="E80" s="254">
        <f t="shared" ref="E80:AD80" si="12">SUM(E70:E73,E75:E76)</f>
        <v>3</v>
      </c>
      <c r="F80" s="254">
        <f t="shared" si="12"/>
        <v>0</v>
      </c>
      <c r="G80" s="254">
        <f t="shared" si="12"/>
        <v>0</v>
      </c>
      <c r="H80" s="254">
        <f t="shared" si="12"/>
        <v>1067</v>
      </c>
      <c r="I80" s="254">
        <f t="shared" si="12"/>
        <v>0</v>
      </c>
      <c r="J80" s="254">
        <f t="shared" si="12"/>
        <v>216</v>
      </c>
      <c r="K80" s="254">
        <f t="shared" si="12"/>
        <v>1360</v>
      </c>
      <c r="L80" s="254">
        <f t="shared" si="12"/>
        <v>11</v>
      </c>
      <c r="M80" s="254">
        <f t="shared" si="12"/>
        <v>17</v>
      </c>
      <c r="N80" s="254">
        <f t="shared" si="12"/>
        <v>324.5</v>
      </c>
      <c r="O80" s="254">
        <f t="shared" si="12"/>
        <v>0</v>
      </c>
      <c r="P80" s="254">
        <f t="shared" si="12"/>
        <v>10</v>
      </c>
      <c r="Q80" s="254">
        <f t="shared" si="12"/>
        <v>0</v>
      </c>
      <c r="R80" s="254">
        <f t="shared" si="12"/>
        <v>15</v>
      </c>
      <c r="S80" s="254">
        <f t="shared" si="12"/>
        <v>137</v>
      </c>
      <c r="T80" s="254">
        <f t="shared" si="12"/>
        <v>14</v>
      </c>
      <c r="U80" s="254">
        <f t="shared" si="12"/>
        <v>9</v>
      </c>
      <c r="V80" s="254">
        <f>SUM(V70:V73,V75:V76)</f>
        <v>2</v>
      </c>
      <c r="W80" s="254">
        <f t="shared" si="12"/>
        <v>2</v>
      </c>
      <c r="X80" s="254">
        <f t="shared" si="12"/>
        <v>0</v>
      </c>
      <c r="Y80" s="254">
        <f t="shared" si="12"/>
        <v>0</v>
      </c>
      <c r="Z80" s="254">
        <f t="shared" si="12"/>
        <v>17</v>
      </c>
      <c r="AA80" s="254">
        <f t="shared" si="12"/>
        <v>0</v>
      </c>
      <c r="AB80" s="254">
        <f t="shared" si="12"/>
        <v>0</v>
      </c>
      <c r="AC80" s="254">
        <f t="shared" si="12"/>
        <v>0</v>
      </c>
      <c r="AD80" s="254">
        <f t="shared" si="12"/>
        <v>0</v>
      </c>
    </row>
    <row r="81" spans="1:30" s="56" customFormat="1" ht="15.75" customHeight="1" x14ac:dyDescent="0.35">
      <c r="A81" s="313" t="s">
        <v>107</v>
      </c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314"/>
      <c r="AD81" s="315"/>
    </row>
    <row r="82" spans="1:30" s="56" customFormat="1" ht="15" x14ac:dyDescent="0.35">
      <c r="A82" s="294" t="s">
        <v>108</v>
      </c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</row>
    <row r="83" spans="1:30" s="152" customFormat="1" x14ac:dyDescent="0.35">
      <c r="A83" s="10">
        <v>6</v>
      </c>
      <c r="B83" s="133" t="s">
        <v>110</v>
      </c>
      <c r="C83" s="147"/>
      <c r="D83" s="147">
        <v>15</v>
      </c>
      <c r="E83" s="148"/>
      <c r="F83" s="148"/>
      <c r="G83" s="148"/>
      <c r="H83" s="148"/>
      <c r="I83" s="148"/>
      <c r="J83" s="148"/>
      <c r="K83" s="148">
        <v>15</v>
      </c>
      <c r="L83" s="149"/>
      <c r="M83" s="149"/>
      <c r="N83" s="149"/>
      <c r="O83" s="149"/>
      <c r="P83" s="149"/>
      <c r="Q83" s="149"/>
      <c r="R83" s="150"/>
      <c r="S83" s="150"/>
      <c r="T83" s="150"/>
      <c r="U83" s="150"/>
      <c r="V83" s="150"/>
      <c r="W83" s="150"/>
      <c r="X83" s="150"/>
      <c r="Y83" s="150"/>
      <c r="Z83" s="147"/>
      <c r="AA83" s="151"/>
      <c r="AB83" s="151"/>
      <c r="AC83" s="151"/>
      <c r="AD83" s="151"/>
    </row>
    <row r="84" spans="1:30" s="152" customFormat="1" x14ac:dyDescent="0.35">
      <c r="A84" s="10">
        <v>7</v>
      </c>
      <c r="B84" s="133" t="s">
        <v>111</v>
      </c>
      <c r="C84" s="147"/>
      <c r="D84" s="147">
        <v>15</v>
      </c>
      <c r="E84" s="148"/>
      <c r="F84" s="148"/>
      <c r="G84" s="148"/>
      <c r="H84" s="148"/>
      <c r="I84" s="148"/>
      <c r="J84" s="148"/>
      <c r="K84" s="148">
        <v>15</v>
      </c>
      <c r="L84" s="149"/>
      <c r="M84" s="149"/>
      <c r="N84" s="149"/>
      <c r="O84" s="149"/>
      <c r="P84" s="149"/>
      <c r="Q84" s="149"/>
      <c r="R84" s="150"/>
      <c r="S84" s="150"/>
      <c r="T84" s="150"/>
      <c r="U84" s="150"/>
      <c r="V84" s="150"/>
      <c r="W84" s="150"/>
      <c r="X84" s="150"/>
      <c r="Y84" s="150"/>
      <c r="Z84" s="147"/>
      <c r="AA84" s="151"/>
      <c r="AB84" s="151"/>
      <c r="AC84" s="151"/>
      <c r="AD84" s="151"/>
    </row>
    <row r="85" spans="1:30" s="152" customFormat="1" x14ac:dyDescent="0.35">
      <c r="A85" s="10">
        <v>8</v>
      </c>
      <c r="B85" s="133" t="s">
        <v>112</v>
      </c>
      <c r="C85" s="147"/>
      <c r="D85" s="147">
        <v>15</v>
      </c>
      <c r="E85" s="148"/>
      <c r="F85" s="148"/>
      <c r="G85" s="148"/>
      <c r="H85" s="148"/>
      <c r="I85" s="148"/>
      <c r="J85" s="148"/>
      <c r="K85" s="148">
        <v>15</v>
      </c>
      <c r="L85" s="149"/>
      <c r="M85" s="149"/>
      <c r="N85" s="149"/>
      <c r="O85" s="149"/>
      <c r="P85" s="149"/>
      <c r="Q85" s="149"/>
      <c r="R85" s="150"/>
      <c r="S85" s="150"/>
      <c r="T85" s="150"/>
      <c r="U85" s="150"/>
      <c r="V85" s="150"/>
      <c r="W85" s="150"/>
      <c r="X85" s="150"/>
      <c r="Y85" s="150"/>
      <c r="Z85" s="147"/>
      <c r="AA85" s="151"/>
      <c r="AB85" s="151"/>
      <c r="AC85" s="151"/>
      <c r="AD85" s="151"/>
    </row>
    <row r="86" spans="1:30" s="152" customFormat="1" x14ac:dyDescent="0.35">
      <c r="A86" s="10">
        <v>10</v>
      </c>
      <c r="B86" s="90" t="s">
        <v>114</v>
      </c>
      <c r="C86" s="147"/>
      <c r="D86" s="147">
        <v>15</v>
      </c>
      <c r="E86" s="148"/>
      <c r="F86" s="148"/>
      <c r="G86" s="148"/>
      <c r="H86" s="148"/>
      <c r="I86" s="148"/>
      <c r="J86" s="148"/>
      <c r="K86" s="148">
        <v>15</v>
      </c>
      <c r="L86" s="149"/>
      <c r="M86" s="149"/>
      <c r="N86" s="149"/>
      <c r="O86" s="149"/>
      <c r="P86" s="149"/>
      <c r="Q86" s="149"/>
      <c r="R86" s="150"/>
      <c r="S86" s="150"/>
      <c r="T86" s="150"/>
      <c r="U86" s="150"/>
      <c r="V86" s="150"/>
      <c r="W86" s="150"/>
      <c r="X86" s="150"/>
      <c r="Y86" s="150"/>
      <c r="Z86" s="147"/>
      <c r="AA86" s="151"/>
      <c r="AB86" s="151"/>
      <c r="AC86" s="151"/>
      <c r="AD86" s="151"/>
    </row>
    <row r="87" spans="1:30" s="152" customFormat="1" x14ac:dyDescent="0.35">
      <c r="A87" s="10">
        <v>50</v>
      </c>
      <c r="B87" s="133" t="s">
        <v>115</v>
      </c>
      <c r="C87" s="147"/>
      <c r="D87" s="147">
        <f t="shared" ref="D87:D90" si="13">SUM(E87:K87,S87,Z87)</f>
        <v>139</v>
      </c>
      <c r="E87" s="148"/>
      <c r="F87" s="148"/>
      <c r="G87" s="148"/>
      <c r="H87" s="148">
        <v>64</v>
      </c>
      <c r="I87" s="148">
        <v>60</v>
      </c>
      <c r="J87" s="148"/>
      <c r="K87" s="148"/>
      <c r="L87" s="149">
        <v>1</v>
      </c>
      <c r="M87" s="149">
        <v>3</v>
      </c>
      <c r="N87" s="153"/>
      <c r="O87" s="149"/>
      <c r="P87" s="149"/>
      <c r="Q87" s="149">
        <v>1</v>
      </c>
      <c r="R87" s="150">
        <v>1</v>
      </c>
      <c r="S87" s="150">
        <v>15</v>
      </c>
      <c r="T87" s="150"/>
      <c r="U87" s="150"/>
      <c r="V87" s="150"/>
      <c r="W87" s="150"/>
      <c r="X87" s="150"/>
      <c r="Y87" s="150"/>
      <c r="Z87" s="147"/>
      <c r="AA87" s="151"/>
      <c r="AB87" s="151"/>
      <c r="AC87" s="151"/>
      <c r="AD87" s="151"/>
    </row>
    <row r="88" spans="1:30" s="152" customFormat="1" x14ac:dyDescent="0.35">
      <c r="A88" s="10">
        <v>405</v>
      </c>
      <c r="B88" s="90" t="s">
        <v>116</v>
      </c>
      <c r="C88" s="147"/>
      <c r="D88" s="147">
        <f t="shared" si="13"/>
        <v>643</v>
      </c>
      <c r="E88" s="148"/>
      <c r="F88" s="148"/>
      <c r="G88" s="148"/>
      <c r="H88" s="148">
        <v>416</v>
      </c>
      <c r="I88" s="148">
        <v>98</v>
      </c>
      <c r="J88" s="148"/>
      <c r="K88" s="148"/>
      <c r="L88" s="154">
        <v>1</v>
      </c>
      <c r="M88" s="154">
        <v>3</v>
      </c>
      <c r="N88" s="154"/>
      <c r="O88" s="154"/>
      <c r="P88" s="154"/>
      <c r="Q88" s="154">
        <v>1</v>
      </c>
      <c r="R88" s="150">
        <v>8</v>
      </c>
      <c r="S88" s="150">
        <v>71</v>
      </c>
      <c r="T88" s="150"/>
      <c r="U88" s="150"/>
      <c r="V88" s="150"/>
      <c r="W88" s="150"/>
      <c r="X88" s="150"/>
      <c r="Y88" s="150"/>
      <c r="Z88" s="147">
        <v>58</v>
      </c>
      <c r="AA88" s="155"/>
      <c r="AB88" s="155"/>
      <c r="AC88" s="155"/>
      <c r="AD88" s="155"/>
    </row>
    <row r="89" spans="1:30" s="152" customFormat="1" x14ac:dyDescent="0.35">
      <c r="A89" s="10" t="s">
        <v>117</v>
      </c>
      <c r="B89" s="90" t="s">
        <v>118</v>
      </c>
      <c r="C89" s="147"/>
      <c r="D89" s="147">
        <f t="shared" si="13"/>
        <v>1277</v>
      </c>
      <c r="E89" s="148"/>
      <c r="F89" s="148">
        <v>80</v>
      </c>
      <c r="G89" s="148"/>
      <c r="H89" s="148">
        <v>656</v>
      </c>
      <c r="I89" s="148">
        <v>381</v>
      </c>
      <c r="J89" s="148"/>
      <c r="K89" s="148"/>
      <c r="L89" s="154">
        <v>2</v>
      </c>
      <c r="M89" s="154">
        <v>6</v>
      </c>
      <c r="N89" s="154"/>
      <c r="O89" s="154"/>
      <c r="P89" s="154"/>
      <c r="Q89" s="154">
        <v>4</v>
      </c>
      <c r="R89" s="150"/>
      <c r="S89" s="150">
        <v>141</v>
      </c>
      <c r="T89" s="150"/>
      <c r="U89" s="150"/>
      <c r="V89" s="150"/>
      <c r="W89" s="150"/>
      <c r="X89" s="150"/>
      <c r="Y89" s="150"/>
      <c r="Z89" s="147">
        <v>19</v>
      </c>
      <c r="AA89" s="155"/>
      <c r="AB89" s="155"/>
      <c r="AC89" s="155"/>
      <c r="AD89" s="155"/>
    </row>
    <row r="90" spans="1:30" s="152" customFormat="1" x14ac:dyDescent="0.35">
      <c r="A90" s="156">
        <v>410</v>
      </c>
      <c r="B90" s="133" t="s">
        <v>119</v>
      </c>
      <c r="C90" s="157"/>
      <c r="D90" s="157">
        <f t="shared" si="13"/>
        <v>874</v>
      </c>
      <c r="E90" s="148"/>
      <c r="F90" s="148">
        <v>197</v>
      </c>
      <c r="G90" s="148"/>
      <c r="H90" s="148">
        <v>332</v>
      </c>
      <c r="I90" s="148">
        <v>243</v>
      </c>
      <c r="J90" s="148"/>
      <c r="K90" s="148"/>
      <c r="L90" s="154">
        <v>8</v>
      </c>
      <c r="M90" s="154"/>
      <c r="N90" s="154"/>
      <c r="O90" s="154"/>
      <c r="P90" s="154"/>
      <c r="Q90" s="154">
        <v>4</v>
      </c>
      <c r="R90" s="150"/>
      <c r="S90" s="150">
        <v>102</v>
      </c>
      <c r="T90" s="150"/>
      <c r="U90" s="150"/>
      <c r="V90" s="150"/>
      <c r="W90" s="150"/>
      <c r="X90" s="150"/>
      <c r="Y90" s="150"/>
      <c r="Z90" s="157"/>
      <c r="AA90" s="155"/>
      <c r="AB90" s="155"/>
      <c r="AC90" s="155"/>
      <c r="AD90" s="155"/>
    </row>
    <row r="91" spans="1:30" s="152" customFormat="1" x14ac:dyDescent="0.35">
      <c r="A91" s="10">
        <v>414</v>
      </c>
      <c r="B91" s="133" t="s">
        <v>120</v>
      </c>
      <c r="C91" s="147"/>
      <c r="D91" s="158"/>
      <c r="E91" s="148"/>
      <c r="F91" s="148"/>
      <c r="G91" s="148"/>
      <c r="H91" s="148"/>
      <c r="I91" s="148"/>
      <c r="J91" s="148"/>
      <c r="K91" s="148"/>
      <c r="L91" s="149"/>
      <c r="M91" s="149"/>
      <c r="N91" s="149"/>
      <c r="O91" s="149"/>
      <c r="P91" s="149"/>
      <c r="Q91" s="149"/>
      <c r="R91" s="150"/>
      <c r="S91" s="150"/>
      <c r="T91" s="150"/>
      <c r="U91" s="150"/>
      <c r="V91" s="150"/>
      <c r="W91" s="150"/>
      <c r="X91" s="150"/>
      <c r="Y91" s="150"/>
      <c r="Z91" s="147"/>
      <c r="AA91" s="155"/>
      <c r="AB91" s="155"/>
      <c r="AC91" s="155">
        <v>1</v>
      </c>
      <c r="AD91" s="155">
        <v>3</v>
      </c>
    </row>
    <row r="92" spans="1:30" s="152" customFormat="1" x14ac:dyDescent="0.35">
      <c r="A92" s="10">
        <v>422</v>
      </c>
      <c r="B92" s="133" t="s">
        <v>121</v>
      </c>
      <c r="C92" s="147"/>
      <c r="D92" s="147">
        <f t="shared" ref="D92:D97" si="14">SUM(E92:K92,S92,Z92)</f>
        <v>412</v>
      </c>
      <c r="E92" s="148"/>
      <c r="F92" s="148">
        <v>137</v>
      </c>
      <c r="G92" s="148"/>
      <c r="H92" s="148">
        <f>74+7+40</f>
        <v>121</v>
      </c>
      <c r="I92" s="148">
        <v>69</v>
      </c>
      <c r="J92" s="148"/>
      <c r="K92" s="148"/>
      <c r="L92" s="149">
        <v>1</v>
      </c>
      <c r="M92" s="149">
        <v>3</v>
      </c>
      <c r="N92" s="149"/>
      <c r="O92" s="149"/>
      <c r="P92" s="149"/>
      <c r="Q92" s="149">
        <v>1</v>
      </c>
      <c r="R92" s="150">
        <v>5</v>
      </c>
      <c r="S92" s="150">
        <v>85</v>
      </c>
      <c r="T92" s="150"/>
      <c r="U92" s="150"/>
      <c r="V92" s="150"/>
      <c r="W92" s="150"/>
      <c r="X92" s="150"/>
      <c r="Y92" s="150"/>
      <c r="Z92" s="147"/>
      <c r="AA92" s="155"/>
      <c r="AB92" s="155"/>
      <c r="AC92" s="155"/>
      <c r="AD92" s="155"/>
    </row>
    <row r="93" spans="1:30" s="152" customFormat="1" x14ac:dyDescent="0.35">
      <c r="A93" s="10">
        <v>424</v>
      </c>
      <c r="B93" s="133" t="s">
        <v>122</v>
      </c>
      <c r="C93" s="147"/>
      <c r="D93" s="147">
        <f t="shared" si="14"/>
        <v>247</v>
      </c>
      <c r="E93" s="148"/>
      <c r="F93" s="148"/>
      <c r="G93" s="148"/>
      <c r="H93" s="148">
        <v>144</v>
      </c>
      <c r="I93" s="148">
        <v>91</v>
      </c>
      <c r="J93" s="148"/>
      <c r="K93" s="148"/>
      <c r="L93" s="149">
        <v>1</v>
      </c>
      <c r="M93" s="149">
        <v>3</v>
      </c>
      <c r="N93" s="153"/>
      <c r="O93" s="149"/>
      <c r="P93" s="149"/>
      <c r="Q93" s="149">
        <v>1</v>
      </c>
      <c r="R93" s="150">
        <v>4</v>
      </c>
      <c r="S93" s="150">
        <v>12</v>
      </c>
      <c r="T93" s="150"/>
      <c r="U93" s="150"/>
      <c r="V93" s="150"/>
      <c r="W93" s="150"/>
      <c r="X93" s="150"/>
      <c r="Y93" s="150"/>
      <c r="Z93" s="147"/>
      <c r="AA93" s="151"/>
      <c r="AB93" s="151"/>
      <c r="AC93" s="151"/>
      <c r="AD93" s="151"/>
    </row>
    <row r="94" spans="1:30" s="152" customFormat="1" x14ac:dyDescent="0.35">
      <c r="A94" s="10">
        <v>426</v>
      </c>
      <c r="B94" s="133" t="s">
        <v>123</v>
      </c>
      <c r="C94" s="147"/>
      <c r="D94" s="147">
        <f t="shared" si="14"/>
        <v>1074</v>
      </c>
      <c r="E94" s="148"/>
      <c r="F94" s="148"/>
      <c r="G94" s="148"/>
      <c r="H94" s="148">
        <f>618+113+38+109</f>
        <v>878</v>
      </c>
      <c r="I94" s="148"/>
      <c r="J94" s="148"/>
      <c r="K94" s="148"/>
      <c r="L94" s="149">
        <v>4</v>
      </c>
      <c r="M94" s="149">
        <v>12</v>
      </c>
      <c r="N94" s="149"/>
      <c r="O94" s="149"/>
      <c r="P94" s="149"/>
      <c r="Q94" s="149">
        <v>1</v>
      </c>
      <c r="R94" s="150">
        <v>8</v>
      </c>
      <c r="S94" s="150">
        <f>109+28+25+34</f>
        <v>196</v>
      </c>
      <c r="T94" s="150"/>
      <c r="U94" s="150"/>
      <c r="V94" s="150"/>
      <c r="W94" s="150"/>
      <c r="X94" s="150"/>
      <c r="Y94" s="150"/>
      <c r="Z94" s="147"/>
      <c r="AA94" s="151"/>
      <c r="AB94" s="151"/>
      <c r="AC94" s="151"/>
      <c r="AD94" s="151"/>
    </row>
    <row r="95" spans="1:30" s="152" customFormat="1" x14ac:dyDescent="0.35">
      <c r="A95" s="10">
        <v>426</v>
      </c>
      <c r="B95" s="133" t="s">
        <v>124</v>
      </c>
      <c r="C95" s="147"/>
      <c r="D95" s="147">
        <f t="shared" si="14"/>
        <v>108</v>
      </c>
      <c r="E95" s="148"/>
      <c r="F95" s="148"/>
      <c r="G95" s="148"/>
      <c r="H95" s="148">
        <v>65</v>
      </c>
      <c r="I95" s="148"/>
      <c r="J95" s="148"/>
      <c r="K95" s="148"/>
      <c r="L95" s="149"/>
      <c r="M95" s="149"/>
      <c r="N95" s="149"/>
      <c r="O95" s="149"/>
      <c r="P95" s="149"/>
      <c r="Q95" s="149">
        <v>1</v>
      </c>
      <c r="R95" s="150">
        <v>2</v>
      </c>
      <c r="S95" s="150">
        <v>43</v>
      </c>
      <c r="T95" s="150"/>
      <c r="U95" s="150"/>
      <c r="V95" s="150"/>
      <c r="W95" s="150"/>
      <c r="X95" s="150"/>
      <c r="Y95" s="150"/>
      <c r="Z95" s="147"/>
      <c r="AA95" s="151"/>
      <c r="AB95" s="151"/>
      <c r="AC95" s="151"/>
      <c r="AD95" s="151"/>
    </row>
    <row r="96" spans="1:30" s="152" customFormat="1" x14ac:dyDescent="0.35">
      <c r="A96" s="10">
        <v>435</v>
      </c>
      <c r="B96" s="133" t="s">
        <v>125</v>
      </c>
      <c r="C96" s="147"/>
      <c r="D96" s="147">
        <f t="shared" si="14"/>
        <v>97</v>
      </c>
      <c r="E96" s="148"/>
      <c r="F96" s="148"/>
      <c r="G96" s="148"/>
      <c r="H96" s="148">
        <v>79</v>
      </c>
      <c r="I96" s="148"/>
      <c r="J96" s="148"/>
      <c r="K96" s="148"/>
      <c r="L96" s="149">
        <v>1</v>
      </c>
      <c r="M96" s="149">
        <v>3</v>
      </c>
      <c r="N96" s="149"/>
      <c r="O96" s="149"/>
      <c r="P96" s="149"/>
      <c r="Q96" s="149"/>
      <c r="R96" s="150">
        <v>3</v>
      </c>
      <c r="S96" s="150">
        <v>18</v>
      </c>
      <c r="T96" s="150"/>
      <c r="U96" s="150"/>
      <c r="V96" s="150"/>
      <c r="W96" s="150"/>
      <c r="X96" s="150"/>
      <c r="Y96" s="150"/>
      <c r="Z96" s="147"/>
      <c r="AA96" s="151"/>
      <c r="AB96" s="151"/>
      <c r="AC96" s="151"/>
      <c r="AD96" s="151"/>
    </row>
    <row r="97" spans="1:30" s="152" customFormat="1" x14ac:dyDescent="0.35">
      <c r="A97" s="10" t="s">
        <v>126</v>
      </c>
      <c r="B97" s="133" t="s">
        <v>127</v>
      </c>
      <c r="C97" s="147"/>
      <c r="D97" s="147">
        <f t="shared" si="14"/>
        <v>18.220600000000001</v>
      </c>
      <c r="E97" s="148"/>
      <c r="F97" s="148"/>
      <c r="G97" s="148"/>
      <c r="H97" s="148">
        <f>3.91*4.66</f>
        <v>18.220600000000001</v>
      </c>
      <c r="I97" s="148"/>
      <c r="J97" s="148"/>
      <c r="K97" s="148"/>
      <c r="L97" s="149"/>
      <c r="M97" s="149"/>
      <c r="N97" s="153"/>
      <c r="O97" s="149"/>
      <c r="P97" s="149"/>
      <c r="Q97" s="149"/>
      <c r="R97" s="150"/>
      <c r="S97" s="150"/>
      <c r="T97" s="150"/>
      <c r="U97" s="150"/>
      <c r="V97" s="150"/>
      <c r="W97" s="150"/>
      <c r="X97" s="150"/>
      <c r="Y97" s="150"/>
      <c r="Z97" s="147"/>
      <c r="AA97" s="151"/>
      <c r="AB97" s="151"/>
      <c r="AC97" s="151"/>
      <c r="AD97" s="151"/>
    </row>
    <row r="98" spans="1:30" s="152" customFormat="1" ht="25.8" x14ac:dyDescent="0.35">
      <c r="A98" s="159">
        <v>436</v>
      </c>
      <c r="B98" s="160" t="s">
        <v>128</v>
      </c>
      <c r="C98" s="147"/>
      <c r="D98" s="158"/>
      <c r="E98" s="148"/>
      <c r="F98" s="148"/>
      <c r="G98" s="148"/>
      <c r="H98" s="148"/>
      <c r="I98" s="148"/>
      <c r="J98" s="148"/>
      <c r="K98" s="148"/>
      <c r="L98" s="149">
        <v>2</v>
      </c>
      <c r="M98" s="149">
        <v>6</v>
      </c>
      <c r="N98" s="149"/>
      <c r="O98" s="149"/>
      <c r="P98" s="149"/>
      <c r="Q98" s="149"/>
      <c r="R98" s="150"/>
      <c r="S98" s="150"/>
      <c r="T98" s="150"/>
      <c r="U98" s="150"/>
      <c r="V98" s="150"/>
      <c r="W98" s="150"/>
      <c r="X98" s="150"/>
      <c r="Y98" s="150"/>
      <c r="Z98" s="147"/>
      <c r="AA98" s="151"/>
      <c r="AB98" s="151"/>
      <c r="AC98" s="151"/>
      <c r="AD98" s="151"/>
    </row>
    <row r="99" spans="1:30" s="152" customFormat="1" x14ac:dyDescent="0.35">
      <c r="A99" s="10">
        <v>444</v>
      </c>
      <c r="B99" s="133" t="s">
        <v>129</v>
      </c>
      <c r="C99" s="147"/>
      <c r="D99" s="147">
        <f>SUM(E99:K99, S99, Z99)</f>
        <v>54</v>
      </c>
      <c r="E99" s="148"/>
      <c r="F99" s="148"/>
      <c r="G99" s="148"/>
      <c r="H99" s="148">
        <v>15</v>
      </c>
      <c r="I99" s="148">
        <v>25</v>
      </c>
      <c r="J99" s="148"/>
      <c r="K99" s="148"/>
      <c r="L99" s="149"/>
      <c r="M99" s="149"/>
      <c r="N99" s="149"/>
      <c r="O99" s="149"/>
      <c r="P99" s="149"/>
      <c r="Q99" s="149">
        <v>1</v>
      </c>
      <c r="R99" s="150">
        <v>2</v>
      </c>
      <c r="S99" s="150">
        <v>14</v>
      </c>
      <c r="T99" s="150"/>
      <c r="U99" s="150"/>
      <c r="V99" s="150"/>
      <c r="W99" s="150"/>
      <c r="X99" s="150"/>
      <c r="Y99" s="150"/>
      <c r="Z99" s="147"/>
      <c r="AA99" s="151"/>
      <c r="AB99" s="151"/>
      <c r="AC99" s="151"/>
      <c r="AD99" s="151"/>
    </row>
    <row r="100" spans="1:30" s="152" customFormat="1" x14ac:dyDescent="0.35">
      <c r="A100" s="10">
        <v>459</v>
      </c>
      <c r="B100" s="133" t="s">
        <v>130</v>
      </c>
      <c r="C100" s="147"/>
      <c r="D100" s="147">
        <f>SUM(E100:K100, S100, Z100)</f>
        <v>215</v>
      </c>
      <c r="E100" s="148"/>
      <c r="F100" s="148"/>
      <c r="G100" s="148"/>
      <c r="H100" s="148"/>
      <c r="I100" s="148">
        <v>145</v>
      </c>
      <c r="J100" s="148"/>
      <c r="K100" s="148"/>
      <c r="L100" s="149"/>
      <c r="M100" s="149"/>
      <c r="N100" s="149"/>
      <c r="O100" s="149"/>
      <c r="P100" s="149"/>
      <c r="Q100" s="149">
        <v>1</v>
      </c>
      <c r="R100" s="150">
        <v>2</v>
      </c>
      <c r="S100" s="150">
        <v>70</v>
      </c>
      <c r="T100" s="150"/>
      <c r="U100" s="150"/>
      <c r="V100" s="150"/>
      <c r="W100" s="150"/>
      <c r="X100" s="150"/>
      <c r="Y100" s="150"/>
      <c r="Z100" s="147"/>
      <c r="AA100" s="151"/>
      <c r="AB100" s="151"/>
      <c r="AC100" s="151"/>
      <c r="AD100" s="151"/>
    </row>
    <row r="101" spans="1:30" s="152" customFormat="1" x14ac:dyDescent="0.35">
      <c r="A101" s="10">
        <v>460</v>
      </c>
      <c r="B101" s="133" t="s">
        <v>131</v>
      </c>
      <c r="C101" s="147"/>
      <c r="D101" s="147">
        <f>SUM(E101:K101, S101, Z101)</f>
        <v>65</v>
      </c>
      <c r="E101" s="148"/>
      <c r="F101" s="148"/>
      <c r="G101" s="148"/>
      <c r="H101" s="148"/>
      <c r="I101" s="148">
        <v>57</v>
      </c>
      <c r="J101" s="148"/>
      <c r="K101" s="148"/>
      <c r="L101" s="149"/>
      <c r="M101" s="149"/>
      <c r="N101" s="149"/>
      <c r="O101" s="149"/>
      <c r="P101" s="149"/>
      <c r="Q101" s="149">
        <v>1</v>
      </c>
      <c r="R101" s="150">
        <v>2</v>
      </c>
      <c r="S101" s="150">
        <v>8</v>
      </c>
      <c r="T101" s="150"/>
      <c r="U101" s="150"/>
      <c r="V101" s="150"/>
      <c r="W101" s="150"/>
      <c r="X101" s="150"/>
      <c r="Y101" s="150"/>
      <c r="Z101" s="147"/>
      <c r="AA101" s="151"/>
      <c r="AB101" s="151"/>
      <c r="AC101" s="151"/>
      <c r="AD101" s="151"/>
    </row>
    <row r="102" spans="1:30" s="152" customFormat="1" x14ac:dyDescent="0.35">
      <c r="A102" s="10">
        <v>462</v>
      </c>
      <c r="B102" s="133" t="s">
        <v>132</v>
      </c>
      <c r="C102" s="147"/>
      <c r="D102" s="147">
        <f>SUM(E102:K102, S102, Z102)</f>
        <v>316</v>
      </c>
      <c r="E102" s="148"/>
      <c r="F102" s="148"/>
      <c r="G102" s="148"/>
      <c r="H102" s="148">
        <v>16</v>
      </c>
      <c r="I102" s="148">
        <v>278</v>
      </c>
      <c r="J102" s="148"/>
      <c r="K102" s="148"/>
      <c r="L102" s="149"/>
      <c r="M102" s="149"/>
      <c r="N102" s="149"/>
      <c r="O102" s="149"/>
      <c r="P102" s="149"/>
      <c r="Q102" s="149">
        <v>1</v>
      </c>
      <c r="R102" s="150">
        <v>2</v>
      </c>
      <c r="S102" s="150">
        <v>22</v>
      </c>
      <c r="T102" s="150"/>
      <c r="U102" s="150"/>
      <c r="V102" s="150"/>
      <c r="W102" s="150"/>
      <c r="X102" s="150"/>
      <c r="Y102" s="150"/>
      <c r="Z102" s="147"/>
      <c r="AA102" s="151"/>
      <c r="AB102" s="151"/>
      <c r="AC102" s="151"/>
      <c r="AD102" s="151"/>
    </row>
    <row r="103" spans="1:30" s="152" customFormat="1" x14ac:dyDescent="0.35">
      <c r="A103" s="10">
        <v>463</v>
      </c>
      <c r="B103" s="133" t="s">
        <v>133</v>
      </c>
      <c r="C103" s="147"/>
      <c r="D103" s="147">
        <f>SUM(E103:K103,S103,Z103)</f>
        <v>40</v>
      </c>
      <c r="E103" s="148"/>
      <c r="F103" s="148"/>
      <c r="G103" s="148"/>
      <c r="H103" s="148"/>
      <c r="I103" s="148"/>
      <c r="J103" s="148"/>
      <c r="K103" s="148"/>
      <c r="L103" s="149"/>
      <c r="M103" s="149"/>
      <c r="N103" s="149"/>
      <c r="O103" s="149"/>
      <c r="P103" s="149"/>
      <c r="Q103" s="149"/>
      <c r="R103" s="150">
        <v>2</v>
      </c>
      <c r="S103" s="150">
        <v>40</v>
      </c>
      <c r="T103" s="150"/>
      <c r="U103" s="150"/>
      <c r="V103" s="150"/>
      <c r="W103" s="150"/>
      <c r="X103" s="150"/>
      <c r="Y103" s="150"/>
      <c r="Z103" s="147"/>
      <c r="AA103" s="151"/>
      <c r="AB103" s="151"/>
      <c r="AC103" s="151"/>
      <c r="AD103" s="151"/>
    </row>
    <row r="104" spans="1:30" s="152" customFormat="1" x14ac:dyDescent="0.35">
      <c r="A104" s="10">
        <v>465</v>
      </c>
      <c r="B104" s="133" t="s">
        <v>134</v>
      </c>
      <c r="C104" s="147"/>
      <c r="D104" s="147">
        <f>SUM(E104:K104,S104,Z104)</f>
        <v>368</v>
      </c>
      <c r="E104" s="148"/>
      <c r="F104" s="148"/>
      <c r="G104" s="148"/>
      <c r="H104" s="148">
        <v>204</v>
      </c>
      <c r="I104" s="148">
        <f>52+25+9+8+8+14+12</f>
        <v>128</v>
      </c>
      <c r="J104" s="148"/>
      <c r="K104" s="148"/>
      <c r="L104" s="149">
        <v>2</v>
      </c>
      <c r="M104" s="149">
        <v>6</v>
      </c>
      <c r="N104" s="153"/>
      <c r="O104" s="149"/>
      <c r="P104" s="149"/>
      <c r="Q104" s="149"/>
      <c r="R104" s="150">
        <v>4</v>
      </c>
      <c r="S104" s="150">
        <v>36</v>
      </c>
      <c r="T104" s="150"/>
      <c r="U104" s="150"/>
      <c r="V104" s="150"/>
      <c r="W104" s="150"/>
      <c r="X104" s="150"/>
      <c r="Y104" s="150"/>
      <c r="Z104" s="147"/>
      <c r="AA104" s="151"/>
      <c r="AB104" s="151"/>
      <c r="AC104" s="151"/>
      <c r="AD104" s="151"/>
    </row>
    <row r="105" spans="1:30" s="152" customFormat="1" x14ac:dyDescent="0.35">
      <c r="A105" s="10">
        <v>469</v>
      </c>
      <c r="B105" s="133" t="s">
        <v>135</v>
      </c>
      <c r="C105" s="147"/>
      <c r="D105" s="147">
        <f>SUM(E105:K105,S105,Z105)</f>
        <v>230</v>
      </c>
      <c r="E105" s="148"/>
      <c r="F105" s="148"/>
      <c r="G105" s="148"/>
      <c r="H105" s="148">
        <v>62</v>
      </c>
      <c r="I105" s="148">
        <f>26*6</f>
        <v>156</v>
      </c>
      <c r="J105" s="148"/>
      <c r="K105" s="148"/>
      <c r="L105" s="149">
        <v>1</v>
      </c>
      <c r="M105" s="149">
        <v>3</v>
      </c>
      <c r="N105" s="153"/>
      <c r="O105" s="149"/>
      <c r="P105" s="149"/>
      <c r="Q105" s="149"/>
      <c r="R105" s="150"/>
      <c r="S105" s="150"/>
      <c r="T105" s="150"/>
      <c r="U105" s="150"/>
      <c r="V105" s="150"/>
      <c r="W105" s="150"/>
      <c r="X105" s="150"/>
      <c r="Y105" s="150"/>
      <c r="Z105" s="147">
        <v>12</v>
      </c>
      <c r="AA105" s="151"/>
      <c r="AB105" s="151"/>
      <c r="AC105" s="151"/>
      <c r="AD105" s="151"/>
    </row>
    <row r="106" spans="1:30" s="152" customFormat="1" x14ac:dyDescent="0.35">
      <c r="A106" s="10">
        <v>476</v>
      </c>
      <c r="B106" s="133" t="s">
        <v>136</v>
      </c>
      <c r="C106" s="147"/>
      <c r="D106" s="147">
        <f>SUM(E106:K106,S106,Z106)</f>
        <v>492</v>
      </c>
      <c r="E106" s="148"/>
      <c r="F106" s="148"/>
      <c r="G106" s="148"/>
      <c r="H106" s="148">
        <v>465</v>
      </c>
      <c r="I106" s="148"/>
      <c r="J106" s="148"/>
      <c r="K106" s="148"/>
      <c r="L106" s="149">
        <v>1</v>
      </c>
      <c r="M106" s="149">
        <v>3</v>
      </c>
      <c r="N106" s="153"/>
      <c r="O106" s="149"/>
      <c r="P106" s="149"/>
      <c r="Q106" s="149"/>
      <c r="R106" s="150">
        <v>3</v>
      </c>
      <c r="S106" s="150">
        <v>27</v>
      </c>
      <c r="T106" s="150"/>
      <c r="U106" s="150"/>
      <c r="V106" s="150"/>
      <c r="W106" s="150"/>
      <c r="X106" s="150"/>
      <c r="Y106" s="150"/>
      <c r="Z106" s="147"/>
      <c r="AA106" s="151"/>
      <c r="AB106" s="151"/>
      <c r="AC106" s="151"/>
      <c r="AD106" s="151"/>
    </row>
    <row r="107" spans="1:30" s="152" customFormat="1" x14ac:dyDescent="0.35">
      <c r="A107" s="10">
        <v>476</v>
      </c>
      <c r="B107" s="133" t="s">
        <v>137</v>
      </c>
      <c r="C107" s="147"/>
      <c r="D107" s="147">
        <f>SUM(E107:K107,S107,Z107)</f>
        <v>237</v>
      </c>
      <c r="E107" s="148"/>
      <c r="F107" s="148"/>
      <c r="G107" s="148"/>
      <c r="H107" s="148">
        <v>219</v>
      </c>
      <c r="I107" s="148"/>
      <c r="J107" s="148"/>
      <c r="K107" s="148"/>
      <c r="L107" s="149">
        <v>1</v>
      </c>
      <c r="M107" s="149">
        <v>3</v>
      </c>
      <c r="N107" s="149"/>
      <c r="O107" s="149"/>
      <c r="P107" s="149"/>
      <c r="Q107" s="149"/>
      <c r="R107" s="150">
        <v>4</v>
      </c>
      <c r="S107" s="150">
        <v>18</v>
      </c>
      <c r="T107" s="150"/>
      <c r="U107" s="150"/>
      <c r="V107" s="150"/>
      <c r="W107" s="150"/>
      <c r="X107" s="150"/>
      <c r="Y107" s="150"/>
      <c r="Z107" s="147"/>
      <c r="AA107" s="151"/>
      <c r="AB107" s="151"/>
      <c r="AC107" s="151"/>
      <c r="AD107" s="151"/>
    </row>
    <row r="108" spans="1:30" s="152" customFormat="1" x14ac:dyDescent="0.35">
      <c r="A108" s="10">
        <v>494</v>
      </c>
      <c r="B108" s="133" t="s">
        <v>138</v>
      </c>
      <c r="C108" s="147"/>
      <c r="D108" s="147">
        <v>213</v>
      </c>
      <c r="E108" s="148"/>
      <c r="F108" s="148"/>
      <c r="G108" s="148"/>
      <c r="H108" s="148">
        <v>45</v>
      </c>
      <c r="I108" s="148">
        <v>168</v>
      </c>
      <c r="J108" s="148"/>
      <c r="K108" s="148"/>
      <c r="L108" s="149"/>
      <c r="M108" s="149"/>
      <c r="N108" s="149"/>
      <c r="O108" s="149"/>
      <c r="P108" s="149"/>
      <c r="Q108" s="149"/>
      <c r="R108" s="150">
        <v>1</v>
      </c>
      <c r="S108" s="150">
        <v>5</v>
      </c>
      <c r="T108" s="150"/>
      <c r="U108" s="150"/>
      <c r="V108" s="150"/>
      <c r="W108" s="150"/>
      <c r="X108" s="150"/>
      <c r="Y108" s="150"/>
      <c r="Z108" s="147"/>
      <c r="AA108" s="151"/>
      <c r="AB108" s="151"/>
      <c r="AC108" s="151"/>
      <c r="AD108" s="151"/>
    </row>
    <row r="109" spans="1:30" s="152" customFormat="1" x14ac:dyDescent="0.35">
      <c r="A109" s="10">
        <v>522</v>
      </c>
      <c r="B109" s="133" t="s">
        <v>139</v>
      </c>
      <c r="C109" s="147"/>
      <c r="D109" s="147">
        <f>SUM(E109:K109,S109,Z109)</f>
        <v>5</v>
      </c>
      <c r="E109" s="148"/>
      <c r="F109" s="148"/>
      <c r="G109" s="148"/>
      <c r="H109" s="148"/>
      <c r="I109" s="148"/>
      <c r="J109" s="148"/>
      <c r="K109" s="148"/>
      <c r="L109" s="149"/>
      <c r="M109" s="149"/>
      <c r="N109" s="149"/>
      <c r="O109" s="149"/>
      <c r="P109" s="149"/>
      <c r="Q109" s="149"/>
      <c r="R109" s="150">
        <v>1</v>
      </c>
      <c r="S109" s="150">
        <v>5</v>
      </c>
      <c r="T109" s="150"/>
      <c r="U109" s="150"/>
      <c r="V109" s="150"/>
      <c r="W109" s="150"/>
      <c r="X109" s="150"/>
      <c r="Y109" s="150"/>
      <c r="Z109" s="147"/>
      <c r="AA109" s="151"/>
      <c r="AB109" s="151"/>
      <c r="AC109" s="151"/>
      <c r="AD109" s="151"/>
    </row>
    <row r="110" spans="1:30" s="152" customFormat="1" x14ac:dyDescent="0.35">
      <c r="A110" s="10">
        <v>533</v>
      </c>
      <c r="B110" s="133" t="s">
        <v>140</v>
      </c>
      <c r="C110" s="147"/>
      <c r="D110" s="147">
        <v>62</v>
      </c>
      <c r="E110" s="148"/>
      <c r="F110" s="148"/>
      <c r="G110" s="148"/>
      <c r="H110" s="148"/>
      <c r="I110" s="148"/>
      <c r="J110" s="148"/>
      <c r="K110" s="148"/>
      <c r="L110" s="149"/>
      <c r="M110" s="149"/>
      <c r="N110" s="149"/>
      <c r="O110" s="149"/>
      <c r="P110" s="149"/>
      <c r="Q110" s="149"/>
      <c r="R110" s="150">
        <v>5</v>
      </c>
      <c r="S110" s="150">
        <v>62</v>
      </c>
      <c r="T110" s="150"/>
      <c r="U110" s="150"/>
      <c r="V110" s="150"/>
      <c r="W110" s="150"/>
      <c r="X110" s="150"/>
      <c r="Y110" s="150"/>
      <c r="Z110" s="147"/>
      <c r="AA110" s="151"/>
      <c r="AB110" s="151"/>
      <c r="AC110" s="151">
        <v>1</v>
      </c>
      <c r="AD110" s="151">
        <v>3</v>
      </c>
    </row>
    <row r="111" spans="1:30" s="152" customFormat="1" x14ac:dyDescent="0.35">
      <c r="A111" s="10">
        <v>537</v>
      </c>
      <c r="B111" s="133" t="s">
        <v>141</v>
      </c>
      <c r="C111" s="147"/>
      <c r="D111" s="147">
        <f>SUM(E111:K111,S111,Z111)</f>
        <v>1535</v>
      </c>
      <c r="E111" s="148"/>
      <c r="F111" s="148">
        <v>24</v>
      </c>
      <c r="G111" s="148"/>
      <c r="H111" s="148">
        <v>450</v>
      </c>
      <c r="I111" s="148">
        <v>906</v>
      </c>
      <c r="J111" s="148"/>
      <c r="K111" s="148"/>
      <c r="L111" s="149">
        <v>3</v>
      </c>
      <c r="M111" s="149">
        <v>12</v>
      </c>
      <c r="N111" s="149"/>
      <c r="O111" s="149"/>
      <c r="P111" s="149"/>
      <c r="Q111" s="149">
        <v>3</v>
      </c>
      <c r="R111" s="150">
        <v>6</v>
      </c>
      <c r="S111" s="150">
        <v>110</v>
      </c>
      <c r="T111" s="150"/>
      <c r="U111" s="150"/>
      <c r="V111" s="150"/>
      <c r="W111" s="150"/>
      <c r="X111" s="150"/>
      <c r="Y111" s="150"/>
      <c r="Z111" s="147">
        <v>45</v>
      </c>
      <c r="AA111" s="151"/>
      <c r="AB111" s="151"/>
      <c r="AC111" s="151"/>
      <c r="AD111" s="151"/>
    </row>
    <row r="112" spans="1:30" s="152" customFormat="1" x14ac:dyDescent="0.35">
      <c r="A112" s="10">
        <v>542</v>
      </c>
      <c r="B112" s="133" t="s">
        <v>142</v>
      </c>
      <c r="C112" s="147"/>
      <c r="D112" s="147">
        <f>SUM(E112:K112,S112,Z112)</f>
        <v>335</v>
      </c>
      <c r="E112" s="148"/>
      <c r="F112" s="148">
        <v>133</v>
      </c>
      <c r="G112" s="148"/>
      <c r="H112" s="148">
        <v>99</v>
      </c>
      <c r="I112" s="148">
        <v>96</v>
      </c>
      <c r="J112" s="148"/>
      <c r="K112" s="148"/>
      <c r="L112" s="149">
        <v>1</v>
      </c>
      <c r="M112" s="149">
        <v>3</v>
      </c>
      <c r="N112" s="149"/>
      <c r="O112" s="149"/>
      <c r="P112" s="149"/>
      <c r="Q112" s="149"/>
      <c r="R112" s="150">
        <v>1</v>
      </c>
      <c r="S112" s="150">
        <v>7</v>
      </c>
      <c r="T112" s="150"/>
      <c r="U112" s="150"/>
      <c r="V112" s="150"/>
      <c r="W112" s="150"/>
      <c r="X112" s="150"/>
      <c r="Y112" s="150"/>
      <c r="Z112" s="147"/>
      <c r="AA112" s="151"/>
      <c r="AB112" s="151"/>
      <c r="AC112" s="151"/>
      <c r="AD112" s="151"/>
    </row>
    <row r="113" spans="1:30" s="152" customFormat="1" x14ac:dyDescent="0.35">
      <c r="A113" s="10">
        <v>544</v>
      </c>
      <c r="B113" s="133" t="s">
        <v>143</v>
      </c>
      <c r="C113" s="147"/>
      <c r="D113" s="147">
        <f>SUM(E113:K113,S113,Z113)</f>
        <v>131</v>
      </c>
      <c r="E113" s="148"/>
      <c r="F113" s="148"/>
      <c r="G113" s="148"/>
      <c r="H113" s="148">
        <v>31</v>
      </c>
      <c r="I113" s="148"/>
      <c r="J113" s="148"/>
      <c r="K113" s="148"/>
      <c r="L113" s="149"/>
      <c r="M113" s="149"/>
      <c r="N113" s="149"/>
      <c r="O113" s="149"/>
      <c r="P113" s="149"/>
      <c r="Q113" s="149"/>
      <c r="R113" s="150">
        <v>2</v>
      </c>
      <c r="S113" s="150">
        <v>100</v>
      </c>
      <c r="T113" s="150"/>
      <c r="U113" s="150"/>
      <c r="V113" s="150"/>
      <c r="W113" s="150"/>
      <c r="X113" s="150"/>
      <c r="Y113" s="150"/>
      <c r="Z113" s="147"/>
      <c r="AA113" s="151"/>
      <c r="AB113" s="151"/>
      <c r="AC113" s="151"/>
      <c r="AD113" s="151">
        <v>2</v>
      </c>
    </row>
    <row r="114" spans="1:30" s="152" customFormat="1" x14ac:dyDescent="0.35">
      <c r="A114" s="10">
        <v>546</v>
      </c>
      <c r="B114" s="133" t="s">
        <v>144</v>
      </c>
      <c r="C114" s="147"/>
      <c r="D114" s="147">
        <f>SUM(E114:K114,S114,Z114)</f>
        <v>225</v>
      </c>
      <c r="E114" s="148"/>
      <c r="F114" s="148"/>
      <c r="G114" s="148"/>
      <c r="H114" s="148">
        <f>60+33</f>
        <v>93</v>
      </c>
      <c r="I114" s="148">
        <f>23+10+51</f>
        <v>84</v>
      </c>
      <c r="J114" s="148"/>
      <c r="K114" s="148"/>
      <c r="L114" s="149"/>
      <c r="M114" s="149"/>
      <c r="N114" s="149"/>
      <c r="O114" s="149"/>
      <c r="P114" s="149"/>
      <c r="Q114" s="149"/>
      <c r="R114" s="150">
        <v>2</v>
      </c>
      <c r="S114" s="150">
        <f>24+24</f>
        <v>48</v>
      </c>
      <c r="T114" s="150"/>
      <c r="U114" s="150"/>
      <c r="V114" s="150"/>
      <c r="W114" s="150"/>
      <c r="X114" s="150"/>
      <c r="Y114" s="150"/>
      <c r="Z114" s="147"/>
      <c r="AA114" s="151"/>
      <c r="AB114" s="151"/>
      <c r="AC114" s="151"/>
      <c r="AD114" s="151"/>
    </row>
    <row r="115" spans="1:30" s="152" customFormat="1" x14ac:dyDescent="0.35">
      <c r="A115" s="10">
        <v>548</v>
      </c>
      <c r="B115" s="133" t="s">
        <v>145</v>
      </c>
      <c r="C115" s="147"/>
      <c r="D115" s="147">
        <f>SUM(E115:K115,S115,Z115)</f>
        <v>1534</v>
      </c>
      <c r="E115" s="148"/>
      <c r="F115" s="148"/>
      <c r="G115" s="148"/>
      <c r="H115" s="148">
        <v>1320</v>
      </c>
      <c r="I115" s="148"/>
      <c r="J115" s="148"/>
      <c r="K115" s="148"/>
      <c r="L115" s="149">
        <v>1</v>
      </c>
      <c r="M115" s="149">
        <v>1</v>
      </c>
      <c r="N115" s="149"/>
      <c r="O115" s="149"/>
      <c r="P115" s="149"/>
      <c r="Q115" s="149"/>
      <c r="R115" s="150">
        <v>6</v>
      </c>
      <c r="S115" s="150">
        <v>214</v>
      </c>
      <c r="T115" s="150"/>
      <c r="U115" s="150"/>
      <c r="V115" s="150"/>
      <c r="W115" s="150"/>
      <c r="X115" s="150"/>
      <c r="Y115" s="150"/>
      <c r="Z115" s="147"/>
      <c r="AA115" s="155"/>
      <c r="AB115" s="155"/>
      <c r="AC115" s="155">
        <v>1</v>
      </c>
      <c r="AD115" s="155">
        <v>3</v>
      </c>
    </row>
    <row r="116" spans="1:30" s="152" customFormat="1" x14ac:dyDescent="0.35">
      <c r="A116" s="10">
        <v>549</v>
      </c>
      <c r="B116" s="133" t="s">
        <v>146</v>
      </c>
      <c r="C116" s="147"/>
      <c r="D116" s="158"/>
      <c r="E116" s="148"/>
      <c r="F116" s="148"/>
      <c r="G116" s="148"/>
      <c r="H116" s="148"/>
      <c r="I116" s="148"/>
      <c r="J116" s="148"/>
      <c r="K116" s="148"/>
      <c r="L116" s="149"/>
      <c r="M116" s="149"/>
      <c r="N116" s="149"/>
      <c r="O116" s="149"/>
      <c r="P116" s="149"/>
      <c r="Q116" s="149"/>
      <c r="R116" s="150"/>
      <c r="S116" s="150"/>
      <c r="T116" s="150"/>
      <c r="U116" s="150"/>
      <c r="V116" s="150"/>
      <c r="W116" s="150"/>
      <c r="X116" s="150"/>
      <c r="Y116" s="150"/>
      <c r="Z116" s="147"/>
      <c r="AA116" s="155"/>
      <c r="AB116" s="155"/>
      <c r="AC116" s="155">
        <v>1</v>
      </c>
      <c r="AD116" s="155">
        <v>3</v>
      </c>
    </row>
    <row r="117" spans="1:30" s="152" customFormat="1" x14ac:dyDescent="0.35">
      <c r="A117" s="10">
        <v>555</v>
      </c>
      <c r="B117" s="133" t="s">
        <v>147</v>
      </c>
      <c r="C117" s="147"/>
      <c r="D117" s="158"/>
      <c r="E117" s="148"/>
      <c r="F117" s="148"/>
      <c r="G117" s="148"/>
      <c r="H117" s="148"/>
      <c r="I117" s="148"/>
      <c r="J117" s="148"/>
      <c r="K117" s="148"/>
      <c r="L117" s="149"/>
      <c r="M117" s="149"/>
      <c r="N117" s="149"/>
      <c r="O117" s="149"/>
      <c r="P117" s="149"/>
      <c r="Q117" s="149"/>
      <c r="R117" s="150"/>
      <c r="S117" s="150"/>
      <c r="T117" s="150"/>
      <c r="U117" s="150"/>
      <c r="V117" s="150"/>
      <c r="W117" s="150"/>
      <c r="X117" s="150"/>
      <c r="Y117" s="150"/>
      <c r="Z117" s="147"/>
      <c r="AA117" s="155"/>
      <c r="AB117" s="155"/>
      <c r="AC117" s="155">
        <v>2</v>
      </c>
      <c r="AD117" s="155">
        <v>6</v>
      </c>
    </row>
    <row r="118" spans="1:30" s="152" customFormat="1" x14ac:dyDescent="0.35">
      <c r="A118" s="10">
        <v>560</v>
      </c>
      <c r="B118" s="133" t="s">
        <v>148</v>
      </c>
      <c r="C118" s="147"/>
      <c r="D118" s="158"/>
      <c r="E118" s="148"/>
      <c r="F118" s="148"/>
      <c r="G118" s="148"/>
      <c r="H118" s="148"/>
      <c r="I118" s="148"/>
      <c r="J118" s="148"/>
      <c r="K118" s="148"/>
      <c r="L118" s="149"/>
      <c r="M118" s="149"/>
      <c r="N118" s="149"/>
      <c r="O118" s="149"/>
      <c r="P118" s="149"/>
      <c r="Q118" s="149"/>
      <c r="R118" s="150"/>
      <c r="S118" s="150"/>
      <c r="T118" s="150"/>
      <c r="U118" s="150"/>
      <c r="V118" s="150"/>
      <c r="W118" s="150"/>
      <c r="X118" s="150"/>
      <c r="Y118" s="150"/>
      <c r="Z118" s="147"/>
      <c r="AA118" s="151"/>
      <c r="AB118" s="151"/>
      <c r="AC118" s="151">
        <v>3</v>
      </c>
      <c r="AD118" s="151">
        <v>9</v>
      </c>
    </row>
    <row r="119" spans="1:30" s="152" customFormat="1" x14ac:dyDescent="0.35">
      <c r="A119" s="10">
        <v>562</v>
      </c>
      <c r="B119" s="133" t="s">
        <v>47</v>
      </c>
      <c r="C119" s="147"/>
      <c r="D119" s="147">
        <f>SUM(E119:K119,S119,Z119,N119)</f>
        <v>927</v>
      </c>
      <c r="E119" s="148"/>
      <c r="F119" s="148"/>
      <c r="G119" s="148"/>
      <c r="H119" s="148">
        <v>853</v>
      </c>
      <c r="I119" s="148"/>
      <c r="J119" s="148"/>
      <c r="K119" s="148"/>
      <c r="L119" s="149">
        <v>1</v>
      </c>
      <c r="M119" s="149">
        <v>3</v>
      </c>
      <c r="N119" s="149">
        <v>50</v>
      </c>
      <c r="O119" s="149"/>
      <c r="P119" s="149"/>
      <c r="Q119" s="149"/>
      <c r="R119" s="150">
        <v>2</v>
      </c>
      <c r="S119" s="150">
        <v>24</v>
      </c>
      <c r="T119" s="150"/>
      <c r="U119" s="150"/>
      <c r="V119" s="150"/>
      <c r="W119" s="150"/>
      <c r="X119" s="150"/>
      <c r="Y119" s="150"/>
      <c r="Z119" s="147"/>
      <c r="AA119" s="151">
        <v>2</v>
      </c>
      <c r="AB119" s="151">
        <v>7</v>
      </c>
      <c r="AC119" s="151"/>
      <c r="AD119" s="151"/>
    </row>
    <row r="120" spans="1:30" s="152" customFormat="1" x14ac:dyDescent="0.35">
      <c r="A120" s="10">
        <v>562</v>
      </c>
      <c r="B120" s="133" t="s">
        <v>149</v>
      </c>
      <c r="C120" s="147"/>
      <c r="D120" s="147">
        <f>SUM(E120:K120,S120,Z120)</f>
        <v>7</v>
      </c>
      <c r="E120" s="148"/>
      <c r="F120" s="148"/>
      <c r="G120" s="148"/>
      <c r="H120" s="148"/>
      <c r="I120" s="148"/>
      <c r="J120" s="148"/>
      <c r="K120" s="148"/>
      <c r="L120" s="149"/>
      <c r="M120" s="149">
        <v>1</v>
      </c>
      <c r="N120" s="149"/>
      <c r="O120" s="149"/>
      <c r="P120" s="149"/>
      <c r="Q120" s="149"/>
      <c r="R120" s="150">
        <v>2</v>
      </c>
      <c r="S120" s="150">
        <v>7</v>
      </c>
      <c r="T120" s="150"/>
      <c r="U120" s="150"/>
      <c r="V120" s="150"/>
      <c r="W120" s="150"/>
      <c r="X120" s="150"/>
      <c r="Y120" s="150"/>
      <c r="Z120" s="147"/>
      <c r="AA120" s="151"/>
      <c r="AB120" s="151"/>
      <c r="AC120" s="151"/>
      <c r="AD120" s="151"/>
    </row>
    <row r="121" spans="1:30" s="152" customFormat="1" x14ac:dyDescent="0.35">
      <c r="A121" s="10">
        <v>564</v>
      </c>
      <c r="B121" s="133" t="s">
        <v>150</v>
      </c>
      <c r="C121" s="147"/>
      <c r="D121" s="147">
        <f>SUM(E121:K121,S121,Z121)</f>
        <v>614</v>
      </c>
      <c r="E121" s="148">
        <v>297</v>
      </c>
      <c r="F121" s="148"/>
      <c r="G121" s="148"/>
      <c r="H121" s="148">
        <v>292</v>
      </c>
      <c r="I121" s="148"/>
      <c r="J121" s="148"/>
      <c r="K121" s="148"/>
      <c r="L121" s="149">
        <v>1</v>
      </c>
      <c r="M121" s="149">
        <v>3</v>
      </c>
      <c r="N121" s="149"/>
      <c r="O121" s="149"/>
      <c r="P121" s="149"/>
      <c r="Q121" s="149"/>
      <c r="R121" s="150">
        <v>5</v>
      </c>
      <c r="S121" s="150">
        <v>25</v>
      </c>
      <c r="T121" s="150"/>
      <c r="U121" s="150"/>
      <c r="V121" s="150"/>
      <c r="W121" s="150"/>
      <c r="X121" s="150"/>
      <c r="Y121" s="150"/>
      <c r="Z121" s="147"/>
      <c r="AA121" s="151"/>
      <c r="AB121" s="151"/>
      <c r="AC121" s="151"/>
      <c r="AD121" s="151"/>
    </row>
    <row r="122" spans="1:30" s="152" customFormat="1" ht="25.8" x14ac:dyDescent="0.35">
      <c r="A122" s="85">
        <v>568</v>
      </c>
      <c r="B122" s="133" t="s">
        <v>151</v>
      </c>
      <c r="C122" s="147"/>
      <c r="D122" s="158"/>
      <c r="E122" s="148"/>
      <c r="F122" s="148"/>
      <c r="G122" s="148"/>
      <c r="H122" s="148"/>
      <c r="I122" s="148"/>
      <c r="J122" s="148"/>
      <c r="K122" s="148"/>
      <c r="L122" s="149">
        <v>3</v>
      </c>
      <c r="M122" s="149">
        <v>9</v>
      </c>
      <c r="N122" s="149"/>
      <c r="O122" s="149"/>
      <c r="P122" s="149"/>
      <c r="Q122" s="149"/>
      <c r="R122" s="150"/>
      <c r="S122" s="150"/>
      <c r="T122" s="150"/>
      <c r="U122" s="150"/>
      <c r="V122" s="150"/>
      <c r="W122" s="150"/>
      <c r="X122" s="150"/>
      <c r="Y122" s="150"/>
      <c r="Z122" s="147"/>
      <c r="AA122" s="151"/>
      <c r="AB122" s="151"/>
      <c r="AC122" s="151">
        <v>1</v>
      </c>
      <c r="AD122" s="151">
        <v>3</v>
      </c>
    </row>
    <row r="123" spans="1:30" s="152" customFormat="1" x14ac:dyDescent="0.35">
      <c r="A123" s="10">
        <v>568</v>
      </c>
      <c r="B123" s="133" t="s">
        <v>152</v>
      </c>
      <c r="C123" s="147"/>
      <c r="D123" s="147">
        <f t="shared" ref="D123:D129" si="15">SUM(E123:K123,S123,Z123)</f>
        <v>23</v>
      </c>
      <c r="E123" s="148"/>
      <c r="F123" s="148"/>
      <c r="G123" s="148"/>
      <c r="H123" s="148"/>
      <c r="I123" s="148"/>
      <c r="J123" s="148"/>
      <c r="K123" s="148"/>
      <c r="L123" s="149"/>
      <c r="M123" s="149"/>
      <c r="N123" s="149"/>
      <c r="O123" s="149"/>
      <c r="P123" s="149"/>
      <c r="Q123" s="149"/>
      <c r="R123" s="150">
        <v>2</v>
      </c>
      <c r="S123" s="150">
        <v>23</v>
      </c>
      <c r="T123" s="150"/>
      <c r="U123" s="150"/>
      <c r="V123" s="150"/>
      <c r="W123" s="150"/>
      <c r="X123" s="150"/>
      <c r="Y123" s="150"/>
      <c r="Z123" s="147"/>
      <c r="AA123" s="151"/>
      <c r="AB123" s="151"/>
      <c r="AC123" s="151">
        <v>1</v>
      </c>
      <c r="AD123" s="151">
        <v>3</v>
      </c>
    </row>
    <row r="124" spans="1:30" s="152" customFormat="1" x14ac:dyDescent="0.35">
      <c r="A124" s="10">
        <v>568</v>
      </c>
      <c r="B124" s="133" t="s">
        <v>153</v>
      </c>
      <c r="C124" s="147"/>
      <c r="D124" s="147">
        <f t="shared" si="15"/>
        <v>18</v>
      </c>
      <c r="E124" s="148"/>
      <c r="F124" s="148"/>
      <c r="G124" s="148"/>
      <c r="H124" s="148"/>
      <c r="I124" s="148"/>
      <c r="J124" s="148"/>
      <c r="K124" s="148"/>
      <c r="L124" s="149">
        <v>1</v>
      </c>
      <c r="M124" s="149">
        <v>3</v>
      </c>
      <c r="N124" s="149"/>
      <c r="O124" s="149"/>
      <c r="P124" s="149"/>
      <c r="Q124" s="149"/>
      <c r="R124" s="150">
        <v>2</v>
      </c>
      <c r="S124" s="150">
        <v>18</v>
      </c>
      <c r="T124" s="150"/>
      <c r="U124" s="150"/>
      <c r="V124" s="150"/>
      <c r="W124" s="150"/>
      <c r="X124" s="150"/>
      <c r="Y124" s="150"/>
      <c r="Z124" s="147"/>
      <c r="AA124" s="151"/>
      <c r="AB124" s="151"/>
      <c r="AC124" s="151">
        <v>1</v>
      </c>
      <c r="AD124" s="151">
        <v>3</v>
      </c>
    </row>
    <row r="125" spans="1:30" s="152" customFormat="1" x14ac:dyDescent="0.35">
      <c r="A125" s="10">
        <v>574</v>
      </c>
      <c r="B125" s="133" t="s">
        <v>154</v>
      </c>
      <c r="C125" s="147"/>
      <c r="D125" s="147">
        <f t="shared" si="15"/>
        <v>23</v>
      </c>
      <c r="E125" s="148"/>
      <c r="F125" s="148"/>
      <c r="G125" s="148"/>
      <c r="H125" s="148"/>
      <c r="I125" s="148"/>
      <c r="J125" s="148"/>
      <c r="K125" s="148"/>
      <c r="L125" s="149"/>
      <c r="M125" s="149"/>
      <c r="N125" s="149"/>
      <c r="O125" s="149"/>
      <c r="P125" s="149"/>
      <c r="Q125" s="149"/>
      <c r="R125" s="150">
        <v>2</v>
      </c>
      <c r="S125" s="150">
        <v>23</v>
      </c>
      <c r="T125" s="150"/>
      <c r="U125" s="150"/>
      <c r="V125" s="150"/>
      <c r="W125" s="150"/>
      <c r="X125" s="150"/>
      <c r="Y125" s="150"/>
      <c r="Z125" s="147"/>
      <c r="AA125" s="151"/>
      <c r="AB125" s="151">
        <v>8</v>
      </c>
      <c r="AC125" s="151">
        <v>3</v>
      </c>
      <c r="AD125" s="151">
        <v>9</v>
      </c>
    </row>
    <row r="126" spans="1:30" s="152" customFormat="1" x14ac:dyDescent="0.35">
      <c r="A126" s="104">
        <v>580</v>
      </c>
      <c r="B126" s="106" t="s">
        <v>155</v>
      </c>
      <c r="C126" s="147"/>
      <c r="D126" s="147">
        <f t="shared" si="15"/>
        <v>177</v>
      </c>
      <c r="E126" s="148"/>
      <c r="F126" s="148"/>
      <c r="G126" s="148"/>
      <c r="H126" s="148">
        <v>170</v>
      </c>
      <c r="I126" s="148"/>
      <c r="J126" s="148"/>
      <c r="K126" s="148"/>
      <c r="L126" s="149">
        <v>1</v>
      </c>
      <c r="M126" s="149">
        <v>3</v>
      </c>
      <c r="N126" s="149"/>
      <c r="O126" s="149"/>
      <c r="P126" s="149"/>
      <c r="Q126" s="149"/>
      <c r="R126" s="150">
        <v>2</v>
      </c>
      <c r="S126" s="150">
        <v>7</v>
      </c>
      <c r="T126" s="150"/>
      <c r="U126" s="150"/>
      <c r="V126" s="150"/>
      <c r="W126" s="150"/>
      <c r="X126" s="150"/>
      <c r="Y126" s="150"/>
      <c r="Z126" s="147"/>
      <c r="AA126" s="151"/>
      <c r="AB126" s="151"/>
      <c r="AC126" s="151"/>
      <c r="AD126" s="151"/>
    </row>
    <row r="127" spans="1:30" s="152" customFormat="1" x14ac:dyDescent="0.35">
      <c r="A127" s="104">
        <v>585</v>
      </c>
      <c r="B127" s="106" t="s">
        <v>156</v>
      </c>
      <c r="C127" s="147"/>
      <c r="D127" s="147">
        <f t="shared" si="15"/>
        <v>630</v>
      </c>
      <c r="E127" s="148">
        <v>274</v>
      </c>
      <c r="F127" s="148"/>
      <c r="G127" s="148"/>
      <c r="H127" s="148">
        <v>321</v>
      </c>
      <c r="I127" s="148"/>
      <c r="J127" s="148"/>
      <c r="K127" s="148"/>
      <c r="L127" s="149">
        <v>1</v>
      </c>
      <c r="M127" s="149">
        <v>6</v>
      </c>
      <c r="N127" s="149"/>
      <c r="O127" s="149"/>
      <c r="P127" s="149"/>
      <c r="Q127" s="149"/>
      <c r="R127" s="150">
        <v>3</v>
      </c>
      <c r="S127" s="150">
        <v>35</v>
      </c>
      <c r="T127" s="150"/>
      <c r="U127" s="150"/>
      <c r="V127" s="150"/>
      <c r="W127" s="150"/>
      <c r="X127" s="150"/>
      <c r="Y127" s="150"/>
      <c r="Z127" s="147"/>
      <c r="AA127" s="151"/>
      <c r="AB127" s="151"/>
      <c r="AC127" s="151"/>
      <c r="AD127" s="151"/>
    </row>
    <row r="128" spans="1:30" s="152" customFormat="1" x14ac:dyDescent="0.35">
      <c r="A128" s="104">
        <v>604</v>
      </c>
      <c r="B128" s="106" t="s">
        <v>157</v>
      </c>
      <c r="C128" s="147"/>
      <c r="D128" s="147">
        <f t="shared" si="15"/>
        <v>4</v>
      </c>
      <c r="E128" s="148"/>
      <c r="F128" s="148"/>
      <c r="G128" s="148"/>
      <c r="H128" s="148"/>
      <c r="I128" s="148"/>
      <c r="J128" s="148"/>
      <c r="K128" s="148"/>
      <c r="L128" s="149">
        <v>1</v>
      </c>
      <c r="M128" s="149"/>
      <c r="N128" s="149"/>
      <c r="O128" s="149"/>
      <c r="P128" s="149"/>
      <c r="Q128" s="149"/>
      <c r="R128" s="150">
        <v>1</v>
      </c>
      <c r="S128" s="150">
        <v>4</v>
      </c>
      <c r="T128" s="150"/>
      <c r="U128" s="150"/>
      <c r="V128" s="150"/>
      <c r="W128" s="150"/>
      <c r="X128" s="150"/>
      <c r="Y128" s="150"/>
      <c r="Z128" s="147"/>
      <c r="AA128" s="151"/>
      <c r="AB128" s="151"/>
      <c r="AC128" s="151"/>
      <c r="AD128" s="151"/>
    </row>
    <row r="129" spans="1:35" s="152" customFormat="1" x14ac:dyDescent="0.35">
      <c r="A129" s="104">
        <v>606</v>
      </c>
      <c r="B129" s="106" t="s">
        <v>79</v>
      </c>
      <c r="C129" s="147"/>
      <c r="D129" s="147">
        <f t="shared" si="15"/>
        <v>549</v>
      </c>
      <c r="E129" s="148"/>
      <c r="F129" s="148"/>
      <c r="G129" s="148"/>
      <c r="H129" s="148">
        <v>156</v>
      </c>
      <c r="I129" s="148">
        <v>363</v>
      </c>
      <c r="J129" s="148"/>
      <c r="K129" s="148"/>
      <c r="L129" s="149">
        <v>1</v>
      </c>
      <c r="M129" s="149">
        <v>6</v>
      </c>
      <c r="N129" s="149"/>
      <c r="O129" s="149"/>
      <c r="P129" s="149"/>
      <c r="Q129" s="149"/>
      <c r="R129" s="150">
        <v>2</v>
      </c>
      <c r="S129" s="150">
        <v>30</v>
      </c>
      <c r="T129" s="150"/>
      <c r="U129" s="150"/>
      <c r="V129" s="150"/>
      <c r="W129" s="150"/>
      <c r="X129" s="150"/>
      <c r="Y129" s="150"/>
      <c r="Z129" s="147"/>
      <c r="AA129" s="151"/>
      <c r="AB129" s="151"/>
      <c r="AC129" s="151">
        <v>1</v>
      </c>
      <c r="AD129" s="151">
        <v>3</v>
      </c>
    </row>
    <row r="130" spans="1:35" s="152" customFormat="1" x14ac:dyDescent="0.35">
      <c r="A130" s="10">
        <v>608</v>
      </c>
      <c r="B130" s="133" t="s">
        <v>159</v>
      </c>
      <c r="C130" s="147"/>
      <c r="D130" s="147">
        <f>SUM(E130:K130, S130, Z130)</f>
        <v>27</v>
      </c>
      <c r="E130" s="148"/>
      <c r="F130" s="148"/>
      <c r="G130" s="148"/>
      <c r="H130" s="148">
        <v>18</v>
      </c>
      <c r="I130" s="148"/>
      <c r="J130" s="148"/>
      <c r="K130" s="148"/>
      <c r="L130" s="149"/>
      <c r="M130" s="149"/>
      <c r="N130" s="149"/>
      <c r="O130" s="149"/>
      <c r="P130" s="149"/>
      <c r="Q130" s="149">
        <v>1</v>
      </c>
      <c r="R130" s="150">
        <v>2</v>
      </c>
      <c r="S130" s="150">
        <v>9</v>
      </c>
      <c r="T130" s="150"/>
      <c r="U130" s="150"/>
      <c r="V130" s="150"/>
      <c r="W130" s="150"/>
      <c r="X130" s="150"/>
      <c r="Y130" s="150"/>
      <c r="Z130" s="147"/>
      <c r="AA130" s="151"/>
      <c r="AB130" s="151"/>
      <c r="AC130" s="151"/>
      <c r="AD130" s="151"/>
    </row>
    <row r="131" spans="1:35" s="152" customFormat="1" x14ac:dyDescent="0.35">
      <c r="A131" s="10">
        <v>609</v>
      </c>
      <c r="B131" s="133" t="s">
        <v>160</v>
      </c>
      <c r="C131" s="147"/>
      <c r="D131" s="147">
        <f>SUM(E131:K131, S131, Z131)</f>
        <v>100</v>
      </c>
      <c r="E131" s="148"/>
      <c r="F131" s="148"/>
      <c r="G131" s="148"/>
      <c r="H131" s="148">
        <v>88</v>
      </c>
      <c r="I131" s="148"/>
      <c r="J131" s="148"/>
      <c r="K131" s="148"/>
      <c r="L131" s="149"/>
      <c r="M131" s="149"/>
      <c r="N131" s="149"/>
      <c r="O131" s="149"/>
      <c r="P131" s="149"/>
      <c r="Q131" s="149">
        <v>2</v>
      </c>
      <c r="R131" s="150">
        <v>2</v>
      </c>
      <c r="S131" s="150">
        <v>12</v>
      </c>
      <c r="T131" s="150"/>
      <c r="U131" s="150"/>
      <c r="V131" s="150"/>
      <c r="W131" s="150"/>
      <c r="X131" s="150"/>
      <c r="Y131" s="150"/>
      <c r="Z131" s="147"/>
      <c r="AA131" s="151"/>
      <c r="AB131" s="151"/>
      <c r="AC131" s="151"/>
      <c r="AD131" s="151"/>
    </row>
    <row r="132" spans="1:35" s="152" customFormat="1" x14ac:dyDescent="0.35">
      <c r="A132" s="107">
        <v>618</v>
      </c>
      <c r="B132" s="90" t="s">
        <v>161</v>
      </c>
      <c r="C132" s="147"/>
      <c r="D132" s="147">
        <f t="shared" ref="D132:D147" si="16">SUM(E132:K132,S132,Z132)</f>
        <v>502</v>
      </c>
      <c r="E132" s="148">
        <v>100</v>
      </c>
      <c r="F132" s="148"/>
      <c r="G132" s="148"/>
      <c r="H132" s="148">
        <v>381</v>
      </c>
      <c r="I132" s="148"/>
      <c r="J132" s="148"/>
      <c r="K132" s="148"/>
      <c r="L132" s="149">
        <v>2</v>
      </c>
      <c r="M132" s="149">
        <v>6</v>
      </c>
      <c r="N132" s="153"/>
      <c r="O132" s="149"/>
      <c r="P132" s="149"/>
      <c r="Q132" s="149"/>
      <c r="R132" s="150">
        <v>2</v>
      </c>
      <c r="S132" s="150">
        <v>21</v>
      </c>
      <c r="T132" s="150"/>
      <c r="U132" s="150"/>
      <c r="V132" s="150"/>
      <c r="W132" s="150"/>
      <c r="X132" s="150"/>
      <c r="Y132" s="150"/>
      <c r="Z132" s="147"/>
      <c r="AA132" s="151">
        <v>12</v>
      </c>
      <c r="AB132" s="151"/>
      <c r="AC132" s="151">
        <v>2</v>
      </c>
      <c r="AD132" s="151">
        <v>6</v>
      </c>
    </row>
    <row r="133" spans="1:35" s="152" customFormat="1" x14ac:dyDescent="0.35">
      <c r="A133" s="10">
        <v>618</v>
      </c>
      <c r="B133" s="133" t="s">
        <v>162</v>
      </c>
      <c r="C133" s="147"/>
      <c r="D133" s="147">
        <f t="shared" si="16"/>
        <v>2083</v>
      </c>
      <c r="E133" s="148">
        <v>105</v>
      </c>
      <c r="F133" s="148"/>
      <c r="G133" s="148"/>
      <c r="H133" s="148">
        <v>1880</v>
      </c>
      <c r="I133" s="148"/>
      <c r="J133" s="148"/>
      <c r="K133" s="148">
        <v>36</v>
      </c>
      <c r="L133" s="149">
        <v>2</v>
      </c>
      <c r="M133" s="149">
        <v>6</v>
      </c>
      <c r="N133" s="149"/>
      <c r="O133" s="149"/>
      <c r="P133" s="149"/>
      <c r="Q133" s="149">
        <v>2</v>
      </c>
      <c r="R133" s="150">
        <v>7</v>
      </c>
      <c r="S133" s="150">
        <v>62</v>
      </c>
      <c r="T133" s="150"/>
      <c r="U133" s="150"/>
      <c r="V133" s="150"/>
      <c r="W133" s="150"/>
      <c r="X133" s="150"/>
      <c r="Y133" s="150"/>
      <c r="Z133" s="147"/>
      <c r="AA133" s="151"/>
      <c r="AB133" s="151"/>
      <c r="AC133" s="151"/>
      <c r="AD133" s="151"/>
      <c r="AE133" s="161"/>
      <c r="AF133" s="161"/>
      <c r="AG133" s="161"/>
      <c r="AH133" s="161"/>
      <c r="AI133" s="161"/>
    </row>
    <row r="134" spans="1:35" s="152" customFormat="1" x14ac:dyDescent="0.35">
      <c r="A134" s="10">
        <v>618</v>
      </c>
      <c r="B134" s="133" t="s">
        <v>163</v>
      </c>
      <c r="C134" s="147"/>
      <c r="D134" s="147">
        <f t="shared" si="16"/>
        <v>894</v>
      </c>
      <c r="E134" s="148"/>
      <c r="F134" s="148"/>
      <c r="G134" s="148"/>
      <c r="H134" s="148">
        <v>714</v>
      </c>
      <c r="I134" s="148"/>
      <c r="J134" s="148"/>
      <c r="K134" s="148"/>
      <c r="L134" s="149">
        <v>2</v>
      </c>
      <c r="M134" s="149">
        <v>6</v>
      </c>
      <c r="N134" s="149"/>
      <c r="O134" s="149"/>
      <c r="P134" s="149"/>
      <c r="Q134" s="149">
        <v>2</v>
      </c>
      <c r="R134" s="150">
        <v>4</v>
      </c>
      <c r="S134" s="150">
        <v>180</v>
      </c>
      <c r="T134" s="150"/>
      <c r="U134" s="150"/>
      <c r="V134" s="150"/>
      <c r="W134" s="150"/>
      <c r="X134" s="150"/>
      <c r="Y134" s="150"/>
      <c r="Z134" s="147"/>
      <c r="AA134" s="151"/>
      <c r="AB134" s="151"/>
      <c r="AC134" s="151"/>
      <c r="AD134" s="151"/>
      <c r="AE134" s="161"/>
      <c r="AF134" s="161"/>
      <c r="AG134" s="161"/>
      <c r="AH134" s="161"/>
      <c r="AI134" s="161"/>
    </row>
    <row r="135" spans="1:35" s="162" customFormat="1" ht="15" x14ac:dyDescent="0.35">
      <c r="A135" s="10">
        <v>618</v>
      </c>
      <c r="B135" s="133" t="s">
        <v>164</v>
      </c>
      <c r="C135" s="147"/>
      <c r="D135" s="147">
        <f t="shared" si="16"/>
        <v>72</v>
      </c>
      <c r="E135" s="148"/>
      <c r="F135" s="148"/>
      <c r="G135" s="148"/>
      <c r="H135" s="148">
        <v>72</v>
      </c>
      <c r="I135" s="148"/>
      <c r="J135" s="148"/>
      <c r="K135" s="148"/>
      <c r="L135" s="149"/>
      <c r="M135" s="149"/>
      <c r="N135" s="149"/>
      <c r="O135" s="149"/>
      <c r="P135" s="149"/>
      <c r="Q135" s="149"/>
      <c r="R135" s="150"/>
      <c r="S135" s="150"/>
      <c r="T135" s="150"/>
      <c r="U135" s="150"/>
      <c r="V135" s="150"/>
      <c r="W135" s="150"/>
      <c r="X135" s="150"/>
      <c r="Y135" s="150"/>
      <c r="Z135" s="147"/>
      <c r="AA135" s="151"/>
      <c r="AB135" s="151"/>
      <c r="AC135" s="151"/>
      <c r="AD135" s="151"/>
    </row>
    <row r="136" spans="1:35" s="152" customFormat="1" x14ac:dyDescent="0.35">
      <c r="A136" s="10">
        <v>619</v>
      </c>
      <c r="B136" s="133" t="s">
        <v>165</v>
      </c>
      <c r="C136" s="147"/>
      <c r="D136" s="147">
        <f t="shared" si="16"/>
        <v>491</v>
      </c>
      <c r="E136" s="148"/>
      <c r="F136" s="148"/>
      <c r="G136" s="148"/>
      <c r="H136" s="148">
        <v>322</v>
      </c>
      <c r="I136" s="148"/>
      <c r="J136" s="148"/>
      <c r="K136" s="148"/>
      <c r="L136" s="149"/>
      <c r="M136" s="149"/>
      <c r="N136" s="149"/>
      <c r="O136" s="149"/>
      <c r="P136" s="149"/>
      <c r="Q136" s="149">
        <v>2</v>
      </c>
      <c r="R136" s="150">
        <v>5</v>
      </c>
      <c r="S136" s="150">
        <v>169</v>
      </c>
      <c r="T136" s="150"/>
      <c r="U136" s="150"/>
      <c r="V136" s="150"/>
      <c r="W136" s="150"/>
      <c r="X136" s="150"/>
      <c r="Y136" s="150"/>
      <c r="Z136" s="147"/>
      <c r="AA136" s="151"/>
      <c r="AB136" s="151"/>
      <c r="AC136" s="151"/>
      <c r="AD136" s="151"/>
    </row>
    <row r="137" spans="1:35" s="152" customFormat="1" x14ac:dyDescent="0.35">
      <c r="A137" s="10">
        <v>621</v>
      </c>
      <c r="B137" s="133" t="s">
        <v>166</v>
      </c>
      <c r="C137" s="147"/>
      <c r="D137" s="147">
        <f t="shared" si="16"/>
        <v>5</v>
      </c>
      <c r="E137" s="148"/>
      <c r="F137" s="148"/>
      <c r="G137" s="148"/>
      <c r="H137" s="148"/>
      <c r="I137" s="148"/>
      <c r="J137" s="148"/>
      <c r="K137" s="148"/>
      <c r="L137" s="149"/>
      <c r="M137" s="149"/>
      <c r="N137" s="149"/>
      <c r="O137" s="149"/>
      <c r="P137" s="149"/>
      <c r="Q137" s="149"/>
      <c r="R137" s="150">
        <v>1</v>
      </c>
      <c r="S137" s="150">
        <v>5</v>
      </c>
      <c r="T137" s="150"/>
      <c r="U137" s="150"/>
      <c r="V137" s="150"/>
      <c r="W137" s="150"/>
      <c r="X137" s="150"/>
      <c r="Y137" s="150"/>
      <c r="Z137" s="147"/>
      <c r="AA137" s="151"/>
      <c r="AB137" s="151"/>
      <c r="AC137" s="151"/>
      <c r="AD137" s="151"/>
    </row>
    <row r="138" spans="1:35" s="152" customFormat="1" x14ac:dyDescent="0.35">
      <c r="A138" s="10">
        <v>622</v>
      </c>
      <c r="B138" s="133" t="s">
        <v>167</v>
      </c>
      <c r="C138" s="147"/>
      <c r="D138" s="147">
        <f t="shared" si="16"/>
        <v>203</v>
      </c>
      <c r="E138" s="148"/>
      <c r="F138" s="148"/>
      <c r="G138" s="148"/>
      <c r="H138" s="148">
        <v>140</v>
      </c>
      <c r="I138" s="148"/>
      <c r="J138" s="148"/>
      <c r="K138" s="148">
        <v>58</v>
      </c>
      <c r="L138" s="149">
        <v>1</v>
      </c>
      <c r="M138" s="149">
        <v>3</v>
      </c>
      <c r="N138" s="149"/>
      <c r="O138" s="149"/>
      <c r="P138" s="149"/>
      <c r="Q138" s="149"/>
      <c r="R138" s="150">
        <v>2</v>
      </c>
      <c r="S138" s="150">
        <v>5</v>
      </c>
      <c r="T138" s="150"/>
      <c r="U138" s="150"/>
      <c r="V138" s="150"/>
      <c r="W138" s="150"/>
      <c r="X138" s="150"/>
      <c r="Y138" s="150"/>
      <c r="Z138" s="147"/>
      <c r="AA138" s="151"/>
      <c r="AB138" s="151"/>
      <c r="AC138" s="151"/>
      <c r="AD138" s="151"/>
    </row>
    <row r="139" spans="1:35" s="152" customFormat="1" x14ac:dyDescent="0.35">
      <c r="A139" s="10">
        <v>622</v>
      </c>
      <c r="B139" s="133" t="s">
        <v>168</v>
      </c>
      <c r="C139" s="147"/>
      <c r="D139" s="147">
        <f t="shared" si="16"/>
        <v>5</v>
      </c>
      <c r="E139" s="148"/>
      <c r="F139" s="148"/>
      <c r="G139" s="148"/>
      <c r="H139" s="148"/>
      <c r="I139" s="148"/>
      <c r="J139" s="148"/>
      <c r="K139" s="148"/>
      <c r="L139" s="149"/>
      <c r="M139" s="149"/>
      <c r="N139" s="149"/>
      <c r="O139" s="149"/>
      <c r="P139" s="149"/>
      <c r="Q139" s="149"/>
      <c r="R139" s="150">
        <v>2</v>
      </c>
      <c r="S139" s="150">
        <v>5</v>
      </c>
      <c r="T139" s="150"/>
      <c r="U139" s="150"/>
      <c r="V139" s="150"/>
      <c r="W139" s="150"/>
      <c r="X139" s="150"/>
      <c r="Y139" s="150"/>
      <c r="Z139" s="147"/>
      <c r="AA139" s="151"/>
      <c r="AB139" s="151"/>
      <c r="AC139" s="151"/>
      <c r="AD139" s="151"/>
    </row>
    <row r="140" spans="1:35" s="152" customFormat="1" x14ac:dyDescent="0.35">
      <c r="A140" s="10">
        <v>623</v>
      </c>
      <c r="B140" s="133" t="s">
        <v>47</v>
      </c>
      <c r="C140" s="147"/>
      <c r="D140" s="147">
        <f t="shared" si="16"/>
        <v>1392</v>
      </c>
      <c r="E140" s="148">
        <v>14</v>
      </c>
      <c r="F140" s="148"/>
      <c r="G140" s="148"/>
      <c r="H140" s="148">
        <v>1332</v>
      </c>
      <c r="I140" s="148"/>
      <c r="J140" s="148">
        <v>21</v>
      </c>
      <c r="K140" s="148"/>
      <c r="L140" s="149">
        <v>1</v>
      </c>
      <c r="M140" s="149">
        <v>3</v>
      </c>
      <c r="N140" s="149">
        <v>72</v>
      </c>
      <c r="O140" s="149"/>
      <c r="P140" s="149"/>
      <c r="Q140" s="149">
        <v>6</v>
      </c>
      <c r="R140" s="150">
        <v>2</v>
      </c>
      <c r="S140" s="150">
        <v>25</v>
      </c>
      <c r="T140" s="150"/>
      <c r="U140" s="150"/>
      <c r="V140" s="150"/>
      <c r="W140" s="150"/>
      <c r="X140" s="150"/>
      <c r="Y140" s="150"/>
      <c r="Z140" s="147"/>
      <c r="AA140" s="151"/>
      <c r="AB140" s="151"/>
      <c r="AC140" s="151">
        <v>3</v>
      </c>
      <c r="AD140" s="151">
        <v>9</v>
      </c>
    </row>
    <row r="141" spans="1:35" s="152" customFormat="1" x14ac:dyDescent="0.35">
      <c r="A141" s="10">
        <v>628</v>
      </c>
      <c r="B141" s="133" t="s">
        <v>169</v>
      </c>
      <c r="C141" s="147"/>
      <c r="D141" s="147">
        <f t="shared" si="16"/>
        <v>101</v>
      </c>
      <c r="E141" s="148"/>
      <c r="F141" s="148"/>
      <c r="G141" s="148"/>
      <c r="H141" s="148">
        <v>75</v>
      </c>
      <c r="I141" s="148"/>
      <c r="J141" s="148"/>
      <c r="K141" s="148"/>
      <c r="L141" s="149">
        <v>1</v>
      </c>
      <c r="M141" s="149">
        <v>3</v>
      </c>
      <c r="N141" s="149"/>
      <c r="O141" s="149"/>
      <c r="P141" s="149"/>
      <c r="Q141" s="149"/>
      <c r="R141" s="150">
        <v>2</v>
      </c>
      <c r="S141" s="150">
        <v>26</v>
      </c>
      <c r="T141" s="150"/>
      <c r="U141" s="150"/>
      <c r="V141" s="150"/>
      <c r="W141" s="150"/>
      <c r="X141" s="150"/>
      <c r="Y141" s="150"/>
      <c r="Z141" s="147"/>
      <c r="AA141" s="151"/>
      <c r="AB141" s="151"/>
      <c r="AC141" s="151"/>
      <c r="AD141" s="151"/>
    </row>
    <row r="142" spans="1:35" s="152" customFormat="1" x14ac:dyDescent="0.35">
      <c r="A142" s="10">
        <v>630</v>
      </c>
      <c r="B142" s="133" t="s">
        <v>170</v>
      </c>
      <c r="C142" s="147"/>
      <c r="D142" s="147">
        <f t="shared" si="16"/>
        <v>634</v>
      </c>
      <c r="E142" s="148">
        <v>123</v>
      </c>
      <c r="F142" s="148"/>
      <c r="G142" s="148"/>
      <c r="H142" s="148">
        <v>365</v>
      </c>
      <c r="I142" s="148"/>
      <c r="J142" s="148"/>
      <c r="K142" s="148"/>
      <c r="L142" s="149">
        <v>1</v>
      </c>
      <c r="M142" s="149">
        <v>3</v>
      </c>
      <c r="N142" s="149"/>
      <c r="O142" s="149"/>
      <c r="P142" s="149"/>
      <c r="Q142" s="149"/>
      <c r="R142" s="150">
        <v>6</v>
      </c>
      <c r="S142" s="150">
        <v>146</v>
      </c>
      <c r="T142" s="150"/>
      <c r="U142" s="150"/>
      <c r="V142" s="150"/>
      <c r="W142" s="150"/>
      <c r="X142" s="150"/>
      <c r="Y142" s="150"/>
      <c r="Z142" s="147"/>
      <c r="AA142" s="151"/>
      <c r="AB142" s="151"/>
      <c r="AC142" s="151"/>
      <c r="AD142" s="151"/>
    </row>
    <row r="143" spans="1:35" s="152" customFormat="1" x14ac:dyDescent="0.35">
      <c r="A143" s="10">
        <v>633</v>
      </c>
      <c r="B143" s="133" t="s">
        <v>170</v>
      </c>
      <c r="C143" s="147"/>
      <c r="D143" s="147">
        <f t="shared" si="16"/>
        <v>191</v>
      </c>
      <c r="E143" s="148"/>
      <c r="F143" s="148"/>
      <c r="G143" s="148"/>
      <c r="H143" s="148">
        <v>163</v>
      </c>
      <c r="I143" s="148"/>
      <c r="J143" s="148"/>
      <c r="K143" s="148"/>
      <c r="L143" s="149">
        <v>1</v>
      </c>
      <c r="M143" s="149">
        <v>3</v>
      </c>
      <c r="N143" s="153"/>
      <c r="O143" s="149"/>
      <c r="P143" s="149"/>
      <c r="Q143" s="149"/>
      <c r="R143" s="150">
        <v>2</v>
      </c>
      <c r="S143" s="150">
        <v>28</v>
      </c>
      <c r="T143" s="150"/>
      <c r="U143" s="150"/>
      <c r="V143" s="150"/>
      <c r="W143" s="150"/>
      <c r="X143" s="150"/>
      <c r="Y143" s="150"/>
      <c r="Z143" s="147"/>
      <c r="AA143" s="151"/>
      <c r="AB143" s="151"/>
      <c r="AC143" s="151"/>
      <c r="AD143" s="151"/>
    </row>
    <row r="144" spans="1:35" s="152" customFormat="1" x14ac:dyDescent="0.35">
      <c r="A144" s="10">
        <v>639</v>
      </c>
      <c r="B144" s="163" t="s">
        <v>171</v>
      </c>
      <c r="C144" s="147"/>
      <c r="D144" s="147">
        <f t="shared" si="16"/>
        <v>449</v>
      </c>
      <c r="E144" s="148"/>
      <c r="F144" s="148"/>
      <c r="G144" s="148"/>
      <c r="H144" s="148">
        <v>307</v>
      </c>
      <c r="I144" s="148"/>
      <c r="J144" s="148"/>
      <c r="K144" s="148"/>
      <c r="L144" s="149">
        <v>2</v>
      </c>
      <c r="M144" s="149">
        <v>6</v>
      </c>
      <c r="N144" s="149"/>
      <c r="O144" s="149"/>
      <c r="P144" s="149"/>
      <c r="Q144" s="149"/>
      <c r="R144" s="150">
        <v>4</v>
      </c>
      <c r="S144" s="150">
        <v>142</v>
      </c>
      <c r="T144" s="150"/>
      <c r="U144" s="150"/>
      <c r="V144" s="150"/>
      <c r="W144" s="150"/>
      <c r="X144" s="150"/>
      <c r="Y144" s="150"/>
      <c r="Z144" s="147"/>
      <c r="AA144" s="151"/>
      <c r="AB144" s="151"/>
      <c r="AC144" s="151"/>
      <c r="AD144" s="151"/>
    </row>
    <row r="145" spans="1:30" s="152" customFormat="1" x14ac:dyDescent="0.35">
      <c r="A145" s="10">
        <v>653</v>
      </c>
      <c r="B145" s="133" t="s">
        <v>172</v>
      </c>
      <c r="C145" s="147"/>
      <c r="D145" s="147">
        <f t="shared" si="16"/>
        <v>142</v>
      </c>
      <c r="E145" s="148"/>
      <c r="F145" s="148"/>
      <c r="G145" s="148"/>
      <c r="H145" s="148">
        <v>138</v>
      </c>
      <c r="I145" s="148"/>
      <c r="J145" s="148"/>
      <c r="K145" s="148"/>
      <c r="L145" s="149">
        <v>1</v>
      </c>
      <c r="M145" s="149">
        <v>3</v>
      </c>
      <c r="N145" s="149"/>
      <c r="O145" s="149"/>
      <c r="P145" s="149"/>
      <c r="Q145" s="149"/>
      <c r="R145" s="150">
        <v>1</v>
      </c>
      <c r="S145" s="150">
        <v>4</v>
      </c>
      <c r="T145" s="150"/>
      <c r="U145" s="150"/>
      <c r="V145" s="150"/>
      <c r="W145" s="150"/>
      <c r="X145" s="150"/>
      <c r="Y145" s="150"/>
      <c r="Z145" s="147"/>
      <c r="AA145" s="151"/>
      <c r="AB145" s="151"/>
      <c r="AC145" s="151"/>
      <c r="AD145" s="151"/>
    </row>
    <row r="146" spans="1:30" s="152" customFormat="1" x14ac:dyDescent="0.35">
      <c r="A146" s="10">
        <v>720</v>
      </c>
      <c r="B146" s="163" t="s">
        <v>173</v>
      </c>
      <c r="C146" s="147"/>
      <c r="D146" s="147">
        <f t="shared" si="16"/>
        <v>1371</v>
      </c>
      <c r="E146" s="148">
        <v>33</v>
      </c>
      <c r="F146" s="148"/>
      <c r="G146" s="148"/>
      <c r="H146" s="148">
        <v>570</v>
      </c>
      <c r="I146" s="148">
        <v>590</v>
      </c>
      <c r="J146" s="148"/>
      <c r="K146" s="148"/>
      <c r="L146" s="149">
        <v>3</v>
      </c>
      <c r="M146" s="149">
        <v>9</v>
      </c>
      <c r="N146" s="149"/>
      <c r="O146" s="149"/>
      <c r="P146" s="149"/>
      <c r="Q146" s="149">
        <v>4</v>
      </c>
      <c r="R146" s="150">
        <v>8</v>
      </c>
      <c r="S146" s="150">
        <v>138</v>
      </c>
      <c r="T146" s="150"/>
      <c r="U146" s="150"/>
      <c r="V146" s="150"/>
      <c r="W146" s="150"/>
      <c r="X146" s="150"/>
      <c r="Y146" s="150"/>
      <c r="Z146" s="147">
        <v>40</v>
      </c>
      <c r="AA146" s="151"/>
      <c r="AB146" s="151"/>
      <c r="AC146" s="151"/>
      <c r="AD146" s="151"/>
    </row>
    <row r="147" spans="1:30" s="152" customFormat="1" x14ac:dyDescent="0.35">
      <c r="A147" s="10">
        <v>724</v>
      </c>
      <c r="B147" s="163" t="s">
        <v>174</v>
      </c>
      <c r="C147" s="147"/>
      <c r="D147" s="147">
        <f t="shared" si="16"/>
        <v>670</v>
      </c>
      <c r="E147" s="148"/>
      <c r="F147" s="148"/>
      <c r="G147" s="148"/>
      <c r="H147" s="148">
        <f>579+65</f>
        <v>644</v>
      </c>
      <c r="I147" s="148"/>
      <c r="J147" s="148"/>
      <c r="K147" s="148"/>
      <c r="L147" s="149">
        <v>2</v>
      </c>
      <c r="M147" s="149">
        <v>6</v>
      </c>
      <c r="N147" s="149"/>
      <c r="O147" s="149"/>
      <c r="P147" s="149"/>
      <c r="Q147" s="149">
        <v>2</v>
      </c>
      <c r="R147" s="150">
        <v>6</v>
      </c>
      <c r="S147" s="150">
        <v>26</v>
      </c>
      <c r="T147" s="150"/>
      <c r="U147" s="150"/>
      <c r="V147" s="150"/>
      <c r="W147" s="150"/>
      <c r="X147" s="150"/>
      <c r="Y147" s="150"/>
      <c r="Z147" s="147"/>
      <c r="AA147" s="151"/>
      <c r="AB147" s="151"/>
      <c r="AC147" s="151"/>
      <c r="AD147" s="151"/>
    </row>
    <row r="148" spans="1:30" s="152" customFormat="1" x14ac:dyDescent="0.35">
      <c r="A148" s="10">
        <v>725</v>
      </c>
      <c r="B148" s="133" t="s">
        <v>175</v>
      </c>
      <c r="C148" s="147"/>
      <c r="D148" s="147">
        <f>SUM(E148:K148, S148, Z148)</f>
        <v>90</v>
      </c>
      <c r="E148" s="148"/>
      <c r="F148" s="148"/>
      <c r="G148" s="148"/>
      <c r="H148" s="148">
        <v>60</v>
      </c>
      <c r="I148" s="148">
        <v>20</v>
      </c>
      <c r="J148" s="148"/>
      <c r="K148" s="148"/>
      <c r="L148" s="149"/>
      <c r="M148" s="149"/>
      <c r="N148" s="149"/>
      <c r="O148" s="149"/>
      <c r="P148" s="149"/>
      <c r="Q148" s="149">
        <v>1</v>
      </c>
      <c r="R148" s="150">
        <v>1</v>
      </c>
      <c r="S148" s="150">
        <v>10</v>
      </c>
      <c r="T148" s="150"/>
      <c r="U148" s="150"/>
      <c r="V148" s="150"/>
      <c r="W148" s="150"/>
      <c r="X148" s="150"/>
      <c r="Y148" s="150"/>
      <c r="Z148" s="147"/>
      <c r="AA148" s="151"/>
      <c r="AB148" s="151"/>
      <c r="AC148" s="151"/>
      <c r="AD148" s="151"/>
    </row>
    <row r="149" spans="1:30" s="152" customFormat="1" x14ac:dyDescent="0.35">
      <c r="A149" s="10">
        <v>742</v>
      </c>
      <c r="B149" s="133" t="s">
        <v>176</v>
      </c>
      <c r="C149" s="147"/>
      <c r="D149" s="147">
        <f>SUM(E149:K149,S149,Z149)</f>
        <v>164</v>
      </c>
      <c r="E149" s="148">
        <v>158</v>
      </c>
      <c r="F149" s="148"/>
      <c r="G149" s="148"/>
      <c r="H149" s="148"/>
      <c r="I149" s="148"/>
      <c r="J149" s="148"/>
      <c r="K149" s="148"/>
      <c r="L149" s="149">
        <v>1</v>
      </c>
      <c r="M149" s="149">
        <v>3</v>
      </c>
      <c r="N149" s="149"/>
      <c r="O149" s="149"/>
      <c r="P149" s="149"/>
      <c r="Q149" s="149"/>
      <c r="R149" s="150">
        <v>2</v>
      </c>
      <c r="S149" s="150">
        <v>6</v>
      </c>
      <c r="T149" s="150"/>
      <c r="U149" s="150"/>
      <c r="V149" s="150"/>
      <c r="W149" s="150"/>
      <c r="X149" s="150"/>
      <c r="Y149" s="150"/>
      <c r="Z149" s="147"/>
      <c r="AA149" s="151"/>
      <c r="AB149" s="151"/>
      <c r="AC149" s="151">
        <v>1</v>
      </c>
      <c r="AD149" s="151">
        <v>3</v>
      </c>
    </row>
    <row r="150" spans="1:30" s="152" customFormat="1" x14ac:dyDescent="0.35">
      <c r="A150" s="10">
        <v>750</v>
      </c>
      <c r="B150" s="133" t="s">
        <v>177</v>
      </c>
      <c r="C150" s="147"/>
      <c r="D150" s="147">
        <f>SUM(E150:K150,S150,Z150)</f>
        <v>109</v>
      </c>
      <c r="E150" s="148"/>
      <c r="F150" s="148"/>
      <c r="G150" s="148"/>
      <c r="H150" s="148">
        <v>102</v>
      </c>
      <c r="I150" s="148"/>
      <c r="J150" s="148"/>
      <c r="K150" s="148"/>
      <c r="L150" s="149">
        <v>1</v>
      </c>
      <c r="M150" s="149">
        <v>3</v>
      </c>
      <c r="N150" s="149"/>
      <c r="O150" s="149"/>
      <c r="P150" s="149"/>
      <c r="Q150" s="149"/>
      <c r="R150" s="150">
        <v>1</v>
      </c>
      <c r="S150" s="150">
        <v>7</v>
      </c>
      <c r="T150" s="150"/>
      <c r="U150" s="150"/>
      <c r="V150" s="150"/>
      <c r="W150" s="150"/>
      <c r="X150" s="150"/>
      <c r="Y150" s="150"/>
      <c r="Z150" s="147"/>
      <c r="AA150" s="151"/>
      <c r="AB150" s="151"/>
      <c r="AC150" s="151"/>
      <c r="AD150" s="151"/>
    </row>
    <row r="151" spans="1:30" s="152" customFormat="1" x14ac:dyDescent="0.35">
      <c r="A151" s="10">
        <v>752</v>
      </c>
      <c r="B151" s="133" t="s">
        <v>178</v>
      </c>
      <c r="C151" s="147"/>
      <c r="D151" s="147">
        <f>SUM(E151:K151, S151, Z151)</f>
        <v>170</v>
      </c>
      <c r="E151" s="148"/>
      <c r="F151" s="148"/>
      <c r="G151" s="148"/>
      <c r="H151" s="148">
        <v>95</v>
      </c>
      <c r="I151" s="148">
        <v>40</v>
      </c>
      <c r="J151" s="148"/>
      <c r="K151" s="148"/>
      <c r="L151" s="149"/>
      <c r="M151" s="149"/>
      <c r="N151" s="149"/>
      <c r="O151" s="149"/>
      <c r="P151" s="149"/>
      <c r="Q151" s="149">
        <v>1</v>
      </c>
      <c r="R151" s="150">
        <v>2</v>
      </c>
      <c r="S151" s="150">
        <v>35</v>
      </c>
      <c r="T151" s="150"/>
      <c r="U151" s="150"/>
      <c r="V151" s="150"/>
      <c r="W151" s="150"/>
      <c r="X151" s="150"/>
      <c r="Y151" s="150"/>
      <c r="Z151" s="147"/>
      <c r="AA151" s="151"/>
      <c r="AB151" s="151"/>
      <c r="AC151" s="151"/>
      <c r="AD151" s="151"/>
    </row>
    <row r="152" spans="1:30" s="152" customFormat="1" x14ac:dyDescent="0.35">
      <c r="A152" s="10">
        <v>829</v>
      </c>
      <c r="B152" s="133" t="s">
        <v>179</v>
      </c>
      <c r="C152" s="147"/>
      <c r="D152" s="147">
        <f>SUM(S152,E152:K152)</f>
        <v>27</v>
      </c>
      <c r="E152" s="148"/>
      <c r="F152" s="148"/>
      <c r="G152" s="148"/>
      <c r="H152" s="148"/>
      <c r="I152" s="148"/>
      <c r="J152" s="148"/>
      <c r="K152" s="148"/>
      <c r="L152" s="149"/>
      <c r="M152" s="149"/>
      <c r="N152" s="149"/>
      <c r="O152" s="149"/>
      <c r="P152" s="149"/>
      <c r="Q152" s="149"/>
      <c r="R152" s="150">
        <v>4</v>
      </c>
      <c r="S152" s="150">
        <v>27</v>
      </c>
      <c r="T152" s="150"/>
      <c r="U152" s="150"/>
      <c r="V152" s="150"/>
      <c r="W152" s="150"/>
      <c r="X152" s="150"/>
      <c r="Y152" s="150"/>
      <c r="Z152" s="147"/>
      <c r="AA152" s="151"/>
      <c r="AB152" s="151"/>
      <c r="AC152" s="151"/>
      <c r="AD152" s="151"/>
    </row>
    <row r="153" spans="1:30" s="56" customFormat="1" ht="15" x14ac:dyDescent="0.35">
      <c r="A153" s="294" t="s">
        <v>180</v>
      </c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  <c r="AD153" s="294"/>
    </row>
    <row r="154" spans="1:30" s="152" customFormat="1" x14ac:dyDescent="0.35">
      <c r="A154" s="10">
        <v>1020</v>
      </c>
      <c r="B154" s="133" t="s">
        <v>181</v>
      </c>
      <c r="C154" s="147"/>
      <c r="D154" s="147" cm="1">
        <f t="array" ref="D154">SUM(S154+E154:K154)</f>
        <v>854</v>
      </c>
      <c r="E154" s="148"/>
      <c r="F154" s="148"/>
      <c r="G154" s="148"/>
      <c r="H154" s="148">
        <v>37</v>
      </c>
      <c r="I154" s="148">
        <v>90</v>
      </c>
      <c r="J154" s="148"/>
      <c r="K154" s="148">
        <v>265</v>
      </c>
      <c r="L154" s="149">
        <v>1</v>
      </c>
      <c r="M154" s="149">
        <v>3</v>
      </c>
      <c r="N154" s="149"/>
      <c r="O154" s="149"/>
      <c r="P154" s="149"/>
      <c r="Q154" s="149">
        <v>4</v>
      </c>
      <c r="R154" s="150">
        <v>4</v>
      </c>
      <c r="S154" s="150">
        <v>66</v>
      </c>
      <c r="T154" s="150"/>
      <c r="U154" s="150"/>
      <c r="V154" s="150"/>
      <c r="W154" s="150"/>
      <c r="X154" s="150"/>
      <c r="Y154" s="150"/>
      <c r="Z154" s="147">
        <v>26</v>
      </c>
      <c r="AA154" s="151"/>
      <c r="AB154" s="151"/>
      <c r="AC154" s="151"/>
      <c r="AD154" s="151"/>
    </row>
    <row r="155" spans="1:30" s="56" customFormat="1" ht="15" x14ac:dyDescent="0.35">
      <c r="A155" s="294" t="s">
        <v>182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  <c r="AD155" s="294"/>
    </row>
    <row r="156" spans="1:30" s="53" customFormat="1" x14ac:dyDescent="0.35">
      <c r="A156" s="7">
        <v>436</v>
      </c>
      <c r="B156" s="49" t="s">
        <v>183</v>
      </c>
      <c r="C156" s="48"/>
      <c r="D156" s="48">
        <f>SUM(E156:K156,S156,Z156)</f>
        <v>1211</v>
      </c>
      <c r="E156" s="258"/>
      <c r="F156" s="258"/>
      <c r="G156" s="258"/>
      <c r="H156" s="258">
        <v>907</v>
      </c>
      <c r="I156" s="258"/>
      <c r="J156" s="258"/>
      <c r="K156" s="258">
        <v>217</v>
      </c>
      <c r="L156" s="50">
        <v>11</v>
      </c>
      <c r="M156" s="50"/>
      <c r="N156" s="50">
        <v>127</v>
      </c>
      <c r="O156" s="50">
        <v>28</v>
      </c>
      <c r="P156" s="50"/>
      <c r="Q156" s="50">
        <v>1</v>
      </c>
      <c r="R156" s="51">
        <v>6</v>
      </c>
      <c r="S156" s="51">
        <v>87</v>
      </c>
      <c r="T156" s="51"/>
      <c r="U156" s="51"/>
      <c r="V156" s="51"/>
      <c r="W156" s="51"/>
      <c r="X156" s="51"/>
      <c r="Y156" s="51"/>
      <c r="Z156" s="48"/>
      <c r="AA156" s="52">
        <v>3</v>
      </c>
      <c r="AB156" s="52">
        <v>3</v>
      </c>
      <c r="AC156" s="52">
        <v>1</v>
      </c>
      <c r="AD156" s="52">
        <v>3</v>
      </c>
    </row>
    <row r="157" spans="1:30" s="53" customFormat="1" x14ac:dyDescent="0.35">
      <c r="A157" s="7">
        <v>438</v>
      </c>
      <c r="B157" s="49" t="s">
        <v>184</v>
      </c>
      <c r="C157" s="48"/>
      <c r="D157" s="48">
        <f>SUM(E157:K157,S157,Z157)</f>
        <v>190</v>
      </c>
      <c r="E157" s="271">
        <v>66</v>
      </c>
      <c r="F157" s="258"/>
      <c r="G157" s="258"/>
      <c r="H157" s="258">
        <v>89</v>
      </c>
      <c r="I157" s="258"/>
      <c r="J157" s="258"/>
      <c r="K157" s="258"/>
      <c r="L157" s="50">
        <v>3</v>
      </c>
      <c r="M157" s="50">
        <v>4</v>
      </c>
      <c r="N157" s="50">
        <v>16</v>
      </c>
      <c r="O157" s="50"/>
      <c r="P157" s="50"/>
      <c r="Q157" s="50"/>
      <c r="R157" s="51">
        <v>1</v>
      </c>
      <c r="S157" s="51">
        <v>8</v>
      </c>
      <c r="T157" s="51"/>
      <c r="U157" s="51"/>
      <c r="V157" s="51"/>
      <c r="W157" s="51"/>
      <c r="X157" s="51"/>
      <c r="Y157" s="51"/>
      <c r="Z157" s="48">
        <v>27</v>
      </c>
      <c r="AA157" s="52"/>
      <c r="AB157" s="52"/>
      <c r="AC157" s="52"/>
      <c r="AD157" s="52"/>
    </row>
    <row r="158" spans="1:30" s="53" customFormat="1" x14ac:dyDescent="0.35">
      <c r="A158" s="7">
        <v>438</v>
      </c>
      <c r="B158" s="49" t="s">
        <v>185</v>
      </c>
      <c r="C158" s="48"/>
      <c r="D158" s="48">
        <f>SUM(E158:K158,S158,Z158)</f>
        <v>99</v>
      </c>
      <c r="E158" s="258"/>
      <c r="F158" s="258"/>
      <c r="G158" s="258"/>
      <c r="H158" s="258">
        <v>75</v>
      </c>
      <c r="I158" s="258"/>
      <c r="J158" s="258"/>
      <c r="K158" s="258"/>
      <c r="L158" s="50">
        <v>6</v>
      </c>
      <c r="M158" s="50"/>
      <c r="N158" s="50">
        <v>3</v>
      </c>
      <c r="O158" s="50"/>
      <c r="P158" s="50"/>
      <c r="Q158" s="50"/>
      <c r="R158" s="51">
        <v>2</v>
      </c>
      <c r="S158" s="51">
        <v>24</v>
      </c>
      <c r="T158" s="51"/>
      <c r="U158" s="51"/>
      <c r="V158" s="51"/>
      <c r="W158" s="51"/>
      <c r="X158" s="51"/>
      <c r="Y158" s="51"/>
      <c r="Z158" s="48"/>
      <c r="AA158" s="52"/>
      <c r="AB158" s="52"/>
      <c r="AC158" s="52"/>
      <c r="AD158" s="52"/>
    </row>
    <row r="159" spans="1:30" s="56" customFormat="1" ht="15" x14ac:dyDescent="0.35">
      <c r="A159" s="294" t="s">
        <v>80</v>
      </c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</row>
    <row r="160" spans="1:30" s="56" customFormat="1" ht="15" x14ac:dyDescent="0.35">
      <c r="A160" s="7">
        <v>471</v>
      </c>
      <c r="B160" s="49" t="s">
        <v>81</v>
      </c>
      <c r="C160" s="48"/>
      <c r="D160" s="48">
        <f>SUM(E160:K160,S160,Z160)</f>
        <v>324</v>
      </c>
      <c r="E160" s="258">
        <v>99</v>
      </c>
      <c r="F160" s="258"/>
      <c r="G160" s="258"/>
      <c r="H160" s="258">
        <v>203</v>
      </c>
      <c r="I160" s="258"/>
      <c r="J160" s="258"/>
      <c r="K160" s="258"/>
      <c r="L160" s="50"/>
      <c r="M160" s="50"/>
      <c r="N160" s="50">
        <v>10</v>
      </c>
      <c r="O160" s="50"/>
      <c r="P160" s="50"/>
      <c r="Q160" s="50">
        <v>1</v>
      </c>
      <c r="R160" s="51">
        <v>1</v>
      </c>
      <c r="S160" s="51">
        <v>13</v>
      </c>
      <c r="T160" s="51"/>
      <c r="U160" s="51"/>
      <c r="V160" s="51"/>
      <c r="W160" s="51"/>
      <c r="X160" s="51"/>
      <c r="Y160" s="51"/>
      <c r="Z160" s="48">
        <v>9</v>
      </c>
      <c r="AA160" s="52"/>
      <c r="AB160" s="52"/>
      <c r="AC160" s="52"/>
      <c r="AD160" s="52"/>
    </row>
    <row r="161" spans="1:35" s="56" customFormat="1" ht="15" x14ac:dyDescent="0.35">
      <c r="A161" s="294" t="s">
        <v>186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</row>
    <row r="162" spans="1:35" s="53" customFormat="1" x14ac:dyDescent="0.35">
      <c r="A162" s="7">
        <v>469</v>
      </c>
      <c r="B162" s="49" t="s">
        <v>187</v>
      </c>
      <c r="C162" s="48"/>
      <c r="D162" s="48">
        <f>SUM(E162:K162,S162,Z162)</f>
        <v>270</v>
      </c>
      <c r="E162" s="258"/>
      <c r="F162" s="258"/>
      <c r="G162" s="258"/>
      <c r="H162" s="258">
        <v>95</v>
      </c>
      <c r="I162" s="258">
        <v>140</v>
      </c>
      <c r="J162" s="258"/>
      <c r="K162" s="258"/>
      <c r="L162" s="50">
        <v>1</v>
      </c>
      <c r="M162" s="50"/>
      <c r="N162" s="50">
        <v>12</v>
      </c>
      <c r="O162" s="50"/>
      <c r="P162" s="50"/>
      <c r="Q162" s="50"/>
      <c r="R162" s="51">
        <v>2</v>
      </c>
      <c r="S162" s="51">
        <v>25</v>
      </c>
      <c r="T162" s="51"/>
      <c r="U162" s="51"/>
      <c r="V162" s="51"/>
      <c r="W162" s="51"/>
      <c r="X162" s="51"/>
      <c r="Y162" s="51"/>
      <c r="Z162" s="48">
        <v>10</v>
      </c>
      <c r="AA162" s="52"/>
      <c r="AB162" s="52"/>
      <c r="AC162" s="52"/>
      <c r="AD162" s="52"/>
    </row>
    <row r="163" spans="1:35" s="53" customFormat="1" x14ac:dyDescent="0.35">
      <c r="A163" s="7">
        <v>622</v>
      </c>
      <c r="B163" s="49" t="s">
        <v>187</v>
      </c>
      <c r="C163" s="48"/>
      <c r="D163" s="48">
        <v>1207</v>
      </c>
      <c r="E163" s="258" t="s">
        <v>188</v>
      </c>
      <c r="F163" s="258" t="s">
        <v>188</v>
      </c>
      <c r="G163" s="258" t="s">
        <v>188</v>
      </c>
      <c r="H163" s="258">
        <v>179</v>
      </c>
      <c r="I163" s="258">
        <v>843</v>
      </c>
      <c r="J163" s="258" t="s">
        <v>188</v>
      </c>
      <c r="K163" s="258" t="s">
        <v>188</v>
      </c>
      <c r="L163" s="50" t="s">
        <v>188</v>
      </c>
      <c r="M163" s="50">
        <v>3</v>
      </c>
      <c r="N163" s="50" t="s">
        <v>188</v>
      </c>
      <c r="O163" s="50" t="s">
        <v>188</v>
      </c>
      <c r="P163" s="50" t="s">
        <v>188</v>
      </c>
      <c r="Q163" s="50" t="s">
        <v>188</v>
      </c>
      <c r="R163" s="51">
        <v>6</v>
      </c>
      <c r="S163" s="51">
        <v>176</v>
      </c>
      <c r="T163" s="51"/>
      <c r="U163" s="51"/>
      <c r="V163" s="51"/>
      <c r="W163" s="51"/>
      <c r="X163" s="51"/>
      <c r="Y163" s="51"/>
      <c r="Z163" s="48"/>
      <c r="AA163" s="52"/>
      <c r="AB163" s="52"/>
      <c r="AC163" s="52"/>
      <c r="AD163" s="52"/>
    </row>
    <row r="164" spans="1:35" s="53" customFormat="1" x14ac:dyDescent="0.35">
      <c r="A164" s="7">
        <v>1010</v>
      </c>
      <c r="B164" s="49" t="s">
        <v>187</v>
      </c>
      <c r="C164" s="48"/>
      <c r="D164" s="48">
        <f>SUM(E164:K164,S164,Z164)</f>
        <v>212</v>
      </c>
      <c r="E164" s="258"/>
      <c r="F164" s="258"/>
      <c r="G164" s="258"/>
      <c r="H164" s="258">
        <v>130</v>
      </c>
      <c r="I164" s="258">
        <v>48</v>
      </c>
      <c r="J164" s="258"/>
      <c r="K164" s="258"/>
      <c r="L164" s="50">
        <v>1</v>
      </c>
      <c r="M164" s="50"/>
      <c r="N164" s="50">
        <v>30</v>
      </c>
      <c r="O164" s="50"/>
      <c r="P164" s="50"/>
      <c r="Q164" s="50"/>
      <c r="R164" s="51">
        <v>2</v>
      </c>
      <c r="S164" s="51">
        <v>34</v>
      </c>
      <c r="T164" s="51"/>
      <c r="U164" s="51"/>
      <c r="V164" s="51"/>
      <c r="W164" s="51"/>
      <c r="X164" s="51"/>
      <c r="Y164" s="51"/>
      <c r="Z164" s="48"/>
      <c r="AA164" s="52"/>
      <c r="AB164" s="52"/>
      <c r="AC164" s="52"/>
      <c r="AD164" s="52"/>
    </row>
    <row r="165" spans="1:35" s="56" customFormat="1" ht="15" x14ac:dyDescent="0.35">
      <c r="A165" s="294" t="s">
        <v>189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</row>
    <row r="166" spans="1:35" s="53" customFormat="1" x14ac:dyDescent="0.35">
      <c r="A166" s="7">
        <v>545</v>
      </c>
      <c r="B166" s="49" t="s">
        <v>83</v>
      </c>
      <c r="C166" s="48"/>
      <c r="D166" s="191"/>
      <c r="E166" s="258"/>
      <c r="F166" s="258"/>
      <c r="G166" s="258"/>
      <c r="H166" s="258"/>
      <c r="I166" s="258"/>
      <c r="J166" s="258"/>
      <c r="K166" s="258"/>
      <c r="L166" s="50"/>
      <c r="M166" s="50"/>
      <c r="N166" s="50"/>
      <c r="O166" s="50"/>
      <c r="P166" s="50"/>
      <c r="Q166" s="50"/>
      <c r="R166" s="51"/>
      <c r="S166" s="51"/>
      <c r="T166" s="51"/>
      <c r="U166" s="51"/>
      <c r="V166" s="51"/>
      <c r="W166" s="51"/>
      <c r="X166" s="51"/>
      <c r="Y166" s="51"/>
      <c r="Z166" s="48"/>
      <c r="AA166" s="52"/>
      <c r="AB166" s="52"/>
      <c r="AC166" s="52">
        <v>2</v>
      </c>
      <c r="AD166" s="52">
        <v>6</v>
      </c>
    </row>
    <row r="167" spans="1:35" s="53" customFormat="1" x14ac:dyDescent="0.35">
      <c r="A167" s="7">
        <v>557</v>
      </c>
      <c r="B167" s="49" t="s">
        <v>83</v>
      </c>
      <c r="C167" s="48"/>
      <c r="D167" s="191"/>
      <c r="E167" s="258"/>
      <c r="F167" s="258"/>
      <c r="G167" s="258"/>
      <c r="H167" s="258"/>
      <c r="I167" s="258"/>
      <c r="J167" s="258"/>
      <c r="K167" s="258"/>
      <c r="L167" s="50"/>
      <c r="M167" s="50"/>
      <c r="N167" s="50"/>
      <c r="O167" s="50"/>
      <c r="P167" s="50"/>
      <c r="Q167" s="50"/>
      <c r="R167" s="51"/>
      <c r="S167" s="51"/>
      <c r="T167" s="51"/>
      <c r="U167" s="51"/>
      <c r="V167" s="51"/>
      <c r="W167" s="51"/>
      <c r="X167" s="51"/>
      <c r="Y167" s="51"/>
      <c r="Z167" s="48"/>
      <c r="AA167" s="52"/>
      <c r="AB167" s="52"/>
      <c r="AC167" s="52">
        <v>2</v>
      </c>
      <c r="AD167" s="52">
        <v>6</v>
      </c>
      <c r="AE167" s="62"/>
      <c r="AF167" s="62"/>
      <c r="AG167" s="62"/>
      <c r="AH167" s="62"/>
      <c r="AI167" s="62"/>
    </row>
    <row r="168" spans="1:35" s="56" customFormat="1" ht="15" x14ac:dyDescent="0.35">
      <c r="A168" s="294" t="s">
        <v>190</v>
      </c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</row>
    <row r="169" spans="1:35" s="53" customFormat="1" x14ac:dyDescent="0.35">
      <c r="A169" s="7">
        <v>413</v>
      </c>
      <c r="B169" s="49" t="s">
        <v>191</v>
      </c>
      <c r="C169" s="48"/>
      <c r="D169" s="48">
        <f>SUM(E169:K169,S169,Z169)</f>
        <v>293</v>
      </c>
      <c r="E169" s="258"/>
      <c r="F169" s="258"/>
      <c r="G169" s="258"/>
      <c r="H169" s="271">
        <v>179</v>
      </c>
      <c r="I169" s="271">
        <v>76</v>
      </c>
      <c r="J169" s="258"/>
      <c r="K169" s="258"/>
      <c r="L169" s="50">
        <v>10</v>
      </c>
      <c r="M169" s="50"/>
      <c r="N169" s="50"/>
      <c r="O169" s="50"/>
      <c r="P169" s="50"/>
      <c r="Q169" s="50"/>
      <c r="R169" s="51">
        <v>3</v>
      </c>
      <c r="S169" s="51">
        <v>38</v>
      </c>
      <c r="T169" s="51"/>
      <c r="U169" s="51"/>
      <c r="V169" s="51"/>
      <c r="W169" s="51"/>
      <c r="X169" s="51"/>
      <c r="Y169" s="51">
        <v>2</v>
      </c>
      <c r="Z169" s="48"/>
      <c r="AA169" s="52"/>
      <c r="AB169" s="52"/>
      <c r="AC169" s="52"/>
      <c r="AD169" s="52"/>
    </row>
    <row r="170" spans="1:35" s="56" customFormat="1" ht="15" x14ac:dyDescent="0.35">
      <c r="A170" s="7">
        <v>510</v>
      </c>
      <c r="B170" s="49" t="s">
        <v>191</v>
      </c>
      <c r="C170" s="48"/>
      <c r="D170" s="48">
        <f>SUM(E170:K170,S170,Z170)</f>
        <v>517</v>
      </c>
      <c r="E170" s="258"/>
      <c r="F170" s="258"/>
      <c r="G170" s="258"/>
      <c r="H170" s="258">
        <v>400</v>
      </c>
      <c r="I170" s="258"/>
      <c r="J170" s="258"/>
      <c r="K170" s="258"/>
      <c r="L170" s="50">
        <v>25</v>
      </c>
      <c r="M170" s="50"/>
      <c r="N170" s="50"/>
      <c r="O170" s="50"/>
      <c r="P170" s="50"/>
      <c r="Q170" s="50"/>
      <c r="R170" s="51">
        <v>3</v>
      </c>
      <c r="S170" s="51">
        <v>72</v>
      </c>
      <c r="T170" s="51"/>
      <c r="U170" s="51"/>
      <c r="V170" s="51"/>
      <c r="W170" s="51"/>
      <c r="X170" s="51"/>
      <c r="Y170" s="51">
        <v>3</v>
      </c>
      <c r="Z170" s="48">
        <v>45</v>
      </c>
      <c r="AA170" s="52"/>
      <c r="AB170" s="52"/>
      <c r="AC170" s="52"/>
      <c r="AD170" s="52"/>
    </row>
    <row r="171" spans="1:35" s="53" customFormat="1" x14ac:dyDescent="0.35">
      <c r="A171" s="7">
        <v>3873</v>
      </c>
      <c r="B171" s="49" t="s">
        <v>192</v>
      </c>
      <c r="C171" s="48"/>
      <c r="D171" s="48">
        <v>286</v>
      </c>
      <c r="E171" s="258"/>
      <c r="F171" s="258"/>
      <c r="G171" s="258"/>
      <c r="H171" s="258">
        <v>212</v>
      </c>
      <c r="I171" s="258"/>
      <c r="J171" s="258"/>
      <c r="K171" s="258"/>
      <c r="L171" s="50">
        <v>15</v>
      </c>
      <c r="M171" s="50"/>
      <c r="N171" s="50">
        <v>24</v>
      </c>
      <c r="O171" s="50"/>
      <c r="P171" s="50">
        <v>14</v>
      </c>
      <c r="Q171" s="50">
        <v>2</v>
      </c>
      <c r="R171" s="51">
        <v>2</v>
      </c>
      <c r="S171" s="51">
        <v>62</v>
      </c>
      <c r="T171" s="51"/>
      <c r="U171" s="51"/>
      <c r="V171" s="51"/>
      <c r="W171" s="51"/>
      <c r="X171" s="51"/>
      <c r="Y171" s="51">
        <v>4</v>
      </c>
      <c r="Z171" s="48">
        <v>12</v>
      </c>
      <c r="AA171" s="52"/>
      <c r="AB171" s="52"/>
      <c r="AC171" s="52"/>
      <c r="AD171" s="52"/>
      <c r="AE171" s="62"/>
      <c r="AF171" s="62"/>
      <c r="AG171" s="62"/>
      <c r="AH171" s="62"/>
      <c r="AI171" s="62"/>
    </row>
    <row r="172" spans="1:35" s="53" customFormat="1" x14ac:dyDescent="0.35">
      <c r="A172" s="7">
        <v>3873</v>
      </c>
      <c r="B172" s="49" t="s">
        <v>193</v>
      </c>
      <c r="C172" s="48"/>
      <c r="D172" s="48">
        <v>140</v>
      </c>
      <c r="E172" s="258"/>
      <c r="F172" s="258"/>
      <c r="G172" s="258"/>
      <c r="H172" s="258"/>
      <c r="I172" s="258"/>
      <c r="J172" s="258"/>
      <c r="K172" s="258">
        <v>140</v>
      </c>
      <c r="L172" s="50"/>
      <c r="M172" s="50"/>
      <c r="N172" s="50"/>
      <c r="O172" s="50"/>
      <c r="P172" s="50"/>
      <c r="Q172" s="50"/>
      <c r="R172" s="51"/>
      <c r="S172" s="51"/>
      <c r="T172" s="51"/>
      <c r="U172" s="51"/>
      <c r="V172" s="51"/>
      <c r="W172" s="51"/>
      <c r="X172" s="51"/>
      <c r="Y172" s="51"/>
      <c r="Z172" s="48"/>
      <c r="AA172" s="52"/>
      <c r="AB172" s="52"/>
      <c r="AC172" s="52"/>
      <c r="AD172" s="52"/>
      <c r="AE172" s="62"/>
      <c r="AF172" s="62"/>
      <c r="AG172" s="62"/>
      <c r="AH172" s="62"/>
      <c r="AI172" s="62"/>
    </row>
    <row r="173" spans="1:35" s="53" customFormat="1" x14ac:dyDescent="0.35">
      <c r="A173" s="7">
        <v>3873</v>
      </c>
      <c r="B173" s="49" t="s">
        <v>194</v>
      </c>
      <c r="C173" s="48"/>
      <c r="D173" s="48">
        <v>10</v>
      </c>
      <c r="E173" s="258"/>
      <c r="F173" s="258"/>
      <c r="G173" s="258"/>
      <c r="H173" s="258">
        <v>6</v>
      </c>
      <c r="I173" s="258"/>
      <c r="J173" s="258"/>
      <c r="K173" s="258"/>
      <c r="L173" s="50"/>
      <c r="M173" s="50"/>
      <c r="N173" s="50">
        <v>2.79</v>
      </c>
      <c r="O173" s="50"/>
      <c r="P173" s="50">
        <v>1.87</v>
      </c>
      <c r="Q173" s="50"/>
      <c r="R173" s="51">
        <v>1</v>
      </c>
      <c r="S173" s="51">
        <v>4</v>
      </c>
      <c r="T173" s="51"/>
      <c r="U173" s="51"/>
      <c r="V173" s="51"/>
      <c r="W173" s="51"/>
      <c r="X173" s="51"/>
      <c r="Y173" s="51">
        <v>1</v>
      </c>
      <c r="Z173" s="48"/>
      <c r="AA173" s="52"/>
      <c r="AB173" s="52"/>
      <c r="AC173" s="52"/>
      <c r="AD173" s="52"/>
      <c r="AE173" s="62"/>
      <c r="AF173" s="62"/>
      <c r="AG173" s="62"/>
      <c r="AH173" s="62"/>
      <c r="AI173" s="62"/>
    </row>
    <row r="174" spans="1:35" s="56" customFormat="1" ht="15" x14ac:dyDescent="0.35">
      <c r="A174" s="294" t="s">
        <v>195</v>
      </c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  <c r="AD174" s="294"/>
    </row>
    <row r="175" spans="1:35" s="56" customFormat="1" ht="15" x14ac:dyDescent="0.35">
      <c r="A175" s="7">
        <v>423</v>
      </c>
      <c r="B175" s="49" t="s">
        <v>196</v>
      </c>
      <c r="C175" s="48"/>
      <c r="D175" s="48">
        <f>SUM(E175:K175,S175,Z175)</f>
        <v>140</v>
      </c>
      <c r="E175" s="258"/>
      <c r="F175" s="258"/>
      <c r="G175" s="258"/>
      <c r="H175" s="258">
        <v>95</v>
      </c>
      <c r="I175" s="258"/>
      <c r="J175" s="258"/>
      <c r="K175" s="258"/>
      <c r="L175" s="50">
        <v>4</v>
      </c>
      <c r="M175" s="50"/>
      <c r="N175" s="50">
        <v>25</v>
      </c>
      <c r="O175" s="50">
        <v>95</v>
      </c>
      <c r="P175" s="50">
        <v>14</v>
      </c>
      <c r="Q175" s="50">
        <v>2</v>
      </c>
      <c r="R175" s="51"/>
      <c r="S175" s="51">
        <v>27</v>
      </c>
      <c r="T175" s="51"/>
      <c r="U175" s="51"/>
      <c r="V175" s="51"/>
      <c r="W175" s="51"/>
      <c r="X175" s="51"/>
      <c r="Y175" s="51"/>
      <c r="Z175" s="48">
        <v>18</v>
      </c>
      <c r="AA175" s="52"/>
      <c r="AB175" s="52"/>
      <c r="AC175" s="52"/>
      <c r="AD175" s="52"/>
    </row>
    <row r="176" spans="1:35" s="56" customFormat="1" ht="15" x14ac:dyDescent="0.35">
      <c r="A176" s="294" t="s">
        <v>197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</row>
    <row r="177" spans="1:35" s="53" customFormat="1" x14ac:dyDescent="0.35">
      <c r="A177" s="7">
        <v>723</v>
      </c>
      <c r="B177" s="49" t="s">
        <v>198</v>
      </c>
      <c r="C177" s="48"/>
      <c r="D177" s="48">
        <f>SUM(E177:K177,S177,Z177)</f>
        <v>345</v>
      </c>
      <c r="E177" s="258"/>
      <c r="F177" s="258"/>
      <c r="G177" s="258"/>
      <c r="H177" s="258">
        <v>300</v>
      </c>
      <c r="I177" s="258">
        <v>45</v>
      </c>
      <c r="J177" s="258"/>
      <c r="K177" s="258"/>
      <c r="L177" s="50"/>
      <c r="M177" s="50"/>
      <c r="N177" s="50"/>
      <c r="O177" s="50"/>
      <c r="P177" s="50"/>
      <c r="Q177" s="50"/>
      <c r="R177" s="51"/>
      <c r="S177" s="51"/>
      <c r="T177" s="51"/>
      <c r="U177" s="51"/>
      <c r="V177" s="51"/>
      <c r="W177" s="51"/>
      <c r="X177" s="51"/>
      <c r="Y177" s="51"/>
      <c r="Z177" s="48"/>
      <c r="AA177" s="52"/>
      <c r="AB177" s="52"/>
      <c r="AC177" s="52"/>
      <c r="AD177" s="52"/>
      <c r="AE177" s="62"/>
      <c r="AF177" s="62"/>
      <c r="AG177" s="62"/>
      <c r="AH177" s="62"/>
      <c r="AI177" s="62"/>
    </row>
    <row r="178" spans="1:35" s="53" customFormat="1" ht="15" x14ac:dyDescent="0.35">
      <c r="A178" s="294" t="s">
        <v>199</v>
      </c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56"/>
      <c r="AF178" s="56"/>
      <c r="AG178" s="56"/>
      <c r="AH178" s="56"/>
      <c r="AI178" s="56"/>
    </row>
    <row r="179" spans="1:35" s="53" customFormat="1" x14ac:dyDescent="0.35">
      <c r="A179" s="10">
        <v>466</v>
      </c>
      <c r="B179" s="133" t="s">
        <v>200</v>
      </c>
      <c r="C179" s="147"/>
      <c r="D179" s="147">
        <f>SUM(E179:K179,S179,Z179)</f>
        <v>170.12</v>
      </c>
      <c r="E179" s="148"/>
      <c r="F179" s="148"/>
      <c r="G179" s="148"/>
      <c r="H179" s="148">
        <f>6.3+16.7+1.7</f>
        <v>24.7</v>
      </c>
      <c r="I179" s="148">
        <f>4.2*3.4+8*4.6+4.9*3.4+2.8*3.3+3*1.2+2.6*3.4</f>
        <v>89.419999999999987</v>
      </c>
      <c r="J179" s="148"/>
      <c r="K179" s="148"/>
      <c r="L179" s="149">
        <v>1</v>
      </c>
      <c r="M179" s="149">
        <v>3</v>
      </c>
      <c r="N179" s="153"/>
      <c r="O179" s="149"/>
      <c r="P179" s="149"/>
      <c r="Q179" s="149">
        <v>1</v>
      </c>
      <c r="R179" s="150">
        <v>2</v>
      </c>
      <c r="S179" s="150">
        <v>36</v>
      </c>
      <c r="T179" s="150"/>
      <c r="U179" s="150"/>
      <c r="V179" s="150"/>
      <c r="W179" s="150"/>
      <c r="X179" s="150"/>
      <c r="Y179" s="150"/>
      <c r="Z179" s="147">
        <v>20</v>
      </c>
      <c r="AA179" s="151"/>
      <c r="AB179" s="151">
        <v>2</v>
      </c>
      <c r="AC179" s="151">
        <v>1</v>
      </c>
      <c r="AD179" s="151">
        <v>3</v>
      </c>
      <c r="AE179" s="152"/>
      <c r="AF179" s="152"/>
      <c r="AG179" s="152"/>
      <c r="AH179" s="152"/>
      <c r="AI179" s="152"/>
    </row>
    <row r="180" spans="1:35" s="53" customFormat="1" x14ac:dyDescent="0.35">
      <c r="A180" s="10">
        <v>1030</v>
      </c>
      <c r="B180" s="133" t="s">
        <v>201</v>
      </c>
      <c r="C180" s="147"/>
      <c r="D180" s="147">
        <f>SUM(S180,E180:K180)</f>
        <v>5</v>
      </c>
      <c r="E180" s="148"/>
      <c r="F180" s="148"/>
      <c r="G180" s="148"/>
      <c r="H180" s="148"/>
      <c r="I180" s="148"/>
      <c r="J180" s="148"/>
      <c r="K180" s="148"/>
      <c r="L180" s="149">
        <v>1</v>
      </c>
      <c r="M180" s="149"/>
      <c r="N180" s="149"/>
      <c r="O180" s="149"/>
      <c r="P180" s="149"/>
      <c r="Q180" s="149"/>
      <c r="R180" s="150">
        <v>1</v>
      </c>
      <c r="S180" s="150">
        <v>5</v>
      </c>
      <c r="T180" s="150"/>
      <c r="U180" s="150"/>
      <c r="V180" s="150"/>
      <c r="W180" s="150"/>
      <c r="X180" s="150"/>
      <c r="Y180" s="150"/>
      <c r="Z180" s="147"/>
      <c r="AA180" s="151"/>
      <c r="AB180" s="151"/>
      <c r="AC180" s="151"/>
      <c r="AD180" s="151"/>
      <c r="AE180" s="152"/>
      <c r="AF180" s="152"/>
      <c r="AG180" s="152"/>
      <c r="AH180" s="152"/>
      <c r="AI180" s="152"/>
    </row>
    <row r="181" spans="1:35" s="53" customFormat="1" ht="15" x14ac:dyDescent="0.35">
      <c r="A181" s="294" t="s">
        <v>202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56"/>
      <c r="AF181" s="56"/>
      <c r="AG181" s="56"/>
      <c r="AH181" s="56"/>
      <c r="AI181" s="56"/>
    </row>
    <row r="182" spans="1:35" s="53" customFormat="1" x14ac:dyDescent="0.35">
      <c r="A182" s="10">
        <v>537</v>
      </c>
      <c r="B182" s="133" t="s">
        <v>141</v>
      </c>
      <c r="C182" s="147"/>
      <c r="D182" s="147">
        <f>SUM(E182:K182,S182,Z182)</f>
        <v>1535</v>
      </c>
      <c r="E182" s="148"/>
      <c r="F182" s="148">
        <v>24</v>
      </c>
      <c r="G182" s="148"/>
      <c r="H182" s="148">
        <v>450</v>
      </c>
      <c r="I182" s="148">
        <v>906</v>
      </c>
      <c r="J182" s="148"/>
      <c r="K182" s="148"/>
      <c r="L182" s="149">
        <v>3</v>
      </c>
      <c r="M182" s="149">
        <v>12</v>
      </c>
      <c r="N182" s="149"/>
      <c r="O182" s="149"/>
      <c r="P182" s="149"/>
      <c r="Q182" s="149">
        <v>3</v>
      </c>
      <c r="R182" s="150">
        <v>6</v>
      </c>
      <c r="S182" s="150">
        <v>110</v>
      </c>
      <c r="T182" s="150"/>
      <c r="U182" s="150"/>
      <c r="V182" s="150"/>
      <c r="W182" s="150"/>
      <c r="X182" s="150"/>
      <c r="Y182" s="150"/>
      <c r="Z182" s="147">
        <v>45</v>
      </c>
      <c r="AA182" s="151"/>
      <c r="AB182" s="151"/>
      <c r="AC182" s="151"/>
      <c r="AD182" s="151"/>
      <c r="AE182" s="152"/>
      <c r="AF182" s="152"/>
      <c r="AG182" s="152"/>
      <c r="AH182" s="152"/>
      <c r="AI182" s="152"/>
    </row>
    <row r="183" spans="1:35" s="53" customFormat="1" x14ac:dyDescent="0.35">
      <c r="A183" s="10">
        <v>720</v>
      </c>
      <c r="B183" s="133" t="s">
        <v>173</v>
      </c>
      <c r="C183" s="147"/>
      <c r="D183" s="147">
        <f>SUM(E183:K183,S183,Z183)</f>
        <v>1404</v>
      </c>
      <c r="E183" s="148">
        <v>33</v>
      </c>
      <c r="F183" s="148">
        <v>33</v>
      </c>
      <c r="G183" s="148"/>
      <c r="H183" s="148">
        <v>570</v>
      </c>
      <c r="I183" s="148">
        <v>590</v>
      </c>
      <c r="J183" s="148"/>
      <c r="K183" s="148"/>
      <c r="L183" s="149">
        <v>3</v>
      </c>
      <c r="M183" s="149">
        <v>9</v>
      </c>
      <c r="N183" s="153"/>
      <c r="O183" s="149"/>
      <c r="P183" s="149"/>
      <c r="Q183" s="149">
        <v>4</v>
      </c>
      <c r="R183" s="150">
        <v>8</v>
      </c>
      <c r="S183" s="150">
        <v>138</v>
      </c>
      <c r="T183" s="150"/>
      <c r="U183" s="150"/>
      <c r="V183" s="150"/>
      <c r="W183" s="150"/>
      <c r="X183" s="150"/>
      <c r="Y183" s="150"/>
      <c r="Z183" s="147">
        <v>40</v>
      </c>
      <c r="AA183" s="151"/>
      <c r="AB183" s="151"/>
      <c r="AC183" s="151"/>
      <c r="AD183" s="151"/>
      <c r="AE183" s="152"/>
      <c r="AF183" s="152"/>
      <c r="AG183" s="152"/>
      <c r="AH183" s="152"/>
      <c r="AI183" s="152"/>
    </row>
    <row r="184" spans="1:35" s="53" customFormat="1" ht="15" x14ac:dyDescent="0.35">
      <c r="A184" s="10">
        <v>1020</v>
      </c>
      <c r="B184" s="49" t="s">
        <v>181</v>
      </c>
      <c r="C184" s="48"/>
      <c r="D184" s="48" cm="1">
        <f t="array" ref="D184">SUM(S184+E184:K184)</f>
        <v>589</v>
      </c>
      <c r="E184" s="258"/>
      <c r="F184" s="148"/>
      <c r="G184" s="148"/>
      <c r="H184" s="148">
        <v>37</v>
      </c>
      <c r="I184" s="148">
        <v>90</v>
      </c>
      <c r="J184" s="258"/>
      <c r="K184" s="258"/>
      <c r="L184" s="50">
        <v>1</v>
      </c>
      <c r="M184" s="50">
        <v>3</v>
      </c>
      <c r="N184" s="55"/>
      <c r="O184" s="50"/>
      <c r="P184" s="50"/>
      <c r="Q184" s="149">
        <v>4</v>
      </c>
      <c r="R184" s="51">
        <v>4</v>
      </c>
      <c r="S184" s="51">
        <v>66</v>
      </c>
      <c r="T184" s="51"/>
      <c r="U184" s="51"/>
      <c r="V184" s="51"/>
      <c r="W184" s="51"/>
      <c r="X184" s="51"/>
      <c r="Y184" s="51"/>
      <c r="Z184" s="147">
        <v>26</v>
      </c>
      <c r="AA184" s="52"/>
      <c r="AB184" s="52"/>
      <c r="AC184" s="52"/>
      <c r="AD184" s="52"/>
      <c r="AE184" s="56"/>
      <c r="AF184" s="56"/>
      <c r="AG184" s="56"/>
      <c r="AH184" s="56"/>
      <c r="AI184" s="56"/>
    </row>
    <row r="185" spans="1:35" s="64" customFormat="1" x14ac:dyDescent="0.35">
      <c r="A185" s="295" t="s">
        <v>88</v>
      </c>
      <c r="B185" s="296"/>
      <c r="C185" s="186"/>
      <c r="D185" s="186">
        <f t="shared" ref="D185:AD185" si="17">SUM(D83:D152)</f>
        <v>23870.220600000001</v>
      </c>
      <c r="E185" s="186">
        <f t="shared" si="17"/>
        <v>1104</v>
      </c>
      <c r="F185" s="186">
        <f t="shared" si="17"/>
        <v>571</v>
      </c>
      <c r="G185" s="186">
        <f t="shared" si="17"/>
        <v>0</v>
      </c>
      <c r="H185" s="186">
        <f t="shared" si="17"/>
        <v>15050.220600000001</v>
      </c>
      <c r="I185" s="186">
        <f t="shared" si="17"/>
        <v>3998</v>
      </c>
      <c r="J185" s="186">
        <f t="shared" si="17"/>
        <v>21</v>
      </c>
      <c r="K185" s="186">
        <f t="shared" si="17"/>
        <v>154</v>
      </c>
      <c r="L185" s="186">
        <f t="shared" si="17"/>
        <v>62</v>
      </c>
      <c r="M185" s="186">
        <f t="shared" si="17"/>
        <v>167</v>
      </c>
      <c r="N185" s="186">
        <f t="shared" si="17"/>
        <v>122</v>
      </c>
      <c r="O185" s="186">
        <f t="shared" si="17"/>
        <v>0</v>
      </c>
      <c r="P185" s="186">
        <f t="shared" si="17"/>
        <v>0</v>
      </c>
      <c r="Q185" s="186">
        <f t="shared" si="17"/>
        <v>44</v>
      </c>
      <c r="R185" s="186">
        <f t="shared" si="17"/>
        <v>167</v>
      </c>
      <c r="S185" s="186">
        <f t="shared" si="17"/>
        <v>2753</v>
      </c>
      <c r="T185" s="186">
        <f t="shared" si="17"/>
        <v>0</v>
      </c>
      <c r="U185" s="186">
        <f t="shared" si="17"/>
        <v>0</v>
      </c>
      <c r="V185" s="186">
        <f t="shared" si="17"/>
        <v>0</v>
      </c>
      <c r="W185" s="186">
        <f t="shared" si="17"/>
        <v>0</v>
      </c>
      <c r="X185" s="186">
        <f t="shared" si="17"/>
        <v>0</v>
      </c>
      <c r="Y185" s="186">
        <f t="shared" si="17"/>
        <v>0</v>
      </c>
      <c r="Z185" s="186">
        <f t="shared" si="17"/>
        <v>174</v>
      </c>
      <c r="AA185" s="186">
        <f t="shared" si="17"/>
        <v>14</v>
      </c>
      <c r="AB185" s="186">
        <f t="shared" si="17"/>
        <v>15</v>
      </c>
      <c r="AC185" s="186">
        <f t="shared" si="17"/>
        <v>22</v>
      </c>
      <c r="AD185" s="186">
        <f t="shared" si="17"/>
        <v>68</v>
      </c>
    </row>
    <row r="186" spans="1:35" s="64" customFormat="1" x14ac:dyDescent="0.35">
      <c r="A186" s="295" t="s">
        <v>203</v>
      </c>
      <c r="B186" s="296"/>
      <c r="C186" s="186"/>
      <c r="D186" s="186">
        <f t="shared" ref="D186:AD186" si="18">D154</f>
        <v>854</v>
      </c>
      <c r="E186" s="186">
        <f t="shared" si="18"/>
        <v>0</v>
      </c>
      <c r="F186" s="186">
        <f t="shared" si="18"/>
        <v>0</v>
      </c>
      <c r="G186" s="186">
        <f t="shared" si="18"/>
        <v>0</v>
      </c>
      <c r="H186" s="186">
        <f t="shared" si="18"/>
        <v>37</v>
      </c>
      <c r="I186" s="186">
        <f t="shared" si="18"/>
        <v>90</v>
      </c>
      <c r="J186" s="186">
        <f t="shared" si="18"/>
        <v>0</v>
      </c>
      <c r="K186" s="186">
        <f t="shared" si="18"/>
        <v>265</v>
      </c>
      <c r="L186" s="186">
        <f t="shared" si="18"/>
        <v>1</v>
      </c>
      <c r="M186" s="186">
        <f t="shared" si="18"/>
        <v>3</v>
      </c>
      <c r="N186" s="186">
        <f t="shared" si="18"/>
        <v>0</v>
      </c>
      <c r="O186" s="186">
        <f t="shared" si="18"/>
        <v>0</v>
      </c>
      <c r="P186" s="186">
        <f t="shared" si="18"/>
        <v>0</v>
      </c>
      <c r="Q186" s="186">
        <f t="shared" si="18"/>
        <v>4</v>
      </c>
      <c r="R186" s="186">
        <f t="shared" si="18"/>
        <v>4</v>
      </c>
      <c r="S186" s="186">
        <f t="shared" si="18"/>
        <v>66</v>
      </c>
      <c r="T186" s="186">
        <f t="shared" si="18"/>
        <v>0</v>
      </c>
      <c r="U186" s="186">
        <f t="shared" si="18"/>
        <v>0</v>
      </c>
      <c r="V186" s="186">
        <f t="shared" si="18"/>
        <v>0</v>
      </c>
      <c r="W186" s="186">
        <f t="shared" si="18"/>
        <v>0</v>
      </c>
      <c r="X186" s="186">
        <f t="shared" si="18"/>
        <v>0</v>
      </c>
      <c r="Y186" s="186">
        <f t="shared" si="18"/>
        <v>0</v>
      </c>
      <c r="Z186" s="186">
        <f t="shared" si="18"/>
        <v>26</v>
      </c>
      <c r="AA186" s="186">
        <f t="shared" si="18"/>
        <v>0</v>
      </c>
      <c r="AB186" s="186">
        <f t="shared" si="18"/>
        <v>0</v>
      </c>
      <c r="AC186" s="186">
        <f t="shared" si="18"/>
        <v>0</v>
      </c>
      <c r="AD186" s="186">
        <f t="shared" si="18"/>
        <v>0</v>
      </c>
    </row>
    <row r="187" spans="1:35" s="64" customFormat="1" x14ac:dyDescent="0.35">
      <c r="A187" s="295" t="s">
        <v>204</v>
      </c>
      <c r="B187" s="296"/>
      <c r="C187" s="186"/>
      <c r="D187" s="186">
        <f t="shared" ref="D187:AD187" si="19">SUM(D156:D158)</f>
        <v>1500</v>
      </c>
      <c r="E187" s="186">
        <f t="shared" si="19"/>
        <v>66</v>
      </c>
      <c r="F187" s="186">
        <f t="shared" si="19"/>
        <v>0</v>
      </c>
      <c r="G187" s="186">
        <f t="shared" si="19"/>
        <v>0</v>
      </c>
      <c r="H187" s="186">
        <f t="shared" si="19"/>
        <v>1071</v>
      </c>
      <c r="I187" s="186">
        <f t="shared" si="19"/>
        <v>0</v>
      </c>
      <c r="J187" s="186">
        <f t="shared" si="19"/>
        <v>0</v>
      </c>
      <c r="K187" s="186">
        <f t="shared" si="19"/>
        <v>217</v>
      </c>
      <c r="L187" s="186">
        <f t="shared" si="19"/>
        <v>20</v>
      </c>
      <c r="M187" s="186">
        <f t="shared" si="19"/>
        <v>4</v>
      </c>
      <c r="N187" s="186">
        <f t="shared" si="19"/>
        <v>146</v>
      </c>
      <c r="O187" s="186">
        <f t="shared" si="19"/>
        <v>28</v>
      </c>
      <c r="P187" s="186">
        <f t="shared" si="19"/>
        <v>0</v>
      </c>
      <c r="Q187" s="186">
        <f t="shared" si="19"/>
        <v>1</v>
      </c>
      <c r="R187" s="186">
        <f t="shared" si="19"/>
        <v>9</v>
      </c>
      <c r="S187" s="186">
        <f t="shared" si="19"/>
        <v>119</v>
      </c>
      <c r="T187" s="186">
        <f t="shared" si="19"/>
        <v>0</v>
      </c>
      <c r="U187" s="186">
        <f t="shared" si="19"/>
        <v>0</v>
      </c>
      <c r="V187" s="186">
        <f t="shared" si="19"/>
        <v>0</v>
      </c>
      <c r="W187" s="186">
        <f t="shared" si="19"/>
        <v>0</v>
      </c>
      <c r="X187" s="186">
        <f t="shared" si="19"/>
        <v>0</v>
      </c>
      <c r="Y187" s="186">
        <f t="shared" si="19"/>
        <v>0</v>
      </c>
      <c r="Z187" s="186">
        <f t="shared" si="19"/>
        <v>27</v>
      </c>
      <c r="AA187" s="186">
        <f t="shared" si="19"/>
        <v>3</v>
      </c>
      <c r="AB187" s="186">
        <f t="shared" si="19"/>
        <v>3</v>
      </c>
      <c r="AC187" s="186">
        <f t="shared" si="19"/>
        <v>1</v>
      </c>
      <c r="AD187" s="186">
        <f t="shared" si="19"/>
        <v>3</v>
      </c>
    </row>
    <row r="188" spans="1:35" s="64" customFormat="1" x14ac:dyDescent="0.35">
      <c r="A188" s="316" t="s">
        <v>89</v>
      </c>
      <c r="B188" s="317"/>
      <c r="C188" s="248"/>
      <c r="D188" s="186">
        <f t="shared" ref="D188:AD188" si="20">D160</f>
        <v>324</v>
      </c>
      <c r="E188" s="186">
        <f t="shared" si="20"/>
        <v>99</v>
      </c>
      <c r="F188" s="186">
        <f t="shared" si="20"/>
        <v>0</v>
      </c>
      <c r="G188" s="186">
        <f t="shared" si="20"/>
        <v>0</v>
      </c>
      <c r="H188" s="186">
        <f t="shared" si="20"/>
        <v>203</v>
      </c>
      <c r="I188" s="186">
        <f t="shared" si="20"/>
        <v>0</v>
      </c>
      <c r="J188" s="186">
        <f t="shared" si="20"/>
        <v>0</v>
      </c>
      <c r="K188" s="186">
        <f t="shared" si="20"/>
        <v>0</v>
      </c>
      <c r="L188" s="186">
        <f t="shared" si="20"/>
        <v>0</v>
      </c>
      <c r="M188" s="186">
        <f t="shared" si="20"/>
        <v>0</v>
      </c>
      <c r="N188" s="186">
        <f t="shared" si="20"/>
        <v>10</v>
      </c>
      <c r="O188" s="186">
        <f t="shared" si="20"/>
        <v>0</v>
      </c>
      <c r="P188" s="186">
        <f t="shared" si="20"/>
        <v>0</v>
      </c>
      <c r="Q188" s="186">
        <f t="shared" si="20"/>
        <v>1</v>
      </c>
      <c r="R188" s="186">
        <f t="shared" si="20"/>
        <v>1</v>
      </c>
      <c r="S188" s="186">
        <f t="shared" si="20"/>
        <v>13</v>
      </c>
      <c r="T188" s="186">
        <f t="shared" si="20"/>
        <v>0</v>
      </c>
      <c r="U188" s="186">
        <f t="shared" si="20"/>
        <v>0</v>
      </c>
      <c r="V188" s="186">
        <f t="shared" si="20"/>
        <v>0</v>
      </c>
      <c r="W188" s="186">
        <f t="shared" si="20"/>
        <v>0</v>
      </c>
      <c r="X188" s="186">
        <f t="shared" si="20"/>
        <v>0</v>
      </c>
      <c r="Y188" s="186">
        <f t="shared" si="20"/>
        <v>0</v>
      </c>
      <c r="Z188" s="186">
        <f t="shared" si="20"/>
        <v>9</v>
      </c>
      <c r="AA188" s="186">
        <f t="shared" si="20"/>
        <v>0</v>
      </c>
      <c r="AB188" s="186">
        <f t="shared" si="20"/>
        <v>0</v>
      </c>
      <c r="AC188" s="186">
        <f t="shared" si="20"/>
        <v>0</v>
      </c>
      <c r="AD188" s="186">
        <f t="shared" si="20"/>
        <v>0</v>
      </c>
    </row>
    <row r="189" spans="1:35" s="64" customFormat="1" x14ac:dyDescent="0.35">
      <c r="A189" s="295" t="s">
        <v>205</v>
      </c>
      <c r="B189" s="296"/>
      <c r="C189" s="186"/>
      <c r="D189" s="186">
        <f t="shared" ref="D189:AD189" si="21">SUM(D162:D164)</f>
        <v>1689</v>
      </c>
      <c r="E189" s="186">
        <f t="shared" si="21"/>
        <v>0</v>
      </c>
      <c r="F189" s="186">
        <f t="shared" si="21"/>
        <v>0</v>
      </c>
      <c r="G189" s="186">
        <f t="shared" si="21"/>
        <v>0</v>
      </c>
      <c r="H189" s="186">
        <f t="shared" si="21"/>
        <v>404</v>
      </c>
      <c r="I189" s="186">
        <f t="shared" si="21"/>
        <v>1031</v>
      </c>
      <c r="J189" s="186">
        <f t="shared" si="21"/>
        <v>0</v>
      </c>
      <c r="K189" s="186">
        <f t="shared" si="21"/>
        <v>0</v>
      </c>
      <c r="L189" s="186">
        <f t="shared" si="21"/>
        <v>2</v>
      </c>
      <c r="M189" s="186">
        <f t="shared" si="21"/>
        <v>3</v>
      </c>
      <c r="N189" s="186">
        <f t="shared" si="21"/>
        <v>42</v>
      </c>
      <c r="O189" s="186">
        <f t="shared" si="21"/>
        <v>0</v>
      </c>
      <c r="P189" s="186">
        <f t="shared" si="21"/>
        <v>0</v>
      </c>
      <c r="Q189" s="186">
        <f t="shared" si="21"/>
        <v>0</v>
      </c>
      <c r="R189" s="186">
        <f t="shared" si="21"/>
        <v>10</v>
      </c>
      <c r="S189" s="186">
        <f t="shared" si="21"/>
        <v>235</v>
      </c>
      <c r="T189" s="186">
        <f t="shared" si="21"/>
        <v>0</v>
      </c>
      <c r="U189" s="186">
        <f t="shared" si="21"/>
        <v>0</v>
      </c>
      <c r="V189" s="186">
        <f t="shared" si="21"/>
        <v>0</v>
      </c>
      <c r="W189" s="186">
        <f t="shared" si="21"/>
        <v>0</v>
      </c>
      <c r="X189" s="186">
        <f t="shared" si="21"/>
        <v>0</v>
      </c>
      <c r="Y189" s="186">
        <f t="shared" si="21"/>
        <v>0</v>
      </c>
      <c r="Z189" s="186">
        <f t="shared" si="21"/>
        <v>10</v>
      </c>
      <c r="AA189" s="186">
        <f t="shared" si="21"/>
        <v>0</v>
      </c>
      <c r="AB189" s="186">
        <f t="shared" si="21"/>
        <v>0</v>
      </c>
      <c r="AC189" s="186">
        <f t="shared" si="21"/>
        <v>0</v>
      </c>
      <c r="AD189" s="186">
        <f t="shared" si="21"/>
        <v>0</v>
      </c>
    </row>
    <row r="190" spans="1:35" s="64" customFormat="1" x14ac:dyDescent="0.35">
      <c r="A190" s="295" t="s">
        <v>206</v>
      </c>
      <c r="B190" s="296"/>
      <c r="C190" s="186"/>
      <c r="D190" s="186">
        <f t="shared" ref="D190:AD190" si="22">SUM(D166:D167)</f>
        <v>0</v>
      </c>
      <c r="E190" s="186">
        <f t="shared" si="22"/>
        <v>0</v>
      </c>
      <c r="F190" s="186">
        <f t="shared" si="22"/>
        <v>0</v>
      </c>
      <c r="G190" s="186">
        <f t="shared" si="22"/>
        <v>0</v>
      </c>
      <c r="H190" s="186">
        <f t="shared" si="22"/>
        <v>0</v>
      </c>
      <c r="I190" s="186">
        <f t="shared" si="22"/>
        <v>0</v>
      </c>
      <c r="J190" s="186">
        <f t="shared" si="22"/>
        <v>0</v>
      </c>
      <c r="K190" s="186">
        <f t="shared" si="22"/>
        <v>0</v>
      </c>
      <c r="L190" s="186">
        <f t="shared" si="22"/>
        <v>0</v>
      </c>
      <c r="M190" s="186">
        <f t="shared" si="22"/>
        <v>0</v>
      </c>
      <c r="N190" s="186">
        <f t="shared" si="22"/>
        <v>0</v>
      </c>
      <c r="O190" s="186">
        <f t="shared" si="22"/>
        <v>0</v>
      </c>
      <c r="P190" s="186">
        <f t="shared" si="22"/>
        <v>0</v>
      </c>
      <c r="Q190" s="186">
        <f t="shared" si="22"/>
        <v>0</v>
      </c>
      <c r="R190" s="186">
        <f t="shared" si="22"/>
        <v>0</v>
      </c>
      <c r="S190" s="186">
        <f t="shared" si="22"/>
        <v>0</v>
      </c>
      <c r="T190" s="186">
        <f t="shared" si="22"/>
        <v>0</v>
      </c>
      <c r="U190" s="186">
        <f t="shared" si="22"/>
        <v>0</v>
      </c>
      <c r="V190" s="186">
        <f t="shared" si="22"/>
        <v>0</v>
      </c>
      <c r="W190" s="186">
        <f t="shared" si="22"/>
        <v>0</v>
      </c>
      <c r="X190" s="186">
        <f t="shared" si="22"/>
        <v>0</v>
      </c>
      <c r="Y190" s="186">
        <f t="shared" si="22"/>
        <v>0</v>
      </c>
      <c r="Z190" s="186">
        <f t="shared" si="22"/>
        <v>0</v>
      </c>
      <c r="AA190" s="186">
        <f t="shared" si="22"/>
        <v>0</v>
      </c>
      <c r="AB190" s="186">
        <f t="shared" si="22"/>
        <v>0</v>
      </c>
      <c r="AC190" s="186">
        <f t="shared" si="22"/>
        <v>4</v>
      </c>
      <c r="AD190" s="186">
        <f t="shared" si="22"/>
        <v>12</v>
      </c>
    </row>
    <row r="191" spans="1:35" s="64" customFormat="1" x14ac:dyDescent="0.35">
      <c r="A191" s="187"/>
      <c r="B191" s="256" t="s">
        <v>207</v>
      </c>
      <c r="C191" s="186"/>
      <c r="D191" s="186">
        <f t="shared" ref="D191:AD191" si="23">SUM(D169:D173)</f>
        <v>1246</v>
      </c>
      <c r="E191" s="186">
        <f t="shared" si="23"/>
        <v>0</v>
      </c>
      <c r="F191" s="186">
        <f t="shared" si="23"/>
        <v>0</v>
      </c>
      <c r="G191" s="186">
        <f t="shared" si="23"/>
        <v>0</v>
      </c>
      <c r="H191" s="186">
        <f t="shared" si="23"/>
        <v>797</v>
      </c>
      <c r="I191" s="186">
        <f t="shared" si="23"/>
        <v>76</v>
      </c>
      <c r="J191" s="186">
        <f t="shared" si="23"/>
        <v>0</v>
      </c>
      <c r="K191" s="186">
        <f t="shared" si="23"/>
        <v>140</v>
      </c>
      <c r="L191" s="186">
        <f t="shared" si="23"/>
        <v>50</v>
      </c>
      <c r="M191" s="186">
        <f t="shared" si="23"/>
        <v>0</v>
      </c>
      <c r="N191" s="186">
        <f t="shared" si="23"/>
        <v>26.79</v>
      </c>
      <c r="O191" s="186">
        <f t="shared" si="23"/>
        <v>0</v>
      </c>
      <c r="P191" s="186">
        <f t="shared" si="23"/>
        <v>15.870000000000001</v>
      </c>
      <c r="Q191" s="186">
        <f t="shared" si="23"/>
        <v>2</v>
      </c>
      <c r="R191" s="186">
        <f t="shared" si="23"/>
        <v>9</v>
      </c>
      <c r="S191" s="186">
        <f t="shared" si="23"/>
        <v>176</v>
      </c>
      <c r="T191" s="186">
        <f t="shared" si="23"/>
        <v>0</v>
      </c>
      <c r="U191" s="186">
        <f t="shared" si="23"/>
        <v>0</v>
      </c>
      <c r="V191" s="186">
        <f t="shared" si="23"/>
        <v>0</v>
      </c>
      <c r="W191" s="186">
        <f t="shared" si="23"/>
        <v>0</v>
      </c>
      <c r="X191" s="186">
        <f t="shared" si="23"/>
        <v>0</v>
      </c>
      <c r="Y191" s="186">
        <f t="shared" si="23"/>
        <v>10</v>
      </c>
      <c r="Z191" s="186">
        <f t="shared" si="23"/>
        <v>57</v>
      </c>
      <c r="AA191" s="186">
        <f t="shared" si="23"/>
        <v>0</v>
      </c>
      <c r="AB191" s="186">
        <f t="shared" si="23"/>
        <v>0</v>
      </c>
      <c r="AC191" s="186">
        <f t="shared" si="23"/>
        <v>0</v>
      </c>
      <c r="AD191" s="186">
        <f t="shared" si="23"/>
        <v>0</v>
      </c>
    </row>
    <row r="192" spans="1:35" s="64" customFormat="1" x14ac:dyDescent="0.35">
      <c r="A192" s="187"/>
      <c r="B192" s="256" t="s">
        <v>208</v>
      </c>
      <c r="C192" s="186"/>
      <c r="D192" s="186">
        <f t="shared" ref="D192:AD192" si="24">D175</f>
        <v>140</v>
      </c>
      <c r="E192" s="186">
        <f t="shared" si="24"/>
        <v>0</v>
      </c>
      <c r="F192" s="186">
        <f t="shared" si="24"/>
        <v>0</v>
      </c>
      <c r="G192" s="186">
        <f t="shared" si="24"/>
        <v>0</v>
      </c>
      <c r="H192" s="186">
        <f t="shared" si="24"/>
        <v>95</v>
      </c>
      <c r="I192" s="186">
        <f t="shared" si="24"/>
        <v>0</v>
      </c>
      <c r="J192" s="186">
        <f t="shared" si="24"/>
        <v>0</v>
      </c>
      <c r="K192" s="186">
        <f t="shared" si="24"/>
        <v>0</v>
      </c>
      <c r="L192" s="186">
        <f t="shared" si="24"/>
        <v>4</v>
      </c>
      <c r="M192" s="186">
        <f t="shared" si="24"/>
        <v>0</v>
      </c>
      <c r="N192" s="186">
        <f t="shared" si="24"/>
        <v>25</v>
      </c>
      <c r="O192" s="186">
        <f t="shared" si="24"/>
        <v>95</v>
      </c>
      <c r="P192" s="186">
        <f t="shared" si="24"/>
        <v>14</v>
      </c>
      <c r="Q192" s="186">
        <f t="shared" si="24"/>
        <v>2</v>
      </c>
      <c r="R192" s="186">
        <f t="shared" si="24"/>
        <v>0</v>
      </c>
      <c r="S192" s="186">
        <f t="shared" si="24"/>
        <v>27</v>
      </c>
      <c r="T192" s="186">
        <f t="shared" si="24"/>
        <v>0</v>
      </c>
      <c r="U192" s="186">
        <f t="shared" si="24"/>
        <v>0</v>
      </c>
      <c r="V192" s="186">
        <f t="shared" si="24"/>
        <v>0</v>
      </c>
      <c r="W192" s="186">
        <f t="shared" si="24"/>
        <v>0</v>
      </c>
      <c r="X192" s="186">
        <f t="shared" si="24"/>
        <v>0</v>
      </c>
      <c r="Y192" s="186">
        <f t="shared" si="24"/>
        <v>0</v>
      </c>
      <c r="Z192" s="186">
        <f t="shared" si="24"/>
        <v>18</v>
      </c>
      <c r="AA192" s="186">
        <f t="shared" si="24"/>
        <v>0</v>
      </c>
      <c r="AB192" s="186">
        <f t="shared" si="24"/>
        <v>0</v>
      </c>
      <c r="AC192" s="186">
        <f t="shared" si="24"/>
        <v>0</v>
      </c>
      <c r="AD192" s="186">
        <f t="shared" si="24"/>
        <v>0</v>
      </c>
    </row>
    <row r="193" spans="1:35" s="64" customFormat="1" x14ac:dyDescent="0.35">
      <c r="A193" s="187"/>
      <c r="B193" s="256" t="s">
        <v>209</v>
      </c>
      <c r="C193" s="186"/>
      <c r="D193" s="186">
        <f t="shared" ref="D193:AD193" si="25">D177</f>
        <v>345</v>
      </c>
      <c r="E193" s="186">
        <f t="shared" si="25"/>
        <v>0</v>
      </c>
      <c r="F193" s="186">
        <f t="shared" si="25"/>
        <v>0</v>
      </c>
      <c r="G193" s="186">
        <f t="shared" si="25"/>
        <v>0</v>
      </c>
      <c r="H193" s="186">
        <f t="shared" si="25"/>
        <v>300</v>
      </c>
      <c r="I193" s="186">
        <f t="shared" si="25"/>
        <v>45</v>
      </c>
      <c r="J193" s="186">
        <f t="shared" si="25"/>
        <v>0</v>
      </c>
      <c r="K193" s="186">
        <f t="shared" si="25"/>
        <v>0</v>
      </c>
      <c r="L193" s="186">
        <f t="shared" si="25"/>
        <v>0</v>
      </c>
      <c r="M193" s="186">
        <f t="shared" si="25"/>
        <v>0</v>
      </c>
      <c r="N193" s="186">
        <f t="shared" si="25"/>
        <v>0</v>
      </c>
      <c r="O193" s="186">
        <f t="shared" si="25"/>
        <v>0</v>
      </c>
      <c r="P193" s="186">
        <f t="shared" si="25"/>
        <v>0</v>
      </c>
      <c r="Q193" s="186">
        <f t="shared" si="25"/>
        <v>0</v>
      </c>
      <c r="R193" s="186">
        <f t="shared" si="25"/>
        <v>0</v>
      </c>
      <c r="S193" s="186">
        <f t="shared" si="25"/>
        <v>0</v>
      </c>
      <c r="T193" s="186">
        <f t="shared" si="25"/>
        <v>0</v>
      </c>
      <c r="U193" s="186">
        <f t="shared" si="25"/>
        <v>0</v>
      </c>
      <c r="V193" s="186">
        <f t="shared" si="25"/>
        <v>0</v>
      </c>
      <c r="W193" s="186">
        <f t="shared" si="25"/>
        <v>0</v>
      </c>
      <c r="X193" s="186">
        <f t="shared" si="25"/>
        <v>0</v>
      </c>
      <c r="Y193" s="186">
        <f t="shared" si="25"/>
        <v>0</v>
      </c>
      <c r="Z193" s="186">
        <f t="shared" si="25"/>
        <v>0</v>
      </c>
      <c r="AA193" s="186">
        <f t="shared" si="25"/>
        <v>0</v>
      </c>
      <c r="AB193" s="186">
        <f t="shared" si="25"/>
        <v>0</v>
      </c>
      <c r="AC193" s="186">
        <f t="shared" si="25"/>
        <v>0</v>
      </c>
      <c r="AD193" s="186">
        <f t="shared" si="25"/>
        <v>0</v>
      </c>
    </row>
    <row r="194" spans="1:35" s="64" customFormat="1" x14ac:dyDescent="0.35">
      <c r="A194" s="187"/>
      <c r="B194" s="256" t="s">
        <v>210</v>
      </c>
      <c r="C194" s="249"/>
      <c r="D194" s="186">
        <f>SUM(D179:D180)</f>
        <v>175.12</v>
      </c>
      <c r="E194" s="186">
        <f t="shared" ref="E194:AD194" si="26">SUM(E179:E180)</f>
        <v>0</v>
      </c>
      <c r="F194" s="186">
        <f t="shared" si="26"/>
        <v>0</v>
      </c>
      <c r="G194" s="186">
        <f t="shared" si="26"/>
        <v>0</v>
      </c>
      <c r="H194" s="186">
        <f t="shared" si="26"/>
        <v>24.7</v>
      </c>
      <c r="I194" s="186">
        <f t="shared" si="26"/>
        <v>89.419999999999987</v>
      </c>
      <c r="J194" s="186">
        <f t="shared" si="26"/>
        <v>0</v>
      </c>
      <c r="K194" s="186">
        <f t="shared" si="26"/>
        <v>0</v>
      </c>
      <c r="L194" s="186">
        <f t="shared" si="26"/>
        <v>2</v>
      </c>
      <c r="M194" s="186">
        <f t="shared" si="26"/>
        <v>3</v>
      </c>
      <c r="N194" s="186">
        <f t="shared" si="26"/>
        <v>0</v>
      </c>
      <c r="O194" s="186">
        <f t="shared" si="26"/>
        <v>0</v>
      </c>
      <c r="P194" s="186">
        <f t="shared" si="26"/>
        <v>0</v>
      </c>
      <c r="Q194" s="186">
        <f t="shared" si="26"/>
        <v>1</v>
      </c>
      <c r="R194" s="186">
        <f t="shared" si="26"/>
        <v>3</v>
      </c>
      <c r="S194" s="186">
        <f t="shared" si="26"/>
        <v>41</v>
      </c>
      <c r="T194" s="186">
        <f t="shared" si="26"/>
        <v>0</v>
      </c>
      <c r="U194" s="186">
        <f t="shared" si="26"/>
        <v>0</v>
      </c>
      <c r="V194" s="186">
        <f t="shared" si="26"/>
        <v>0</v>
      </c>
      <c r="W194" s="186">
        <f t="shared" si="26"/>
        <v>0</v>
      </c>
      <c r="X194" s="186">
        <f t="shared" si="26"/>
        <v>0</v>
      </c>
      <c r="Y194" s="186">
        <f t="shared" si="26"/>
        <v>0</v>
      </c>
      <c r="Z194" s="186">
        <f t="shared" si="26"/>
        <v>20</v>
      </c>
      <c r="AA194" s="186">
        <f t="shared" si="26"/>
        <v>0</v>
      </c>
      <c r="AB194" s="186">
        <f t="shared" si="26"/>
        <v>2</v>
      </c>
      <c r="AC194" s="186">
        <f t="shared" si="26"/>
        <v>1</v>
      </c>
      <c r="AD194" s="186">
        <f t="shared" si="26"/>
        <v>3</v>
      </c>
    </row>
    <row r="195" spans="1:35" s="64" customFormat="1" ht="13.35" thickBot="1" x14ac:dyDescent="0.4">
      <c r="A195" s="187"/>
      <c r="B195" s="256" t="s">
        <v>211</v>
      </c>
      <c r="C195" s="249"/>
      <c r="D195" s="186">
        <f>SUM(D182:D184)</f>
        <v>3528</v>
      </c>
      <c r="E195" s="186">
        <f t="shared" ref="E195:AD195" si="27">SUM(E182:E184)</f>
        <v>33</v>
      </c>
      <c r="F195" s="186">
        <f t="shared" si="27"/>
        <v>57</v>
      </c>
      <c r="G195" s="186">
        <f t="shared" si="27"/>
        <v>0</v>
      </c>
      <c r="H195" s="186">
        <f t="shared" si="27"/>
        <v>1057</v>
      </c>
      <c r="I195" s="186">
        <f t="shared" si="27"/>
        <v>1586</v>
      </c>
      <c r="J195" s="186">
        <f t="shared" si="27"/>
        <v>0</v>
      </c>
      <c r="K195" s="186">
        <f t="shared" si="27"/>
        <v>0</v>
      </c>
      <c r="L195" s="186">
        <f t="shared" si="27"/>
        <v>7</v>
      </c>
      <c r="M195" s="186">
        <f t="shared" si="27"/>
        <v>24</v>
      </c>
      <c r="N195" s="186">
        <f t="shared" si="27"/>
        <v>0</v>
      </c>
      <c r="O195" s="186">
        <f t="shared" si="27"/>
        <v>0</v>
      </c>
      <c r="P195" s="186">
        <f t="shared" si="27"/>
        <v>0</v>
      </c>
      <c r="Q195" s="186">
        <f t="shared" si="27"/>
        <v>11</v>
      </c>
      <c r="R195" s="186">
        <f t="shared" si="27"/>
        <v>18</v>
      </c>
      <c r="S195" s="186">
        <f t="shared" si="27"/>
        <v>314</v>
      </c>
      <c r="T195" s="186">
        <f t="shared" si="27"/>
        <v>0</v>
      </c>
      <c r="U195" s="186">
        <f t="shared" si="27"/>
        <v>0</v>
      </c>
      <c r="V195" s="186">
        <f t="shared" si="27"/>
        <v>0</v>
      </c>
      <c r="W195" s="186">
        <f t="shared" si="27"/>
        <v>0</v>
      </c>
      <c r="X195" s="186">
        <f t="shared" si="27"/>
        <v>0</v>
      </c>
      <c r="Y195" s="186">
        <f t="shared" si="27"/>
        <v>0</v>
      </c>
      <c r="Z195" s="186">
        <f t="shared" si="27"/>
        <v>111</v>
      </c>
      <c r="AA195" s="186">
        <f t="shared" si="27"/>
        <v>0</v>
      </c>
      <c r="AB195" s="186">
        <f t="shared" si="27"/>
        <v>0</v>
      </c>
      <c r="AC195" s="186">
        <f t="shared" si="27"/>
        <v>0</v>
      </c>
      <c r="AD195" s="186">
        <f t="shared" si="27"/>
        <v>0</v>
      </c>
    </row>
    <row r="196" spans="1:35" s="61" customFormat="1" thickBot="1" x14ac:dyDescent="0.4">
      <c r="A196" s="309" t="s">
        <v>212</v>
      </c>
      <c r="B196" s="310"/>
      <c r="C196" s="188"/>
      <c r="D196" s="188">
        <f>SUM(D185:D195)</f>
        <v>33671.340599999996</v>
      </c>
      <c r="E196" s="188">
        <f t="shared" ref="E196:AB196" si="28">SUM(E185:E195)</f>
        <v>1302</v>
      </c>
      <c r="F196" s="188">
        <f t="shared" si="28"/>
        <v>628</v>
      </c>
      <c r="G196" s="188">
        <f t="shared" si="28"/>
        <v>0</v>
      </c>
      <c r="H196" s="188">
        <f t="shared" si="28"/>
        <v>19038.920600000001</v>
      </c>
      <c r="I196" s="188">
        <f t="shared" si="28"/>
        <v>6915.42</v>
      </c>
      <c r="J196" s="188">
        <f t="shared" si="28"/>
        <v>21</v>
      </c>
      <c r="K196" s="188">
        <f t="shared" si="28"/>
        <v>776</v>
      </c>
      <c r="L196" s="188">
        <f t="shared" si="28"/>
        <v>148</v>
      </c>
      <c r="M196" s="188">
        <f t="shared" si="28"/>
        <v>204</v>
      </c>
      <c r="N196" s="188">
        <f t="shared" si="28"/>
        <v>371.79</v>
      </c>
      <c r="O196" s="188">
        <f t="shared" si="28"/>
        <v>123</v>
      </c>
      <c r="P196" s="188">
        <f t="shared" si="28"/>
        <v>29.87</v>
      </c>
      <c r="Q196" s="188">
        <f t="shared" si="28"/>
        <v>66</v>
      </c>
      <c r="R196" s="188">
        <f t="shared" si="28"/>
        <v>221</v>
      </c>
      <c r="S196" s="188">
        <f t="shared" si="28"/>
        <v>3744</v>
      </c>
      <c r="T196" s="188">
        <f t="shared" si="28"/>
        <v>0</v>
      </c>
      <c r="U196" s="188">
        <f t="shared" si="28"/>
        <v>0</v>
      </c>
      <c r="V196" s="188">
        <f t="shared" si="28"/>
        <v>0</v>
      </c>
      <c r="W196" s="188">
        <f t="shared" si="28"/>
        <v>0</v>
      </c>
      <c r="X196" s="188">
        <f t="shared" si="28"/>
        <v>0</v>
      </c>
      <c r="Y196" s="188">
        <f t="shared" si="28"/>
        <v>10</v>
      </c>
      <c r="Z196" s="188">
        <f t="shared" si="28"/>
        <v>452</v>
      </c>
      <c r="AA196" s="188">
        <f t="shared" si="28"/>
        <v>17</v>
      </c>
      <c r="AB196" s="188">
        <f t="shared" si="28"/>
        <v>20</v>
      </c>
      <c r="AC196" s="188">
        <f>SUM(AC185:AC195)</f>
        <v>28</v>
      </c>
      <c r="AD196" s="188">
        <f>SUM(AD185:AD195)</f>
        <v>86</v>
      </c>
    </row>
    <row r="197" spans="1:35" s="204" customFormat="1" x14ac:dyDescent="0.35">
      <c r="A197" s="299"/>
      <c r="B197" s="300"/>
      <c r="C197" s="254"/>
      <c r="D197" s="254">
        <f t="shared" ref="D197:AB197" si="29">SUM(D83:D152,D154,D156:D158,D160,D162:D164,D169:D173,D175,D177,D179:D180,D182:D184)</f>
        <v>33671.340599999996</v>
      </c>
      <c r="E197" s="254">
        <f t="shared" si="29"/>
        <v>1302</v>
      </c>
      <c r="F197" s="254">
        <f t="shared" si="29"/>
        <v>628</v>
      </c>
      <c r="G197" s="254">
        <f t="shared" si="29"/>
        <v>0</v>
      </c>
      <c r="H197" s="254">
        <f t="shared" si="29"/>
        <v>19038.920600000001</v>
      </c>
      <c r="I197" s="254">
        <f t="shared" si="29"/>
        <v>6915.42</v>
      </c>
      <c r="J197" s="254">
        <f t="shared" si="29"/>
        <v>21</v>
      </c>
      <c r="K197" s="254">
        <f t="shared" si="29"/>
        <v>776</v>
      </c>
      <c r="L197" s="254">
        <f t="shared" si="29"/>
        <v>148</v>
      </c>
      <c r="M197" s="254">
        <f t="shared" si="29"/>
        <v>204</v>
      </c>
      <c r="N197" s="254">
        <f t="shared" si="29"/>
        <v>371.79</v>
      </c>
      <c r="O197" s="254">
        <f t="shared" si="29"/>
        <v>123</v>
      </c>
      <c r="P197" s="254">
        <f t="shared" si="29"/>
        <v>29.87</v>
      </c>
      <c r="Q197" s="254">
        <f t="shared" si="29"/>
        <v>66</v>
      </c>
      <c r="R197" s="254">
        <f t="shared" si="29"/>
        <v>221</v>
      </c>
      <c r="S197" s="254">
        <f t="shared" si="29"/>
        <v>3744</v>
      </c>
      <c r="T197" s="254">
        <f t="shared" si="29"/>
        <v>0</v>
      </c>
      <c r="U197" s="254">
        <f t="shared" si="29"/>
        <v>0</v>
      </c>
      <c r="V197" s="254">
        <f t="shared" si="29"/>
        <v>0</v>
      </c>
      <c r="W197" s="254">
        <f t="shared" si="29"/>
        <v>0</v>
      </c>
      <c r="X197" s="254">
        <f t="shared" si="29"/>
        <v>0</v>
      </c>
      <c r="Y197" s="254">
        <f t="shared" si="29"/>
        <v>10</v>
      </c>
      <c r="Z197" s="254">
        <f t="shared" si="29"/>
        <v>452</v>
      </c>
      <c r="AA197" s="254">
        <f t="shared" si="29"/>
        <v>17</v>
      </c>
      <c r="AB197" s="254">
        <f t="shared" si="29"/>
        <v>20</v>
      </c>
      <c r="AC197" s="254">
        <f>SUM(AC83:AC152,AC154,AC156:AC158,AC160,AC162:AC164,AC166:AC167,AC169:AC173,AC175,AC177,AC179:AC180,AC182:AC184)</f>
        <v>28</v>
      </c>
      <c r="AD197" s="254">
        <f>SUM(AD83:AD152,AD154,AD156:AD158,AD160,AD162:AD164,AD166:AD167,AD169:AD173,AD175,AD177,AD179:AD180,AD182:AD184)</f>
        <v>86</v>
      </c>
    </row>
    <row r="198" spans="1:35" s="47" customFormat="1" ht="15.75" customHeight="1" x14ac:dyDescent="0.35">
      <c r="A198" s="313" t="s">
        <v>213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314"/>
      <c r="AB198" s="314"/>
      <c r="AC198" s="314"/>
      <c r="AD198" s="315"/>
    </row>
    <row r="199" spans="1:35" s="56" customFormat="1" ht="15" x14ac:dyDescent="0.35">
      <c r="A199" s="294" t="s">
        <v>108</v>
      </c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  <c r="AC199" s="294"/>
      <c r="AD199" s="294"/>
    </row>
    <row r="200" spans="1:35" x14ac:dyDescent="0.35">
      <c r="A200" s="3">
        <v>2100</v>
      </c>
      <c r="B200" s="63" t="s">
        <v>214</v>
      </c>
      <c r="C200" s="65"/>
      <c r="D200" s="65">
        <f>SUM(E200:K200,S200,Z200)</f>
        <v>2078</v>
      </c>
      <c r="E200" s="66">
        <v>120</v>
      </c>
      <c r="F200" s="66"/>
      <c r="G200" s="66"/>
      <c r="H200" s="66">
        <v>404</v>
      </c>
      <c r="I200" s="66"/>
      <c r="J200" s="66"/>
      <c r="K200" s="66">
        <v>1500</v>
      </c>
      <c r="L200" s="67"/>
      <c r="M200" s="67"/>
      <c r="N200" s="67"/>
      <c r="O200" s="67"/>
      <c r="P200" s="67"/>
      <c r="Q200" s="67"/>
      <c r="R200" s="68">
        <v>4</v>
      </c>
      <c r="S200" s="68">
        <v>54</v>
      </c>
      <c r="T200" s="68"/>
      <c r="U200" s="68"/>
      <c r="V200" s="68"/>
      <c r="W200" s="68"/>
      <c r="X200" s="68"/>
      <c r="Y200" s="68"/>
      <c r="Z200" s="65"/>
      <c r="AA200" s="69"/>
      <c r="AB200" s="69"/>
      <c r="AC200" s="69"/>
      <c r="AD200" s="69"/>
      <c r="AE200" s="70"/>
      <c r="AF200" s="70"/>
      <c r="AG200" s="70"/>
      <c r="AH200" s="70"/>
      <c r="AI200" s="70"/>
    </row>
    <row r="201" spans="1:35" ht="26.25" thickBot="1" x14ac:dyDescent="0.4">
      <c r="A201" s="273" t="s">
        <v>519</v>
      </c>
      <c r="B201" s="63" t="s">
        <v>214</v>
      </c>
      <c r="C201" s="272"/>
      <c r="D201" s="321" t="s">
        <v>520</v>
      </c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70"/>
      <c r="AF201" s="70"/>
      <c r="AG201" s="70"/>
      <c r="AH201" s="70"/>
      <c r="AI201" s="70"/>
    </row>
    <row r="202" spans="1:35" s="61" customFormat="1" thickBot="1" x14ac:dyDescent="0.4">
      <c r="A202" s="309" t="s">
        <v>215</v>
      </c>
      <c r="B202" s="310"/>
      <c r="C202" s="188"/>
      <c r="D202" s="274">
        <f>D200</f>
        <v>2078</v>
      </c>
      <c r="E202" s="274">
        <f>E200</f>
        <v>120</v>
      </c>
      <c r="F202" s="274">
        <f t="shared" ref="F202:AD202" si="30">F200</f>
        <v>0</v>
      </c>
      <c r="G202" s="274">
        <f t="shared" si="30"/>
        <v>0</v>
      </c>
      <c r="H202" s="274">
        <f t="shared" si="30"/>
        <v>404</v>
      </c>
      <c r="I202" s="274">
        <f t="shared" si="30"/>
        <v>0</v>
      </c>
      <c r="J202" s="274">
        <f t="shared" si="30"/>
        <v>0</v>
      </c>
      <c r="K202" s="274">
        <f t="shared" si="30"/>
        <v>1500</v>
      </c>
      <c r="L202" s="274">
        <f t="shared" si="30"/>
        <v>0</v>
      </c>
      <c r="M202" s="274">
        <f t="shared" si="30"/>
        <v>0</v>
      </c>
      <c r="N202" s="274">
        <f t="shared" si="30"/>
        <v>0</v>
      </c>
      <c r="O202" s="274">
        <f t="shared" si="30"/>
        <v>0</v>
      </c>
      <c r="P202" s="274">
        <f t="shared" si="30"/>
        <v>0</v>
      </c>
      <c r="Q202" s="274">
        <f t="shared" si="30"/>
        <v>0</v>
      </c>
      <c r="R202" s="274">
        <f t="shared" si="30"/>
        <v>4</v>
      </c>
      <c r="S202" s="274">
        <f t="shared" si="30"/>
        <v>54</v>
      </c>
      <c r="T202" s="274">
        <f t="shared" si="30"/>
        <v>0</v>
      </c>
      <c r="U202" s="274">
        <f t="shared" si="30"/>
        <v>0</v>
      </c>
      <c r="V202" s="274">
        <f t="shared" si="30"/>
        <v>0</v>
      </c>
      <c r="W202" s="274">
        <f t="shared" si="30"/>
        <v>0</v>
      </c>
      <c r="X202" s="274">
        <f t="shared" si="30"/>
        <v>0</v>
      </c>
      <c r="Y202" s="274">
        <f t="shared" si="30"/>
        <v>0</v>
      </c>
      <c r="Z202" s="274">
        <f t="shared" si="30"/>
        <v>0</v>
      </c>
      <c r="AA202" s="274">
        <f t="shared" si="30"/>
        <v>0</v>
      </c>
      <c r="AB202" s="274">
        <f t="shared" si="30"/>
        <v>0</v>
      </c>
      <c r="AC202" s="274">
        <f t="shared" si="30"/>
        <v>0</v>
      </c>
      <c r="AD202" s="275">
        <f t="shared" si="30"/>
        <v>0</v>
      </c>
    </row>
    <row r="203" spans="1:35" x14ac:dyDescent="0.35">
      <c r="B203" s="71"/>
      <c r="AD203" s="72"/>
    </row>
    <row r="204" spans="1:35" ht="12.8" customHeight="1" thickBot="1" x14ac:dyDescent="0.4">
      <c r="A204" s="318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  <c r="AC204" s="319"/>
      <c r="AD204" s="320"/>
    </row>
    <row r="205" spans="1:35" s="61" customFormat="1" thickBot="1" x14ac:dyDescent="0.4">
      <c r="A205" s="311" t="s">
        <v>216</v>
      </c>
      <c r="B205" s="312"/>
      <c r="C205" s="60"/>
      <c r="D205" s="60">
        <f t="shared" ref="D205:AD205" si="31">D196+D79+D66+D202</f>
        <v>56235.740599999997</v>
      </c>
      <c r="E205" s="60">
        <f t="shared" si="31"/>
        <v>3336.4</v>
      </c>
      <c r="F205" s="60">
        <f t="shared" si="31"/>
        <v>2233</v>
      </c>
      <c r="G205" s="60">
        <f t="shared" si="31"/>
        <v>1531</v>
      </c>
      <c r="H205" s="60">
        <f t="shared" si="31"/>
        <v>27839.920600000001</v>
      </c>
      <c r="I205" s="60">
        <f t="shared" si="31"/>
        <v>8512.2199999999993</v>
      </c>
      <c r="J205" s="60">
        <f t="shared" si="31"/>
        <v>1961</v>
      </c>
      <c r="K205" s="60">
        <f t="shared" si="31"/>
        <v>4297</v>
      </c>
      <c r="L205" s="60">
        <f t="shared" si="31"/>
        <v>190</v>
      </c>
      <c r="M205" s="60">
        <f t="shared" si="31"/>
        <v>308</v>
      </c>
      <c r="N205" s="60">
        <f t="shared" si="31"/>
        <v>1383.29</v>
      </c>
      <c r="O205" s="60">
        <f t="shared" si="31"/>
        <v>123</v>
      </c>
      <c r="P205" s="60">
        <f t="shared" si="31"/>
        <v>54.870000000000005</v>
      </c>
      <c r="Q205" s="60">
        <f t="shared" si="31"/>
        <v>98</v>
      </c>
      <c r="R205" s="60">
        <f t="shared" si="31"/>
        <v>309</v>
      </c>
      <c r="S205" s="60">
        <f t="shared" si="31"/>
        <v>5104</v>
      </c>
      <c r="T205" s="60">
        <f t="shared" si="31"/>
        <v>16</v>
      </c>
      <c r="U205" s="60">
        <f t="shared" si="31"/>
        <v>11</v>
      </c>
      <c r="V205" s="60">
        <f t="shared" si="31"/>
        <v>4</v>
      </c>
      <c r="W205" s="60">
        <f t="shared" si="31"/>
        <v>3</v>
      </c>
      <c r="X205" s="60">
        <f t="shared" si="31"/>
        <v>0</v>
      </c>
      <c r="Y205" s="60">
        <f t="shared" si="31"/>
        <v>10</v>
      </c>
      <c r="Z205" s="60">
        <f t="shared" si="31"/>
        <v>647</v>
      </c>
      <c r="AA205" s="60">
        <f t="shared" si="31"/>
        <v>34</v>
      </c>
      <c r="AB205" s="60">
        <f t="shared" si="31"/>
        <v>48</v>
      </c>
      <c r="AC205" s="60">
        <f t="shared" si="31"/>
        <v>53</v>
      </c>
      <c r="AD205" s="255">
        <f t="shared" si="31"/>
        <v>161</v>
      </c>
    </row>
    <row r="206" spans="1:35" s="204" customFormat="1" x14ac:dyDescent="0.35">
      <c r="A206" s="299"/>
      <c r="B206" s="300"/>
      <c r="C206" s="254"/>
      <c r="D206" s="254">
        <f t="shared" ref="D206:AD206" si="32">SUM(D61:D65,D77:D78,D185:D195,D202)</f>
        <v>56235.740600000005</v>
      </c>
      <c r="E206" s="254">
        <f t="shared" si="32"/>
        <v>3336.4</v>
      </c>
      <c r="F206" s="254">
        <f t="shared" si="32"/>
        <v>2233</v>
      </c>
      <c r="G206" s="254">
        <f t="shared" si="32"/>
        <v>1531</v>
      </c>
      <c r="H206" s="254">
        <f t="shared" si="32"/>
        <v>27839.920600000001</v>
      </c>
      <c r="I206" s="254">
        <f t="shared" si="32"/>
        <v>8512.2200000000012</v>
      </c>
      <c r="J206" s="254">
        <f t="shared" si="32"/>
        <v>1961</v>
      </c>
      <c r="K206" s="254">
        <f t="shared" si="32"/>
        <v>4297</v>
      </c>
      <c r="L206" s="254">
        <f t="shared" si="32"/>
        <v>190</v>
      </c>
      <c r="M206" s="254">
        <f t="shared" si="32"/>
        <v>308</v>
      </c>
      <c r="N206" s="254">
        <f t="shared" si="32"/>
        <v>1383.29</v>
      </c>
      <c r="O206" s="254">
        <f t="shared" si="32"/>
        <v>123</v>
      </c>
      <c r="P206" s="254">
        <f t="shared" si="32"/>
        <v>54.870000000000005</v>
      </c>
      <c r="Q206" s="254">
        <f t="shared" si="32"/>
        <v>98</v>
      </c>
      <c r="R206" s="254">
        <f t="shared" si="32"/>
        <v>309</v>
      </c>
      <c r="S206" s="254">
        <f t="shared" si="32"/>
        <v>5104</v>
      </c>
      <c r="T206" s="254">
        <f t="shared" si="32"/>
        <v>16</v>
      </c>
      <c r="U206" s="254">
        <f t="shared" si="32"/>
        <v>11</v>
      </c>
      <c r="V206" s="254">
        <f t="shared" si="32"/>
        <v>4</v>
      </c>
      <c r="W206" s="254">
        <f t="shared" si="32"/>
        <v>3</v>
      </c>
      <c r="X206" s="254">
        <f t="shared" si="32"/>
        <v>0</v>
      </c>
      <c r="Y206" s="254">
        <f t="shared" si="32"/>
        <v>10</v>
      </c>
      <c r="Z206" s="254">
        <f t="shared" si="32"/>
        <v>647</v>
      </c>
      <c r="AA206" s="254">
        <f t="shared" si="32"/>
        <v>34</v>
      </c>
      <c r="AB206" s="254">
        <f t="shared" si="32"/>
        <v>48</v>
      </c>
      <c r="AC206" s="254">
        <f t="shared" si="32"/>
        <v>53</v>
      </c>
      <c r="AD206" s="254">
        <f t="shared" si="32"/>
        <v>161</v>
      </c>
    </row>
    <row r="208" spans="1:35" x14ac:dyDescent="0.35">
      <c r="A208" s="289" t="s">
        <v>217</v>
      </c>
      <c r="B208" s="289"/>
      <c r="C208" s="289"/>
      <c r="D208" s="289"/>
    </row>
    <row r="209" spans="1:4" x14ac:dyDescent="0.35">
      <c r="A209" s="292" t="s">
        <v>36</v>
      </c>
      <c r="B209" s="292"/>
      <c r="C209" s="292"/>
      <c r="D209" s="292"/>
    </row>
    <row r="210" spans="1:4" ht="23.2" customHeight="1" x14ac:dyDescent="0.35">
      <c r="A210" s="217" t="s">
        <v>218</v>
      </c>
      <c r="B210" s="217" t="s">
        <v>8</v>
      </c>
      <c r="C210" s="290" t="s">
        <v>219</v>
      </c>
      <c r="D210" s="290"/>
    </row>
    <row r="211" spans="1:4" x14ac:dyDescent="0.35">
      <c r="A211" s="266">
        <v>1</v>
      </c>
      <c r="B211" s="216" t="s">
        <v>38</v>
      </c>
      <c r="C211" s="291">
        <v>1</v>
      </c>
      <c r="D211" s="291"/>
    </row>
    <row r="212" spans="1:4" x14ac:dyDescent="0.35">
      <c r="A212" s="266">
        <v>3</v>
      </c>
      <c r="B212" s="216" t="s">
        <v>39</v>
      </c>
      <c r="C212" s="291">
        <v>1</v>
      </c>
      <c r="D212" s="291"/>
    </row>
    <row r="213" spans="1:4" x14ac:dyDescent="0.35">
      <c r="A213" s="266">
        <v>146</v>
      </c>
      <c r="B213" s="216" t="s">
        <v>40</v>
      </c>
      <c r="C213" s="291">
        <v>1</v>
      </c>
      <c r="D213" s="291"/>
    </row>
    <row r="214" spans="1:4" x14ac:dyDescent="0.35">
      <c r="A214" s="266">
        <v>156</v>
      </c>
      <c r="B214" s="216" t="s">
        <v>220</v>
      </c>
      <c r="C214" s="291">
        <v>1</v>
      </c>
      <c r="D214" s="291"/>
    </row>
    <row r="215" spans="1:4" x14ac:dyDescent="0.35">
      <c r="A215" s="266">
        <v>157</v>
      </c>
      <c r="B215" s="216" t="s">
        <v>221</v>
      </c>
      <c r="C215" s="291">
        <v>2</v>
      </c>
      <c r="D215" s="291"/>
    </row>
    <row r="216" spans="1:4" x14ac:dyDescent="0.35">
      <c r="A216" s="266">
        <v>158</v>
      </c>
      <c r="B216" s="216" t="s">
        <v>46</v>
      </c>
      <c r="C216" s="291">
        <v>1</v>
      </c>
      <c r="D216" s="291"/>
    </row>
    <row r="217" spans="1:4" x14ac:dyDescent="0.35">
      <c r="A217" s="266">
        <v>170</v>
      </c>
      <c r="B217" s="216" t="s">
        <v>47</v>
      </c>
      <c r="C217" s="291">
        <v>4</v>
      </c>
      <c r="D217" s="291"/>
    </row>
    <row r="218" spans="1:4" x14ac:dyDescent="0.35">
      <c r="A218" s="266">
        <v>171</v>
      </c>
      <c r="B218" s="216" t="s">
        <v>222</v>
      </c>
      <c r="C218" s="291">
        <v>3</v>
      </c>
      <c r="D218" s="291"/>
    </row>
    <row r="219" spans="1:4" x14ac:dyDescent="0.35">
      <c r="A219" s="266">
        <v>173</v>
      </c>
      <c r="B219" s="216" t="s">
        <v>223</v>
      </c>
      <c r="C219" s="291">
        <v>3</v>
      </c>
      <c r="D219" s="291"/>
    </row>
    <row r="220" spans="1:4" x14ac:dyDescent="0.35">
      <c r="A220" s="266">
        <v>175</v>
      </c>
      <c r="B220" s="216" t="s">
        <v>224</v>
      </c>
      <c r="C220" s="291">
        <v>2</v>
      </c>
      <c r="D220" s="291"/>
    </row>
    <row r="221" spans="1:4" x14ac:dyDescent="0.35">
      <c r="A221" s="266">
        <v>202</v>
      </c>
      <c r="B221" s="216" t="s">
        <v>225</v>
      </c>
      <c r="C221" s="291">
        <v>2</v>
      </c>
      <c r="D221" s="291"/>
    </row>
    <row r="222" spans="1:4" x14ac:dyDescent="0.35">
      <c r="A222" s="266">
        <v>204</v>
      </c>
      <c r="B222" s="216" t="s">
        <v>226</v>
      </c>
      <c r="C222" s="291">
        <v>1</v>
      </c>
      <c r="D222" s="291"/>
    </row>
    <row r="223" spans="1:4" x14ac:dyDescent="0.35">
      <c r="A223" s="266">
        <v>212</v>
      </c>
      <c r="B223" s="216" t="s">
        <v>54</v>
      </c>
      <c r="C223" s="291">
        <v>2</v>
      </c>
      <c r="D223" s="291"/>
    </row>
    <row r="224" spans="1:4" x14ac:dyDescent="0.35">
      <c r="A224" s="266">
        <v>225</v>
      </c>
      <c r="B224" s="216" t="s">
        <v>227</v>
      </c>
      <c r="C224" s="291">
        <v>2</v>
      </c>
      <c r="D224" s="291"/>
    </row>
    <row r="225" spans="1:4" x14ac:dyDescent="0.35">
      <c r="A225" s="266">
        <v>230</v>
      </c>
      <c r="B225" s="216" t="s">
        <v>228</v>
      </c>
      <c r="C225" s="291">
        <v>1</v>
      </c>
      <c r="D225" s="291"/>
    </row>
    <row r="226" spans="1:4" x14ac:dyDescent="0.35">
      <c r="A226" s="245">
        <v>272</v>
      </c>
      <c r="B226" s="246" t="s">
        <v>229</v>
      </c>
      <c r="C226" s="291">
        <v>1</v>
      </c>
      <c r="D226" s="291"/>
    </row>
    <row r="227" spans="1:4" x14ac:dyDescent="0.35">
      <c r="A227" s="245">
        <v>273</v>
      </c>
      <c r="B227" s="246" t="s">
        <v>230</v>
      </c>
      <c r="C227" s="291">
        <v>2</v>
      </c>
      <c r="D227" s="291"/>
    </row>
    <row r="228" spans="1:4" x14ac:dyDescent="0.35">
      <c r="A228" s="243">
        <v>303</v>
      </c>
      <c r="B228" s="244" t="s">
        <v>222</v>
      </c>
      <c r="C228" s="291">
        <v>3</v>
      </c>
      <c r="D228" s="291"/>
    </row>
    <row r="229" spans="1:4" x14ac:dyDescent="0.35">
      <c r="A229" s="243">
        <v>308</v>
      </c>
      <c r="B229" s="244" t="s">
        <v>57</v>
      </c>
      <c r="C229" s="291">
        <v>1</v>
      </c>
      <c r="D229" s="291"/>
    </row>
    <row r="230" spans="1:4" x14ac:dyDescent="0.35">
      <c r="A230" s="245">
        <v>310</v>
      </c>
      <c r="B230" s="246" t="s">
        <v>231</v>
      </c>
      <c r="C230" s="291">
        <v>1</v>
      </c>
      <c r="D230" s="291"/>
    </row>
    <row r="231" spans="1:4" x14ac:dyDescent="0.35">
      <c r="A231" s="243">
        <v>314</v>
      </c>
      <c r="B231" s="244" t="s">
        <v>232</v>
      </c>
      <c r="C231" s="291">
        <v>1</v>
      </c>
      <c r="D231" s="291"/>
    </row>
    <row r="232" spans="1:4" x14ac:dyDescent="0.35">
      <c r="A232" s="266">
        <v>317</v>
      </c>
      <c r="B232" s="216" t="s">
        <v>176</v>
      </c>
      <c r="C232" s="291">
        <v>2</v>
      </c>
      <c r="D232" s="291"/>
    </row>
    <row r="233" spans="1:4" x14ac:dyDescent="0.35">
      <c r="A233" s="266">
        <v>318</v>
      </c>
      <c r="B233" s="216" t="s">
        <v>233</v>
      </c>
      <c r="C233" s="291">
        <v>2</v>
      </c>
      <c r="D233" s="291"/>
    </row>
    <row r="234" spans="1:4" x14ac:dyDescent="0.35">
      <c r="A234" s="266">
        <v>319</v>
      </c>
      <c r="B234" s="216" t="s">
        <v>234</v>
      </c>
      <c r="C234" s="291">
        <v>2</v>
      </c>
      <c r="D234" s="291"/>
    </row>
    <row r="235" spans="1:4" x14ac:dyDescent="0.35">
      <c r="A235" s="266">
        <v>320</v>
      </c>
      <c r="B235" s="216" t="s">
        <v>79</v>
      </c>
      <c r="C235" s="291">
        <v>1</v>
      </c>
      <c r="D235" s="291"/>
    </row>
    <row r="236" spans="1:4" x14ac:dyDescent="0.35">
      <c r="A236" s="292" t="s">
        <v>107</v>
      </c>
      <c r="B236" s="292"/>
      <c r="C236" s="292"/>
      <c r="D236" s="292"/>
    </row>
    <row r="237" spans="1:4" ht="26.25" customHeight="1" x14ac:dyDescent="0.35">
      <c r="A237" s="218" t="s">
        <v>218</v>
      </c>
      <c r="B237" s="218" t="s">
        <v>8</v>
      </c>
      <c r="C237" s="290" t="s">
        <v>219</v>
      </c>
      <c r="D237" s="290"/>
    </row>
    <row r="238" spans="1:4" x14ac:dyDescent="0.35">
      <c r="A238" s="266">
        <v>5</v>
      </c>
      <c r="B238" s="216" t="s">
        <v>109</v>
      </c>
      <c r="C238" s="291">
        <v>1</v>
      </c>
      <c r="D238" s="291"/>
    </row>
    <row r="239" spans="1:4" x14ac:dyDescent="0.35">
      <c r="A239" s="266">
        <v>6</v>
      </c>
      <c r="B239" s="216" t="s">
        <v>110</v>
      </c>
      <c r="C239" s="291">
        <v>1</v>
      </c>
      <c r="D239" s="291"/>
    </row>
    <row r="240" spans="1:4" x14ac:dyDescent="0.35">
      <c r="A240" s="266">
        <v>7</v>
      </c>
      <c r="B240" s="216" t="s">
        <v>111</v>
      </c>
      <c r="C240" s="291">
        <v>1</v>
      </c>
      <c r="D240" s="291"/>
    </row>
    <row r="241" spans="1:4" x14ac:dyDescent="0.35">
      <c r="A241" s="266">
        <v>8</v>
      </c>
      <c r="B241" s="216" t="s">
        <v>112</v>
      </c>
      <c r="C241" s="291">
        <v>1</v>
      </c>
      <c r="D241" s="291"/>
    </row>
    <row r="242" spans="1:4" x14ac:dyDescent="0.35">
      <c r="A242" s="266">
        <v>9</v>
      </c>
      <c r="B242" s="216" t="s">
        <v>113</v>
      </c>
      <c r="C242" s="291">
        <v>1</v>
      </c>
      <c r="D242" s="291"/>
    </row>
    <row r="243" spans="1:4" x14ac:dyDescent="0.35">
      <c r="A243" s="266">
        <v>10</v>
      </c>
      <c r="B243" s="216" t="s">
        <v>114</v>
      </c>
      <c r="C243" s="291">
        <v>1</v>
      </c>
      <c r="D243" s="291"/>
    </row>
    <row r="244" spans="1:4" x14ac:dyDescent="0.35">
      <c r="A244" s="266">
        <v>50</v>
      </c>
      <c r="B244" s="216" t="s">
        <v>115</v>
      </c>
      <c r="C244" s="291">
        <v>2</v>
      </c>
      <c r="D244" s="291"/>
    </row>
    <row r="245" spans="1:4" x14ac:dyDescent="0.35">
      <c r="A245" s="266">
        <v>405</v>
      </c>
      <c r="B245" s="90" t="s">
        <v>116</v>
      </c>
      <c r="C245" s="291">
        <v>2</v>
      </c>
      <c r="D245" s="291"/>
    </row>
    <row r="246" spans="1:4" x14ac:dyDescent="0.35">
      <c r="A246" s="266" t="s">
        <v>117</v>
      </c>
      <c r="B246" s="216" t="s">
        <v>118</v>
      </c>
      <c r="C246" s="291">
        <v>1</v>
      </c>
      <c r="D246" s="291"/>
    </row>
    <row r="247" spans="1:4" x14ac:dyDescent="0.35">
      <c r="A247" s="266">
        <v>410</v>
      </c>
      <c r="B247" s="216" t="s">
        <v>119</v>
      </c>
      <c r="C247" s="291">
        <v>1</v>
      </c>
      <c r="D247" s="291"/>
    </row>
    <row r="248" spans="1:4" x14ac:dyDescent="0.35">
      <c r="A248" s="239">
        <v>413</v>
      </c>
      <c r="B248" s="240" t="s">
        <v>191</v>
      </c>
      <c r="C248" s="259">
        <v>1</v>
      </c>
      <c r="D248" s="260">
        <v>1</v>
      </c>
    </row>
    <row r="249" spans="1:4" x14ac:dyDescent="0.35">
      <c r="A249" s="243">
        <v>414</v>
      </c>
      <c r="B249" s="244" t="s">
        <v>235</v>
      </c>
      <c r="C249" s="259">
        <v>2</v>
      </c>
      <c r="D249" s="260">
        <v>2</v>
      </c>
    </row>
    <row r="250" spans="1:4" x14ac:dyDescent="0.35">
      <c r="A250" s="243">
        <v>422</v>
      </c>
      <c r="B250" s="244" t="s">
        <v>121</v>
      </c>
      <c r="C250" s="259">
        <v>2</v>
      </c>
      <c r="D250" s="260">
        <v>2</v>
      </c>
    </row>
    <row r="251" spans="1:4" x14ac:dyDescent="0.35">
      <c r="A251" s="239">
        <v>423</v>
      </c>
      <c r="B251" s="240" t="s">
        <v>196</v>
      </c>
      <c r="C251" s="259">
        <v>1</v>
      </c>
      <c r="D251" s="260">
        <v>1</v>
      </c>
    </row>
    <row r="252" spans="1:4" x14ac:dyDescent="0.35">
      <c r="A252" s="266">
        <v>424</v>
      </c>
      <c r="B252" s="216" t="s">
        <v>122</v>
      </c>
      <c r="C252" s="291">
        <v>3</v>
      </c>
      <c r="D252" s="291"/>
    </row>
    <row r="253" spans="1:4" x14ac:dyDescent="0.35">
      <c r="A253" s="266">
        <v>426</v>
      </c>
      <c r="B253" s="216" t="s">
        <v>123</v>
      </c>
      <c r="C253" s="291">
        <v>2</v>
      </c>
      <c r="D253" s="291"/>
    </row>
    <row r="254" spans="1:4" x14ac:dyDescent="0.35">
      <c r="A254" s="266">
        <v>435</v>
      </c>
      <c r="B254" s="216" t="s">
        <v>125</v>
      </c>
      <c r="C254" s="291">
        <v>1</v>
      </c>
      <c r="D254" s="291"/>
    </row>
    <row r="255" spans="1:4" x14ac:dyDescent="0.35">
      <c r="A255" s="266" t="s">
        <v>126</v>
      </c>
      <c r="B255" s="216" t="s">
        <v>127</v>
      </c>
      <c r="C255" s="291">
        <v>1</v>
      </c>
      <c r="D255" s="291"/>
    </row>
    <row r="256" spans="1:4" x14ac:dyDescent="0.35">
      <c r="A256" s="266">
        <v>436</v>
      </c>
      <c r="B256" s="216" t="s">
        <v>236</v>
      </c>
      <c r="C256" s="291">
        <v>2</v>
      </c>
      <c r="D256" s="291"/>
    </row>
    <row r="257" spans="1:4" x14ac:dyDescent="0.35">
      <c r="A257" s="241">
        <v>438</v>
      </c>
      <c r="B257" s="242" t="s">
        <v>237</v>
      </c>
      <c r="C257" s="293">
        <v>1</v>
      </c>
      <c r="D257" s="293"/>
    </row>
    <row r="258" spans="1:4" x14ac:dyDescent="0.35">
      <c r="A258" s="266">
        <v>444</v>
      </c>
      <c r="B258" s="216" t="s">
        <v>129</v>
      </c>
      <c r="C258" s="291">
        <v>1</v>
      </c>
      <c r="D258" s="291"/>
    </row>
    <row r="259" spans="1:4" x14ac:dyDescent="0.35">
      <c r="A259" s="266">
        <v>459</v>
      </c>
      <c r="B259" s="216" t="s">
        <v>130</v>
      </c>
      <c r="C259" s="291">
        <v>1</v>
      </c>
      <c r="D259" s="291"/>
    </row>
    <row r="260" spans="1:4" x14ac:dyDescent="0.35">
      <c r="A260" s="266">
        <v>460</v>
      </c>
      <c r="B260" s="216" t="s">
        <v>131</v>
      </c>
      <c r="C260" s="291">
        <v>1</v>
      </c>
      <c r="D260" s="291"/>
    </row>
    <row r="261" spans="1:4" x14ac:dyDescent="0.35">
      <c r="A261" s="266">
        <v>462</v>
      </c>
      <c r="B261" s="216" t="s">
        <v>132</v>
      </c>
      <c r="C261" s="291">
        <v>1</v>
      </c>
      <c r="D261" s="291"/>
    </row>
    <row r="262" spans="1:4" x14ac:dyDescent="0.35">
      <c r="A262" s="266">
        <v>463</v>
      </c>
      <c r="B262" s="216" t="s">
        <v>133</v>
      </c>
      <c r="C262" s="291">
        <v>1</v>
      </c>
      <c r="D262" s="291"/>
    </row>
    <row r="263" spans="1:4" x14ac:dyDescent="0.35">
      <c r="A263" s="266">
        <v>465</v>
      </c>
      <c r="B263" s="216" t="s">
        <v>134</v>
      </c>
      <c r="C263" s="291">
        <v>2</v>
      </c>
      <c r="D263" s="291"/>
    </row>
    <row r="264" spans="1:4" x14ac:dyDescent="0.35">
      <c r="A264" s="266">
        <v>466</v>
      </c>
      <c r="B264" s="216" t="s">
        <v>200</v>
      </c>
      <c r="C264" s="291">
        <v>1</v>
      </c>
      <c r="D264" s="291"/>
    </row>
    <row r="265" spans="1:4" x14ac:dyDescent="0.35">
      <c r="A265" s="266">
        <v>469</v>
      </c>
      <c r="B265" s="216" t="s">
        <v>238</v>
      </c>
      <c r="C265" s="291">
        <v>1</v>
      </c>
      <c r="D265" s="291"/>
    </row>
    <row r="266" spans="1:4" x14ac:dyDescent="0.35">
      <c r="A266" s="241">
        <v>471</v>
      </c>
      <c r="B266" s="242" t="s">
        <v>81</v>
      </c>
      <c r="C266" s="293">
        <v>1</v>
      </c>
      <c r="D266" s="293"/>
    </row>
    <row r="267" spans="1:4" x14ac:dyDescent="0.35">
      <c r="A267" s="266">
        <v>476</v>
      </c>
      <c r="B267" s="216" t="s">
        <v>136</v>
      </c>
      <c r="C267" s="291">
        <v>2</v>
      </c>
      <c r="D267" s="291"/>
    </row>
    <row r="268" spans="1:4" x14ac:dyDescent="0.35">
      <c r="A268" s="266">
        <v>494</v>
      </c>
      <c r="B268" s="216" t="s">
        <v>138</v>
      </c>
      <c r="C268" s="291">
        <v>1</v>
      </c>
      <c r="D268" s="291"/>
    </row>
    <row r="269" spans="1:4" x14ac:dyDescent="0.35">
      <c r="A269" s="266">
        <v>494</v>
      </c>
      <c r="B269" s="216" t="s">
        <v>52</v>
      </c>
      <c r="C269" s="291">
        <v>1</v>
      </c>
      <c r="D269" s="291"/>
    </row>
    <row r="270" spans="1:4" x14ac:dyDescent="0.35">
      <c r="A270" s="241">
        <v>510</v>
      </c>
      <c r="B270" s="242" t="s">
        <v>191</v>
      </c>
      <c r="C270" s="293">
        <v>1</v>
      </c>
      <c r="D270" s="293"/>
    </row>
    <row r="271" spans="1:4" x14ac:dyDescent="0.35">
      <c r="A271" s="266">
        <v>522</v>
      </c>
      <c r="B271" s="216" t="s">
        <v>139</v>
      </c>
      <c r="C271" s="291">
        <v>1</v>
      </c>
      <c r="D271" s="291"/>
    </row>
    <row r="272" spans="1:4" x14ac:dyDescent="0.35">
      <c r="A272" s="266">
        <v>533</v>
      </c>
      <c r="B272" s="216" t="s">
        <v>140</v>
      </c>
      <c r="C272" s="291">
        <v>1</v>
      </c>
      <c r="D272" s="291"/>
    </row>
    <row r="273" spans="1:4" x14ac:dyDescent="0.35">
      <c r="A273" s="266">
        <v>537</v>
      </c>
      <c r="B273" s="216" t="s">
        <v>141</v>
      </c>
      <c r="C273" s="291">
        <v>3</v>
      </c>
      <c r="D273" s="291"/>
    </row>
    <row r="274" spans="1:4" x14ac:dyDescent="0.35">
      <c r="A274" s="266">
        <v>542</v>
      </c>
      <c r="B274" s="216" t="s">
        <v>142</v>
      </c>
      <c r="C274" s="291">
        <v>1</v>
      </c>
      <c r="D274" s="291"/>
    </row>
    <row r="275" spans="1:4" x14ac:dyDescent="0.35">
      <c r="A275" s="266">
        <v>544</v>
      </c>
      <c r="B275" s="216" t="s">
        <v>239</v>
      </c>
      <c r="C275" s="291">
        <v>1</v>
      </c>
      <c r="D275" s="291"/>
    </row>
    <row r="276" spans="1:4" x14ac:dyDescent="0.35">
      <c r="A276" s="266">
        <v>545</v>
      </c>
      <c r="B276" s="216" t="s">
        <v>240</v>
      </c>
      <c r="C276" s="291">
        <v>3</v>
      </c>
      <c r="D276" s="291"/>
    </row>
    <row r="277" spans="1:4" x14ac:dyDescent="0.35">
      <c r="A277" s="266">
        <v>546</v>
      </c>
      <c r="B277" s="216" t="s">
        <v>144</v>
      </c>
      <c r="C277" s="291">
        <v>2</v>
      </c>
      <c r="D277" s="291"/>
    </row>
    <row r="278" spans="1:4" x14ac:dyDescent="0.35">
      <c r="A278" s="266">
        <v>548</v>
      </c>
      <c r="B278" s="216" t="s">
        <v>241</v>
      </c>
      <c r="C278" s="291">
        <v>2</v>
      </c>
      <c r="D278" s="291"/>
    </row>
    <row r="279" spans="1:4" x14ac:dyDescent="0.35">
      <c r="A279" s="266">
        <v>549</v>
      </c>
      <c r="B279" s="216" t="s">
        <v>242</v>
      </c>
      <c r="C279" s="291">
        <v>1</v>
      </c>
      <c r="D279" s="291"/>
    </row>
    <row r="280" spans="1:4" x14ac:dyDescent="0.35">
      <c r="A280" s="241">
        <v>550</v>
      </c>
      <c r="B280" s="242" t="s">
        <v>243</v>
      </c>
      <c r="C280" s="293">
        <v>1</v>
      </c>
      <c r="D280" s="293"/>
    </row>
    <row r="281" spans="1:4" x14ac:dyDescent="0.35">
      <c r="A281" s="266">
        <v>555</v>
      </c>
      <c r="B281" s="216" t="s">
        <v>244</v>
      </c>
      <c r="C281" s="291">
        <v>5</v>
      </c>
      <c r="D281" s="291"/>
    </row>
    <row r="282" spans="1:4" x14ac:dyDescent="0.35">
      <c r="A282" s="266">
        <v>557</v>
      </c>
      <c r="B282" s="216" t="s">
        <v>223</v>
      </c>
      <c r="C282" s="291">
        <v>4</v>
      </c>
      <c r="D282" s="291"/>
    </row>
    <row r="283" spans="1:4" x14ac:dyDescent="0.35">
      <c r="A283" s="266">
        <v>560</v>
      </c>
      <c r="B283" s="216" t="s">
        <v>245</v>
      </c>
      <c r="C283" s="291">
        <v>3</v>
      </c>
      <c r="D283" s="291"/>
    </row>
    <row r="284" spans="1:4" x14ac:dyDescent="0.35">
      <c r="A284" s="266">
        <v>562</v>
      </c>
      <c r="B284" s="216" t="s">
        <v>47</v>
      </c>
      <c r="C284" s="291">
        <v>4</v>
      </c>
      <c r="D284" s="291"/>
    </row>
    <row r="285" spans="1:4" x14ac:dyDescent="0.35">
      <c r="A285" s="266">
        <v>564</v>
      </c>
      <c r="B285" s="216" t="s">
        <v>150</v>
      </c>
      <c r="C285" s="291">
        <v>1</v>
      </c>
      <c r="D285" s="291"/>
    </row>
    <row r="286" spans="1:4" x14ac:dyDescent="0.35">
      <c r="A286" s="266">
        <v>568</v>
      </c>
      <c r="B286" s="216" t="s">
        <v>246</v>
      </c>
      <c r="C286" s="291">
        <v>1</v>
      </c>
      <c r="D286" s="291"/>
    </row>
    <row r="287" spans="1:4" x14ac:dyDescent="0.35">
      <c r="A287" s="266">
        <v>574</v>
      </c>
      <c r="B287" s="216" t="s">
        <v>247</v>
      </c>
      <c r="C287" s="291">
        <v>1</v>
      </c>
      <c r="D287" s="291"/>
    </row>
    <row r="288" spans="1:4" x14ac:dyDescent="0.35">
      <c r="A288" s="266">
        <v>580</v>
      </c>
      <c r="B288" s="216" t="s">
        <v>248</v>
      </c>
      <c r="C288" s="291">
        <v>1</v>
      </c>
      <c r="D288" s="291"/>
    </row>
    <row r="289" spans="1:4" x14ac:dyDescent="0.35">
      <c r="A289" s="266">
        <v>585</v>
      </c>
      <c r="B289" s="216" t="s">
        <v>249</v>
      </c>
      <c r="C289" s="291">
        <v>1</v>
      </c>
      <c r="D289" s="291"/>
    </row>
    <row r="290" spans="1:4" x14ac:dyDescent="0.35">
      <c r="A290" s="266">
        <v>604</v>
      </c>
      <c r="B290" s="216" t="s">
        <v>157</v>
      </c>
      <c r="C290" s="291">
        <v>1</v>
      </c>
      <c r="D290" s="291"/>
    </row>
    <row r="291" spans="1:4" x14ac:dyDescent="0.35">
      <c r="A291" s="266">
        <v>606</v>
      </c>
      <c r="B291" s="216" t="s">
        <v>79</v>
      </c>
      <c r="C291" s="291">
        <v>2</v>
      </c>
      <c r="D291" s="291"/>
    </row>
    <row r="292" spans="1:4" x14ac:dyDescent="0.35">
      <c r="A292" s="266">
        <v>608</v>
      </c>
      <c r="B292" s="216" t="s">
        <v>159</v>
      </c>
      <c r="C292" s="291">
        <v>1</v>
      </c>
      <c r="D292" s="291"/>
    </row>
    <row r="293" spans="1:4" x14ac:dyDescent="0.35">
      <c r="A293" s="266">
        <v>609</v>
      </c>
      <c r="B293" s="216" t="s">
        <v>160</v>
      </c>
      <c r="C293" s="291">
        <v>1</v>
      </c>
      <c r="D293" s="291"/>
    </row>
    <row r="294" spans="1:4" x14ac:dyDescent="0.35">
      <c r="A294" s="266">
        <v>618</v>
      </c>
      <c r="B294" s="216" t="s">
        <v>250</v>
      </c>
      <c r="C294" s="291">
        <v>2</v>
      </c>
      <c r="D294" s="291"/>
    </row>
    <row r="295" spans="1:4" x14ac:dyDescent="0.35">
      <c r="A295" s="266">
        <v>618</v>
      </c>
      <c r="B295" s="216" t="s">
        <v>162</v>
      </c>
      <c r="C295" s="291">
        <v>2</v>
      </c>
      <c r="D295" s="291"/>
    </row>
    <row r="296" spans="1:4" x14ac:dyDescent="0.35">
      <c r="A296" s="266">
        <v>619</v>
      </c>
      <c r="B296" s="216" t="s">
        <v>165</v>
      </c>
      <c r="C296" s="291">
        <v>1</v>
      </c>
      <c r="D296" s="291"/>
    </row>
    <row r="297" spans="1:4" x14ac:dyDescent="0.35">
      <c r="A297" s="266">
        <v>621</v>
      </c>
      <c r="B297" s="216" t="s">
        <v>166</v>
      </c>
      <c r="C297" s="291">
        <v>1</v>
      </c>
      <c r="D297" s="291"/>
    </row>
    <row r="298" spans="1:4" x14ac:dyDescent="0.35">
      <c r="A298" s="266">
        <v>622</v>
      </c>
      <c r="B298" s="216" t="s">
        <v>167</v>
      </c>
      <c r="C298" s="291">
        <v>1</v>
      </c>
      <c r="D298" s="291"/>
    </row>
    <row r="299" spans="1:4" x14ac:dyDescent="0.35">
      <c r="A299" s="266">
        <v>623</v>
      </c>
      <c r="B299" s="216" t="s">
        <v>47</v>
      </c>
      <c r="C299" s="291">
        <v>4</v>
      </c>
      <c r="D299" s="291"/>
    </row>
    <row r="300" spans="1:4" x14ac:dyDescent="0.35">
      <c r="A300" s="266">
        <v>628</v>
      </c>
      <c r="B300" s="216" t="s">
        <v>169</v>
      </c>
      <c r="C300" s="291">
        <v>1</v>
      </c>
      <c r="D300" s="291"/>
    </row>
    <row r="301" spans="1:4" x14ac:dyDescent="0.35">
      <c r="A301" s="266">
        <v>630</v>
      </c>
      <c r="B301" s="216" t="s">
        <v>170</v>
      </c>
      <c r="C301" s="291">
        <v>2</v>
      </c>
      <c r="D301" s="291"/>
    </row>
    <row r="302" spans="1:4" x14ac:dyDescent="0.35">
      <c r="A302" s="266">
        <v>633</v>
      </c>
      <c r="B302" s="216" t="s">
        <v>170</v>
      </c>
      <c r="C302" s="291">
        <v>1</v>
      </c>
      <c r="D302" s="291"/>
    </row>
    <row r="303" spans="1:4" x14ac:dyDescent="0.35">
      <c r="A303" s="266">
        <v>639</v>
      </c>
      <c r="B303" s="216" t="s">
        <v>251</v>
      </c>
      <c r="C303" s="291">
        <v>2</v>
      </c>
      <c r="D303" s="291"/>
    </row>
    <row r="304" spans="1:4" x14ac:dyDescent="0.35">
      <c r="A304" s="266">
        <v>653</v>
      </c>
      <c r="B304" s="216" t="s">
        <v>172</v>
      </c>
      <c r="C304" s="291">
        <v>1</v>
      </c>
      <c r="D304" s="291"/>
    </row>
    <row r="305" spans="1:4" x14ac:dyDescent="0.35">
      <c r="A305" s="266">
        <v>720</v>
      </c>
      <c r="B305" s="216" t="s">
        <v>173</v>
      </c>
      <c r="C305" s="291">
        <v>1</v>
      </c>
      <c r="D305" s="291"/>
    </row>
    <row r="306" spans="1:4" x14ac:dyDescent="0.35">
      <c r="A306" s="241">
        <v>723</v>
      </c>
      <c r="B306" s="242" t="s">
        <v>198</v>
      </c>
      <c r="C306" s="293">
        <v>1</v>
      </c>
      <c r="D306" s="293"/>
    </row>
    <row r="307" spans="1:4" x14ac:dyDescent="0.35">
      <c r="A307" s="266">
        <v>724</v>
      </c>
      <c r="B307" s="216" t="s">
        <v>252</v>
      </c>
      <c r="C307" s="291">
        <v>2</v>
      </c>
      <c r="D307" s="291"/>
    </row>
    <row r="308" spans="1:4" x14ac:dyDescent="0.35">
      <c r="A308" s="266">
        <v>725</v>
      </c>
      <c r="B308" s="216" t="s">
        <v>175</v>
      </c>
      <c r="C308" s="291">
        <v>1</v>
      </c>
      <c r="D308" s="291"/>
    </row>
    <row r="309" spans="1:4" x14ac:dyDescent="0.35">
      <c r="A309" s="266">
        <v>742</v>
      </c>
      <c r="B309" s="216" t="s">
        <v>176</v>
      </c>
      <c r="C309" s="291">
        <v>1</v>
      </c>
      <c r="D309" s="291"/>
    </row>
    <row r="310" spans="1:4" x14ac:dyDescent="0.35">
      <c r="A310" s="266">
        <v>750</v>
      </c>
      <c r="B310" s="216" t="s">
        <v>177</v>
      </c>
      <c r="C310" s="291">
        <v>1</v>
      </c>
      <c r="D310" s="291"/>
    </row>
    <row r="311" spans="1:4" x14ac:dyDescent="0.35">
      <c r="A311" s="266">
        <v>752</v>
      </c>
      <c r="B311" s="216" t="s">
        <v>178</v>
      </c>
      <c r="C311" s="291">
        <v>1</v>
      </c>
      <c r="D311" s="291"/>
    </row>
    <row r="312" spans="1:4" x14ac:dyDescent="0.35">
      <c r="A312" s="266">
        <v>829</v>
      </c>
      <c r="B312" s="216" t="s">
        <v>179</v>
      </c>
      <c r="C312" s="291">
        <v>1</v>
      </c>
      <c r="D312" s="291"/>
    </row>
    <row r="313" spans="1:4" x14ac:dyDescent="0.35">
      <c r="A313" s="266">
        <v>1020</v>
      </c>
      <c r="B313" s="216" t="s">
        <v>181</v>
      </c>
      <c r="C313" s="291">
        <v>1</v>
      </c>
      <c r="D313" s="291"/>
    </row>
    <row r="314" spans="1:4" x14ac:dyDescent="0.35">
      <c r="A314" s="266">
        <v>1030</v>
      </c>
      <c r="B314" s="216" t="s">
        <v>201</v>
      </c>
      <c r="C314" s="291">
        <v>1</v>
      </c>
      <c r="D314" s="291"/>
    </row>
    <row r="315" spans="1:4" x14ac:dyDescent="0.35">
      <c r="A315" s="266">
        <v>3873</v>
      </c>
      <c r="B315" s="216" t="s">
        <v>192</v>
      </c>
      <c r="C315" s="291">
        <v>1</v>
      </c>
      <c r="D315" s="291"/>
    </row>
    <row r="316" spans="1:4" x14ac:dyDescent="0.35">
      <c r="A316" s="292" t="s">
        <v>213</v>
      </c>
      <c r="B316" s="292"/>
      <c r="C316" s="292"/>
      <c r="D316" s="292"/>
    </row>
    <row r="317" spans="1:4" ht="27.8" customHeight="1" x14ac:dyDescent="0.35">
      <c r="A317" s="218" t="s">
        <v>218</v>
      </c>
      <c r="B317" s="218" t="s">
        <v>8</v>
      </c>
      <c r="C317" s="290" t="s">
        <v>219</v>
      </c>
      <c r="D317" s="290"/>
    </row>
    <row r="318" spans="1:4" x14ac:dyDescent="0.35">
      <c r="A318" s="266">
        <v>2100</v>
      </c>
      <c r="B318" s="216" t="s">
        <v>214</v>
      </c>
      <c r="C318" s="291">
        <v>1</v>
      </c>
      <c r="D318" s="291"/>
    </row>
    <row r="319" spans="1:4" x14ac:dyDescent="0.35">
      <c r="A319" s="292" t="s">
        <v>253</v>
      </c>
      <c r="B319" s="292"/>
      <c r="C319" s="292"/>
      <c r="D319" s="292"/>
    </row>
    <row r="320" spans="1:4" ht="25.5" customHeight="1" x14ac:dyDescent="0.35">
      <c r="A320" s="218" t="s">
        <v>218</v>
      </c>
      <c r="B320" s="218" t="s">
        <v>8</v>
      </c>
      <c r="C320" s="290" t="s">
        <v>219</v>
      </c>
      <c r="D320" s="290"/>
    </row>
    <row r="321" spans="1:30" x14ac:dyDescent="0.35">
      <c r="A321" s="241" t="s">
        <v>103</v>
      </c>
      <c r="B321" s="242" t="s">
        <v>104</v>
      </c>
      <c r="C321" s="293">
        <v>1</v>
      </c>
      <c r="D321" s="293"/>
    </row>
    <row r="322" spans="1:30" x14ac:dyDescent="0.35">
      <c r="A322" s="241">
        <v>2552</v>
      </c>
      <c r="B322" s="242" t="s">
        <v>99</v>
      </c>
      <c r="C322" s="293">
        <v>1</v>
      </c>
      <c r="D322" s="293"/>
    </row>
    <row r="323" spans="1:30" x14ac:dyDescent="0.35">
      <c r="A323" s="241">
        <v>2569</v>
      </c>
      <c r="B323" s="242" t="s">
        <v>254</v>
      </c>
      <c r="C323" s="293">
        <v>1</v>
      </c>
      <c r="D323" s="293"/>
    </row>
    <row r="324" spans="1:30" x14ac:dyDescent="0.35">
      <c r="A324" s="241" t="s">
        <v>100</v>
      </c>
      <c r="B324" s="242" t="s">
        <v>101</v>
      </c>
      <c r="C324" s="293">
        <v>1</v>
      </c>
      <c r="D324" s="293"/>
    </row>
    <row r="325" spans="1:30" x14ac:dyDescent="0.35">
      <c r="A325" s="265"/>
      <c r="B325" s="1"/>
      <c r="C325" s="1"/>
      <c r="D325" s="1"/>
    </row>
    <row r="326" spans="1:30" s="53" customFormat="1" x14ac:dyDescent="0.35">
      <c r="A326" s="73" t="s">
        <v>255</v>
      </c>
      <c r="B326" s="53" t="s">
        <v>256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s="53" customFormat="1" x14ac:dyDescent="0.35">
      <c r="A327" s="12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s="53" customFormat="1" x14ac:dyDescent="0.35">
      <c r="A328" s="73" t="s">
        <v>257</v>
      </c>
      <c r="B328" s="53" t="s">
        <v>258</v>
      </c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s="53" customFormat="1" x14ac:dyDescent="0.35">
      <c r="A329" s="12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s="53" customFormat="1" x14ac:dyDescent="0.35">
      <c r="A330" s="73" t="s">
        <v>259</v>
      </c>
      <c r="B330" s="53" t="s">
        <v>260</v>
      </c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 t="s">
        <v>261</v>
      </c>
      <c r="AD330" s="58"/>
    </row>
    <row r="331" spans="1:30" s="53" customFormat="1" x14ac:dyDescent="0.35">
      <c r="A331" s="12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s="53" customFormat="1" x14ac:dyDescent="0.35">
      <c r="A332" s="73" t="s">
        <v>262</v>
      </c>
      <c r="B332" s="53" t="s">
        <v>263</v>
      </c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 t="s">
        <v>261</v>
      </c>
      <c r="AD332" s="58"/>
    </row>
    <row r="333" spans="1:30" s="53" customFormat="1" x14ac:dyDescent="0.35">
      <c r="A333" s="12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s="53" customFormat="1" x14ac:dyDescent="0.35">
      <c r="A334" s="73" t="s">
        <v>264</v>
      </c>
      <c r="B334" s="53" t="s">
        <v>265</v>
      </c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</sheetData>
  <mergeCells count="167">
    <mergeCell ref="A63:B63"/>
    <mergeCell ref="A67:B67"/>
    <mergeCell ref="A1:AD1"/>
    <mergeCell ref="A5:AD5"/>
    <mergeCell ref="A6:AD6"/>
    <mergeCell ref="A51:AD51"/>
    <mergeCell ref="A58:AD58"/>
    <mergeCell ref="A53:AD53"/>
    <mergeCell ref="A79:B79"/>
    <mergeCell ref="A78:B78"/>
    <mergeCell ref="A77:B77"/>
    <mergeCell ref="A64:B64"/>
    <mergeCell ref="A68:AD68"/>
    <mergeCell ref="A69:AD69"/>
    <mergeCell ref="A74:AD74"/>
    <mergeCell ref="A186:B186"/>
    <mergeCell ref="A204:AD204"/>
    <mergeCell ref="A196:B196"/>
    <mergeCell ref="A189:B189"/>
    <mergeCell ref="A202:B202"/>
    <mergeCell ref="A198:AD198"/>
    <mergeCell ref="A199:AD199"/>
    <mergeCell ref="A190:B190"/>
    <mergeCell ref="A187:B187"/>
    <mergeCell ref="A197:B197"/>
    <mergeCell ref="D201:AD201"/>
    <mergeCell ref="A82:AD82"/>
    <mergeCell ref="A155:AD155"/>
    <mergeCell ref="A153:AD153"/>
    <mergeCell ref="A65:B65"/>
    <mergeCell ref="A206:B206"/>
    <mergeCell ref="A2:AD2"/>
    <mergeCell ref="A3:D3"/>
    <mergeCell ref="E3:K3"/>
    <mergeCell ref="L3:Q3"/>
    <mergeCell ref="R3:Y3"/>
    <mergeCell ref="AA3:AD3"/>
    <mergeCell ref="A55:AD55"/>
    <mergeCell ref="A61:B61"/>
    <mergeCell ref="A62:B62"/>
    <mergeCell ref="A66:B66"/>
    <mergeCell ref="A205:B205"/>
    <mergeCell ref="A161:AD161"/>
    <mergeCell ref="A176:AD176"/>
    <mergeCell ref="A80:B80"/>
    <mergeCell ref="A165:AD165"/>
    <mergeCell ref="A81:AD81"/>
    <mergeCell ref="A188:B188"/>
    <mergeCell ref="A181:AD181"/>
    <mergeCell ref="A178:AD178"/>
    <mergeCell ref="A168:AD168"/>
    <mergeCell ref="A185:B185"/>
    <mergeCell ref="A174:AD174"/>
    <mergeCell ref="A159:AD159"/>
    <mergeCell ref="C302:D302"/>
    <mergeCell ref="C303:D303"/>
    <mergeCell ref="C304:D304"/>
    <mergeCell ref="C305:D305"/>
    <mergeCell ref="C307:D307"/>
    <mergeCell ref="C306:D306"/>
    <mergeCell ref="C294:D294"/>
    <mergeCell ref="C298:D298"/>
    <mergeCell ref="C299:D299"/>
    <mergeCell ref="C300:D300"/>
    <mergeCell ref="C301:D301"/>
    <mergeCell ref="C295:D295"/>
    <mergeCell ref="C296:D296"/>
    <mergeCell ref="C297:D297"/>
    <mergeCell ref="C289:D289"/>
    <mergeCell ref="C290:D290"/>
    <mergeCell ref="C291:D291"/>
    <mergeCell ref="C292:D292"/>
    <mergeCell ref="C293:D293"/>
    <mergeCell ref="C273:D273"/>
    <mergeCell ref="C324:D324"/>
    <mergeCell ref="C315:D315"/>
    <mergeCell ref="C322:D322"/>
    <mergeCell ref="C321:D321"/>
    <mergeCell ref="A316:D316"/>
    <mergeCell ref="C317:D317"/>
    <mergeCell ref="C318:D318"/>
    <mergeCell ref="C308:D308"/>
    <mergeCell ref="C309:D309"/>
    <mergeCell ref="C310:D310"/>
    <mergeCell ref="C311:D311"/>
    <mergeCell ref="C312:D312"/>
    <mergeCell ref="C314:D314"/>
    <mergeCell ref="C313:D313"/>
    <mergeCell ref="A319:D319"/>
    <mergeCell ref="C320:D320"/>
    <mergeCell ref="C323:D323"/>
    <mergeCell ref="C274:D274"/>
    <mergeCell ref="C275:D275"/>
    <mergeCell ref="C276:D276"/>
    <mergeCell ref="C277:D277"/>
    <mergeCell ref="C284:D284"/>
    <mergeCell ref="C285:D285"/>
    <mergeCell ref="C286:D286"/>
    <mergeCell ref="C287:D287"/>
    <mergeCell ref="C288:D288"/>
    <mergeCell ref="C278:D278"/>
    <mergeCell ref="C279:D279"/>
    <mergeCell ref="C281:D281"/>
    <mergeCell ref="C282:D282"/>
    <mergeCell ref="C283:D283"/>
    <mergeCell ref="C280:D280"/>
    <mergeCell ref="C265:D265"/>
    <mergeCell ref="C267:D267"/>
    <mergeCell ref="C268:D268"/>
    <mergeCell ref="C271:D271"/>
    <mergeCell ref="C272:D272"/>
    <mergeCell ref="C266:D266"/>
    <mergeCell ref="C270:D270"/>
    <mergeCell ref="C269:D269"/>
    <mergeCell ref="C261:D261"/>
    <mergeCell ref="C262:D262"/>
    <mergeCell ref="C263:D263"/>
    <mergeCell ref="C264:D264"/>
    <mergeCell ref="C246:D246"/>
    <mergeCell ref="C260:D260"/>
    <mergeCell ref="C237:D237"/>
    <mergeCell ref="C238:D238"/>
    <mergeCell ref="C239:D239"/>
    <mergeCell ref="C240:D240"/>
    <mergeCell ref="C241:D241"/>
    <mergeCell ref="C254:D254"/>
    <mergeCell ref="C255:D255"/>
    <mergeCell ref="C256:D256"/>
    <mergeCell ref="C258:D258"/>
    <mergeCell ref="C259:D259"/>
    <mergeCell ref="C257:D257"/>
    <mergeCell ref="C247:D247"/>
    <mergeCell ref="C252:D252"/>
    <mergeCell ref="C253:D253"/>
    <mergeCell ref="C222:D222"/>
    <mergeCell ref="C226:D226"/>
    <mergeCell ref="C227:D227"/>
    <mergeCell ref="C230:D230"/>
    <mergeCell ref="C242:D242"/>
    <mergeCell ref="C243:D243"/>
    <mergeCell ref="C244:D244"/>
    <mergeCell ref="C245:D245"/>
    <mergeCell ref="A236:D236"/>
    <mergeCell ref="A208:D208"/>
    <mergeCell ref="C210:D210"/>
    <mergeCell ref="C211:D211"/>
    <mergeCell ref="C212:D212"/>
    <mergeCell ref="C213:D213"/>
    <mergeCell ref="C214:D214"/>
    <mergeCell ref="C233:D233"/>
    <mergeCell ref="C234:D234"/>
    <mergeCell ref="C235:D235"/>
    <mergeCell ref="A209:D209"/>
    <mergeCell ref="C225:D225"/>
    <mergeCell ref="C228:D228"/>
    <mergeCell ref="C229:D229"/>
    <mergeCell ref="C231:D231"/>
    <mergeCell ref="C223:D223"/>
    <mergeCell ref="C224:D224"/>
    <mergeCell ref="C215:D215"/>
    <mergeCell ref="C216:D216"/>
    <mergeCell ref="C217:D217"/>
    <mergeCell ref="C218:D218"/>
    <mergeCell ref="C219:D219"/>
    <mergeCell ref="C232:D232"/>
    <mergeCell ref="C220:D220"/>
    <mergeCell ref="C221:D221"/>
  </mergeCells>
  <pageMargins left="0.7" right="0.7" top="0.75" bottom="0.75" header="0.3" footer="0.3"/>
  <pageSetup paperSize="3" scale="59" fitToHeight="0" orientation="landscape" r:id="rId1"/>
  <headerFooter>
    <oddFooter>&amp;C&amp;"Times New Roman,Regular"Page &amp;P of &amp;N</oddFooter>
  </headerFooter>
  <ignoredErrors>
    <ignoredError sqref="D92:D94 D96:D98 D115 D149:D150 D120:D122 D44:D48 D29:D33 D169:D170 D75 D109:D113 D138 D42 D164 D156:D158 D24:D27 D106:D107 D124:D129 D140:D147 D175 D132:D134 D70 D90 D88 D50 D36:D40 D11:D13 D18 D104 D162 D105 D182:D184 D72:D73 D34" formulaRange="1"/>
    <ignoredError sqref="D14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79998168889431442"/>
    <pageSetUpPr fitToPage="1"/>
  </sheetPr>
  <dimension ref="A1:AI337"/>
  <sheetViews>
    <sheetView zoomScaleNormal="100" zoomScaleSheetLayoutView="100" workbookViewId="0">
      <pane ySplit="4" topLeftCell="A5" activePane="bottomLeft" state="frozen"/>
      <selection pane="bottomLeft" activeCell="A4" sqref="A4"/>
    </sheetView>
  </sheetViews>
  <sheetFormatPr defaultColWidth="9.3046875" defaultRowHeight="12.9" x14ac:dyDescent="0.35"/>
  <cols>
    <col min="1" max="1" width="9.3046875" style="193" customWidth="1"/>
    <col min="2" max="2" width="45.69140625" style="1" customWidth="1"/>
    <col min="3" max="13" width="5.69140625" style="1" customWidth="1"/>
    <col min="14" max="14" width="7" style="1" customWidth="1"/>
    <col min="15" max="23" width="5.69140625" style="1" customWidth="1"/>
    <col min="24" max="24" width="5.69140625" style="182" customWidth="1"/>
    <col min="25" max="31" width="5.69140625" style="1" customWidth="1"/>
    <col min="32" max="32" width="12.3828125" style="193" customWidth="1"/>
    <col min="33" max="16384" width="9.3046875" style="1"/>
  </cols>
  <sheetData>
    <row r="1" spans="1:32" ht="18" customHeight="1" x14ac:dyDescent="0.35">
      <c r="A1" s="329" t="s">
        <v>266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</row>
    <row r="2" spans="1:32" s="192" customFormat="1" ht="19.149999999999999" customHeight="1" x14ac:dyDescent="0.35">
      <c r="A2" s="330" t="s">
        <v>267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</row>
    <row r="3" spans="1:32" s="79" customFormat="1" ht="40.4" customHeight="1" x14ac:dyDescent="0.35">
      <c r="A3" s="331"/>
      <c r="B3" s="331"/>
      <c r="C3" s="332" t="s">
        <v>268</v>
      </c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4" t="s">
        <v>269</v>
      </c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6"/>
      <c r="Z3" s="333" t="s">
        <v>270</v>
      </c>
      <c r="AA3" s="333"/>
      <c r="AB3" s="333" t="s">
        <v>271</v>
      </c>
      <c r="AC3" s="333"/>
      <c r="AD3" s="337" t="s">
        <v>272</v>
      </c>
      <c r="AE3" s="338"/>
      <c r="AF3" s="331" t="s">
        <v>273</v>
      </c>
    </row>
    <row r="4" spans="1:32" s="36" customFormat="1" ht="117.4" customHeight="1" x14ac:dyDescent="0.35">
      <c r="A4" s="5" t="s">
        <v>7</v>
      </c>
      <c r="B4" s="262" t="s">
        <v>8</v>
      </c>
      <c r="C4" s="80" t="s">
        <v>274</v>
      </c>
      <c r="D4" s="80" t="s">
        <v>275</v>
      </c>
      <c r="E4" s="80" t="s">
        <v>276</v>
      </c>
      <c r="F4" s="81" t="s">
        <v>277</v>
      </c>
      <c r="G4" s="80" t="s">
        <v>278</v>
      </c>
      <c r="H4" s="80" t="s">
        <v>279</v>
      </c>
      <c r="I4" s="80" t="s">
        <v>280</v>
      </c>
      <c r="J4" s="80" t="s">
        <v>281</v>
      </c>
      <c r="K4" s="81" t="s">
        <v>282</v>
      </c>
      <c r="L4" s="80" t="s">
        <v>283</v>
      </c>
      <c r="M4" s="80" t="s">
        <v>284</v>
      </c>
      <c r="N4" s="82" t="s">
        <v>285</v>
      </c>
      <c r="O4" s="82" t="s">
        <v>286</v>
      </c>
      <c r="P4" s="82" t="s">
        <v>287</v>
      </c>
      <c r="Q4" s="82" t="s">
        <v>288</v>
      </c>
      <c r="R4" s="82" t="s">
        <v>289</v>
      </c>
      <c r="S4" s="82" t="s">
        <v>290</v>
      </c>
      <c r="T4" s="82" t="s">
        <v>291</v>
      </c>
      <c r="U4" s="82" t="s">
        <v>292</v>
      </c>
      <c r="V4" s="82" t="s">
        <v>293</v>
      </c>
      <c r="W4" s="82" t="s">
        <v>294</v>
      </c>
      <c r="X4" s="82" t="s">
        <v>295</v>
      </c>
      <c r="Y4" s="82" t="s">
        <v>296</v>
      </c>
      <c r="Z4" s="83" t="s">
        <v>297</v>
      </c>
      <c r="AA4" s="83" t="s">
        <v>298</v>
      </c>
      <c r="AB4" s="83" t="s">
        <v>297</v>
      </c>
      <c r="AC4" s="83" t="s">
        <v>298</v>
      </c>
      <c r="AD4" s="84" t="s">
        <v>299</v>
      </c>
      <c r="AE4" s="84" t="s">
        <v>300</v>
      </c>
      <c r="AF4" s="331"/>
    </row>
    <row r="5" spans="1:32" s="36" customFormat="1" ht="12.5" x14ac:dyDescent="0.35">
      <c r="A5" s="205" t="s">
        <v>36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176"/>
      <c r="Y5" s="34"/>
      <c r="Z5" s="34"/>
      <c r="AA5" s="34"/>
      <c r="AB5" s="34"/>
      <c r="AC5" s="34"/>
      <c r="AD5" s="34"/>
      <c r="AE5" s="34"/>
      <c r="AF5" s="35"/>
    </row>
    <row r="6" spans="1:32" s="36" customFormat="1" ht="13.75" customHeight="1" x14ac:dyDescent="0.35">
      <c r="A6" s="206" t="s">
        <v>526</v>
      </c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9"/>
      <c r="Y6" s="208"/>
      <c r="Z6" s="208"/>
      <c r="AA6" s="208"/>
      <c r="AB6" s="208"/>
      <c r="AC6" s="208"/>
      <c r="AD6" s="208"/>
      <c r="AE6" s="208"/>
      <c r="AF6" s="210"/>
    </row>
    <row r="7" spans="1:32" s="96" customFormat="1" x14ac:dyDescent="0.35">
      <c r="A7" s="85">
        <v>1</v>
      </c>
      <c r="B7" s="90" t="s">
        <v>38</v>
      </c>
      <c r="C7" s="86" t="s">
        <v>301</v>
      </c>
      <c r="D7" s="91"/>
      <c r="E7" s="86"/>
      <c r="F7" s="91"/>
      <c r="G7" s="86"/>
      <c r="H7" s="86"/>
      <c r="I7" s="86"/>
      <c r="J7" s="92"/>
      <c r="K7" s="93"/>
      <c r="L7" s="86"/>
      <c r="M7" s="86"/>
      <c r="N7" s="87"/>
      <c r="O7" s="94"/>
      <c r="P7" s="87"/>
      <c r="Q7" s="87"/>
      <c r="R7" s="87"/>
      <c r="S7" s="87"/>
      <c r="T7" s="87"/>
      <c r="U7" s="87"/>
      <c r="V7" s="87"/>
      <c r="W7" s="87"/>
      <c r="X7" s="177"/>
      <c r="Y7" s="87"/>
      <c r="Z7" s="88"/>
      <c r="AA7" s="88"/>
      <c r="AB7" s="88"/>
      <c r="AC7" s="88"/>
      <c r="AD7" s="89" t="s">
        <v>302</v>
      </c>
      <c r="AE7" s="89" t="s">
        <v>302</v>
      </c>
      <c r="AF7" s="95"/>
    </row>
    <row r="8" spans="1:32" s="17" customFormat="1" x14ac:dyDescent="0.35">
      <c r="A8" s="85">
        <v>3</v>
      </c>
      <c r="B8" s="90" t="s">
        <v>39</v>
      </c>
      <c r="C8" s="86" t="s">
        <v>301</v>
      </c>
      <c r="D8" s="91"/>
      <c r="E8" s="86"/>
      <c r="F8" s="91"/>
      <c r="G8" s="86"/>
      <c r="H8" s="86"/>
      <c r="I8" s="86"/>
      <c r="J8" s="92"/>
      <c r="K8" s="93"/>
      <c r="L8" s="86"/>
      <c r="M8" s="86"/>
      <c r="N8" s="87"/>
      <c r="O8" s="94"/>
      <c r="P8" s="87"/>
      <c r="Q8" s="87"/>
      <c r="R8" s="87"/>
      <c r="S8" s="87"/>
      <c r="T8" s="87"/>
      <c r="U8" s="87"/>
      <c r="V8" s="87"/>
      <c r="W8" s="87"/>
      <c r="X8" s="177"/>
      <c r="Y8" s="87"/>
      <c r="Z8" s="88"/>
      <c r="AA8" s="88"/>
      <c r="AB8" s="88"/>
      <c r="AC8" s="88"/>
      <c r="AD8" s="89" t="s">
        <v>302</v>
      </c>
      <c r="AE8" s="89" t="s">
        <v>302</v>
      </c>
      <c r="AF8" s="95"/>
    </row>
    <row r="9" spans="1:32" s="17" customFormat="1" x14ac:dyDescent="0.35">
      <c r="A9" s="85">
        <v>146</v>
      </c>
      <c r="B9" s="90" t="s">
        <v>303</v>
      </c>
      <c r="C9" s="97"/>
      <c r="D9" s="98"/>
      <c r="E9" s="97"/>
      <c r="F9" s="98"/>
      <c r="G9" s="97"/>
      <c r="H9" s="97"/>
      <c r="I9" s="97"/>
      <c r="J9" s="97"/>
      <c r="K9" s="98"/>
      <c r="L9" s="97"/>
      <c r="M9" s="97"/>
      <c r="N9" s="99"/>
      <c r="O9" s="100"/>
      <c r="P9" s="99"/>
      <c r="Q9" s="99"/>
      <c r="R9" s="99"/>
      <c r="S9" s="99"/>
      <c r="T9" s="99"/>
      <c r="U9" s="99"/>
      <c r="V9" s="99"/>
      <c r="W9" s="99"/>
      <c r="X9" s="178"/>
      <c r="Y9" s="99"/>
      <c r="Z9" s="101" t="s">
        <v>304</v>
      </c>
      <c r="AA9" s="101" t="s">
        <v>304</v>
      </c>
      <c r="AB9" s="101"/>
      <c r="AC9" s="101"/>
      <c r="AD9" s="102" t="s">
        <v>302</v>
      </c>
      <c r="AE9" s="102" t="s">
        <v>302</v>
      </c>
      <c r="AF9" s="95"/>
    </row>
    <row r="10" spans="1:32" s="17" customFormat="1" x14ac:dyDescent="0.35">
      <c r="A10" s="85">
        <v>156</v>
      </c>
      <c r="B10" s="90" t="s">
        <v>305</v>
      </c>
      <c r="C10" s="97"/>
      <c r="D10" s="98"/>
      <c r="E10" s="97"/>
      <c r="F10" s="98"/>
      <c r="G10" s="97"/>
      <c r="H10" s="97"/>
      <c r="I10" s="97"/>
      <c r="J10" s="97"/>
      <c r="K10" s="98"/>
      <c r="L10" s="97"/>
      <c r="M10" s="97"/>
      <c r="N10" s="99"/>
      <c r="O10" s="100"/>
      <c r="P10" s="99"/>
      <c r="Q10" s="99"/>
      <c r="R10" s="99"/>
      <c r="S10" s="99"/>
      <c r="T10" s="99"/>
      <c r="U10" s="99"/>
      <c r="V10" s="99"/>
      <c r="W10" s="99"/>
      <c r="X10" s="178"/>
      <c r="Y10" s="99"/>
      <c r="Z10" s="101"/>
      <c r="AA10" s="101"/>
      <c r="AB10" s="101"/>
      <c r="AC10" s="101"/>
      <c r="AD10" s="102" t="s">
        <v>302</v>
      </c>
      <c r="AE10" s="102" t="s">
        <v>302</v>
      </c>
      <c r="AF10" s="95"/>
    </row>
    <row r="11" spans="1:32" s="17" customFormat="1" x14ac:dyDescent="0.35">
      <c r="A11" s="85">
        <v>157</v>
      </c>
      <c r="B11" s="90" t="s">
        <v>42</v>
      </c>
      <c r="C11" s="86" t="s">
        <v>301</v>
      </c>
      <c r="D11" s="91"/>
      <c r="E11" s="86"/>
      <c r="F11" s="91"/>
      <c r="G11" s="86"/>
      <c r="H11" s="86"/>
      <c r="I11" s="86"/>
      <c r="J11" s="86" t="s">
        <v>306</v>
      </c>
      <c r="K11" s="91"/>
      <c r="L11" s="86"/>
      <c r="M11" s="86"/>
      <c r="N11" s="87" t="s">
        <v>302</v>
      </c>
      <c r="O11" s="94"/>
      <c r="P11" s="87"/>
      <c r="Q11" s="87"/>
      <c r="R11" s="87"/>
      <c r="S11" s="87"/>
      <c r="T11" s="87"/>
      <c r="U11" s="87"/>
      <c r="V11" s="87"/>
      <c r="W11" s="87" t="s">
        <v>307</v>
      </c>
      <c r="X11" s="177"/>
      <c r="Y11" s="87"/>
      <c r="Z11" s="88"/>
      <c r="AA11" s="88"/>
      <c r="AB11" s="88"/>
      <c r="AC11" s="88"/>
      <c r="AD11" s="89"/>
      <c r="AE11" s="89"/>
      <c r="AF11" s="85" t="s">
        <v>308</v>
      </c>
    </row>
    <row r="12" spans="1:32" s="17" customFormat="1" x14ac:dyDescent="0.35">
      <c r="A12" s="85">
        <v>157</v>
      </c>
      <c r="B12" s="103" t="s">
        <v>309</v>
      </c>
      <c r="C12" s="86" t="s">
        <v>301</v>
      </c>
      <c r="D12" s="91" t="s">
        <v>306</v>
      </c>
      <c r="E12" s="86" t="s">
        <v>301</v>
      </c>
      <c r="F12" s="93"/>
      <c r="G12" s="86"/>
      <c r="H12" s="86"/>
      <c r="I12" s="86"/>
      <c r="J12" s="86" t="s">
        <v>306</v>
      </c>
      <c r="K12" s="91" t="s">
        <v>310</v>
      </c>
      <c r="L12" s="86"/>
      <c r="M12" s="86" t="s">
        <v>311</v>
      </c>
      <c r="N12" s="87" t="s">
        <v>302</v>
      </c>
      <c r="O12" s="94"/>
      <c r="P12" s="87"/>
      <c r="Q12" s="87"/>
      <c r="R12" s="87"/>
      <c r="S12" s="87"/>
      <c r="T12" s="87"/>
      <c r="U12" s="87"/>
      <c r="V12" s="87"/>
      <c r="W12" s="87"/>
      <c r="X12" s="177"/>
      <c r="Y12" s="87" t="s">
        <v>302</v>
      </c>
      <c r="Z12" s="88" t="s">
        <v>304</v>
      </c>
      <c r="AA12" s="88" t="s">
        <v>304</v>
      </c>
      <c r="AB12" s="88"/>
      <c r="AC12" s="88"/>
      <c r="AD12" s="89" t="s">
        <v>302</v>
      </c>
      <c r="AE12" s="89" t="s">
        <v>302</v>
      </c>
      <c r="AF12" s="95"/>
    </row>
    <row r="13" spans="1:32" s="96" customFormat="1" x14ac:dyDescent="0.35">
      <c r="A13" s="104">
        <v>157</v>
      </c>
      <c r="B13" s="105" t="s">
        <v>312</v>
      </c>
      <c r="C13" s="86" t="s">
        <v>301</v>
      </c>
      <c r="D13" s="91"/>
      <c r="E13" s="86" t="s">
        <v>301</v>
      </c>
      <c r="F13" s="91"/>
      <c r="G13" s="86"/>
      <c r="H13" s="86"/>
      <c r="I13" s="86"/>
      <c r="J13" s="86" t="s">
        <v>306</v>
      </c>
      <c r="K13" s="91" t="s">
        <v>306</v>
      </c>
      <c r="L13" s="86"/>
      <c r="M13" s="86" t="s">
        <v>311</v>
      </c>
      <c r="N13" s="87" t="s">
        <v>302</v>
      </c>
      <c r="O13" s="94"/>
      <c r="P13" s="87"/>
      <c r="Q13" s="87"/>
      <c r="R13" s="87"/>
      <c r="S13" s="87"/>
      <c r="T13" s="87"/>
      <c r="U13" s="87"/>
      <c r="V13" s="87"/>
      <c r="W13" s="87"/>
      <c r="X13" s="177"/>
      <c r="Y13" s="87"/>
      <c r="Z13" s="88" t="s">
        <v>307</v>
      </c>
      <c r="AA13" s="88" t="s">
        <v>307</v>
      </c>
      <c r="AB13" s="88"/>
      <c r="AC13" s="88"/>
      <c r="AD13" s="89" t="s">
        <v>302</v>
      </c>
      <c r="AE13" s="89" t="s">
        <v>302</v>
      </c>
      <c r="AF13" s="85"/>
    </row>
    <row r="14" spans="1:32" s="203" customFormat="1" x14ac:dyDescent="0.35">
      <c r="A14" s="104">
        <v>157</v>
      </c>
      <c r="B14" s="105" t="s">
        <v>313</v>
      </c>
      <c r="C14" s="194" t="s">
        <v>301</v>
      </c>
      <c r="D14" s="195"/>
      <c r="E14" s="194" t="s">
        <v>301</v>
      </c>
      <c r="F14" s="195"/>
      <c r="G14" s="194"/>
      <c r="H14" s="194"/>
      <c r="I14" s="194"/>
      <c r="J14" s="194" t="s">
        <v>306</v>
      </c>
      <c r="K14" s="195" t="s">
        <v>306</v>
      </c>
      <c r="L14" s="194"/>
      <c r="M14" s="194" t="s">
        <v>311</v>
      </c>
      <c r="N14" s="196" t="s">
        <v>302</v>
      </c>
      <c r="O14" s="196"/>
      <c r="P14" s="196"/>
      <c r="Q14" s="196"/>
      <c r="R14" s="196"/>
      <c r="S14" s="196"/>
      <c r="T14" s="196"/>
      <c r="U14" s="87"/>
      <c r="V14" s="87"/>
      <c r="W14" s="87"/>
      <c r="X14" s="177"/>
      <c r="Y14" s="87"/>
      <c r="Z14" s="197" t="s">
        <v>307</v>
      </c>
      <c r="AA14" s="197" t="s">
        <v>307</v>
      </c>
      <c r="AB14" s="88"/>
      <c r="AC14" s="88"/>
      <c r="AD14" s="89" t="s">
        <v>302</v>
      </c>
      <c r="AE14" s="89" t="s">
        <v>302</v>
      </c>
      <c r="AF14" s="85"/>
    </row>
    <row r="15" spans="1:32" s="17" customFormat="1" x14ac:dyDescent="0.35">
      <c r="A15" s="85">
        <v>158</v>
      </c>
      <c r="B15" s="90" t="s">
        <v>314</v>
      </c>
      <c r="C15" s="86" t="s">
        <v>301</v>
      </c>
      <c r="D15" s="91" t="s">
        <v>306</v>
      </c>
      <c r="E15" s="86"/>
      <c r="F15" s="93"/>
      <c r="G15" s="86"/>
      <c r="H15" s="86"/>
      <c r="I15" s="86"/>
      <c r="J15" s="86" t="s">
        <v>306</v>
      </c>
      <c r="K15" s="91" t="s">
        <v>310</v>
      </c>
      <c r="L15" s="86"/>
      <c r="M15" s="86"/>
      <c r="N15" s="87" t="s">
        <v>302</v>
      </c>
      <c r="O15" s="94"/>
      <c r="P15" s="87"/>
      <c r="Q15" s="87"/>
      <c r="R15" s="87"/>
      <c r="S15" s="87"/>
      <c r="T15" s="87"/>
      <c r="U15" s="87"/>
      <c r="V15" s="87"/>
      <c r="W15" s="87"/>
      <c r="X15" s="177"/>
      <c r="Y15" s="87" t="s">
        <v>302</v>
      </c>
      <c r="Z15" s="88" t="s">
        <v>315</v>
      </c>
      <c r="AA15" s="88" t="s">
        <v>315</v>
      </c>
      <c r="AB15" s="88"/>
      <c r="AC15" s="88"/>
      <c r="AD15" s="89" t="s">
        <v>302</v>
      </c>
      <c r="AE15" s="89" t="s">
        <v>302</v>
      </c>
      <c r="AF15" s="95"/>
    </row>
    <row r="16" spans="1:32" s="17" customFormat="1" x14ac:dyDescent="0.35">
      <c r="A16" s="85">
        <v>170</v>
      </c>
      <c r="B16" s="90" t="s">
        <v>316</v>
      </c>
      <c r="C16" s="86" t="s">
        <v>307</v>
      </c>
      <c r="D16" s="91" t="s">
        <v>306</v>
      </c>
      <c r="E16" s="86" t="s">
        <v>307</v>
      </c>
      <c r="F16" s="91" t="s">
        <v>306</v>
      </c>
      <c r="G16" s="86" t="s">
        <v>307</v>
      </c>
      <c r="H16" s="86"/>
      <c r="I16" s="86"/>
      <c r="J16" s="86" t="s">
        <v>307</v>
      </c>
      <c r="K16" s="91" t="s">
        <v>310</v>
      </c>
      <c r="L16" s="86" t="s">
        <v>310</v>
      </c>
      <c r="M16" s="86" t="s">
        <v>306</v>
      </c>
      <c r="N16" s="87" t="s">
        <v>307</v>
      </c>
      <c r="O16" s="87" t="s">
        <v>306</v>
      </c>
      <c r="P16" s="87" t="s">
        <v>306</v>
      </c>
      <c r="Q16" s="87" t="s">
        <v>310</v>
      </c>
      <c r="R16" s="87" t="s">
        <v>310</v>
      </c>
      <c r="S16" s="87"/>
      <c r="T16" s="87"/>
      <c r="U16" s="87"/>
      <c r="V16" s="87"/>
      <c r="W16" s="87" t="s">
        <v>307</v>
      </c>
      <c r="X16" s="177"/>
      <c r="Y16" s="87"/>
      <c r="Z16" s="88" t="s">
        <v>304</v>
      </c>
      <c r="AA16" s="88" t="s">
        <v>304</v>
      </c>
      <c r="AB16" s="88"/>
      <c r="AC16" s="88"/>
      <c r="AD16" s="89" t="s">
        <v>302</v>
      </c>
      <c r="AE16" s="89" t="s">
        <v>302</v>
      </c>
      <c r="AF16" s="85" t="s">
        <v>317</v>
      </c>
    </row>
    <row r="17" spans="1:32" s="17" customFormat="1" x14ac:dyDescent="0.35">
      <c r="A17" s="85">
        <v>171</v>
      </c>
      <c r="B17" s="103" t="s">
        <v>48</v>
      </c>
      <c r="C17" s="86"/>
      <c r="D17" s="91"/>
      <c r="E17" s="86"/>
      <c r="F17" s="91"/>
      <c r="G17" s="86"/>
      <c r="H17" s="86"/>
      <c r="I17" s="86"/>
      <c r="J17" s="86"/>
      <c r="K17" s="91"/>
      <c r="L17" s="86"/>
      <c r="M17" s="86"/>
      <c r="N17" s="87"/>
      <c r="O17" s="94"/>
      <c r="P17" s="87"/>
      <c r="Q17" s="87"/>
      <c r="R17" s="87"/>
      <c r="S17" s="87"/>
      <c r="T17" s="87"/>
      <c r="U17" s="87"/>
      <c r="V17" s="87"/>
      <c r="W17" s="87"/>
      <c r="X17" s="177"/>
      <c r="Y17" s="87"/>
      <c r="Z17" s="88"/>
      <c r="AA17" s="88"/>
      <c r="AB17" s="88"/>
      <c r="AC17" s="88"/>
      <c r="AD17" s="89"/>
      <c r="AE17" s="89"/>
      <c r="AF17" s="85"/>
    </row>
    <row r="18" spans="1:32" s="17" customFormat="1" x14ac:dyDescent="0.35">
      <c r="A18" s="85">
        <v>175</v>
      </c>
      <c r="B18" s="90" t="s">
        <v>49</v>
      </c>
      <c r="C18" s="222" t="s">
        <v>302</v>
      </c>
      <c r="D18" s="223" t="s">
        <v>306</v>
      </c>
      <c r="E18" s="223" t="s">
        <v>301</v>
      </c>
      <c r="F18" s="223" t="s">
        <v>306</v>
      </c>
      <c r="G18" s="223" t="s">
        <v>188</v>
      </c>
      <c r="H18" s="223" t="s">
        <v>188</v>
      </c>
      <c r="I18" s="223" t="s">
        <v>188</v>
      </c>
      <c r="J18" s="223" t="s">
        <v>306</v>
      </c>
      <c r="K18" s="223" t="s">
        <v>310</v>
      </c>
      <c r="L18" s="223" t="s">
        <v>188</v>
      </c>
      <c r="M18" s="223" t="s">
        <v>311</v>
      </c>
      <c r="N18" s="224" t="s">
        <v>318</v>
      </c>
      <c r="O18" s="94"/>
      <c r="P18" s="87"/>
      <c r="Q18" s="87"/>
      <c r="R18" s="87"/>
      <c r="S18" s="87"/>
      <c r="T18" s="87"/>
      <c r="U18" s="87"/>
      <c r="V18" s="87" t="s">
        <v>319</v>
      </c>
      <c r="W18" s="87" t="s">
        <v>307</v>
      </c>
      <c r="X18" s="177"/>
      <c r="Y18" s="87"/>
      <c r="Z18" s="88" t="s">
        <v>304</v>
      </c>
      <c r="AA18" s="88" t="s">
        <v>304</v>
      </c>
      <c r="AB18" s="88" t="s">
        <v>304</v>
      </c>
      <c r="AC18" s="88" t="s">
        <v>304</v>
      </c>
      <c r="AD18" s="89" t="s">
        <v>302</v>
      </c>
      <c r="AE18" s="89" t="s">
        <v>302</v>
      </c>
      <c r="AF18" s="85"/>
    </row>
    <row r="19" spans="1:32" s="37" customFormat="1" x14ac:dyDescent="0.35">
      <c r="A19" s="85">
        <v>175</v>
      </c>
      <c r="B19" s="90" t="s">
        <v>50</v>
      </c>
      <c r="C19" s="198" t="s">
        <v>301</v>
      </c>
      <c r="D19" s="199"/>
      <c r="E19" s="198" t="s">
        <v>301</v>
      </c>
      <c r="F19" s="199"/>
      <c r="G19" s="198"/>
      <c r="H19" s="198"/>
      <c r="I19" s="198"/>
      <c r="J19" s="198" t="s">
        <v>306</v>
      </c>
      <c r="K19" s="199"/>
      <c r="L19" s="198"/>
      <c r="M19" s="198" t="s">
        <v>311</v>
      </c>
      <c r="N19" s="200" t="s">
        <v>302</v>
      </c>
      <c r="O19" s="200"/>
      <c r="P19" s="87"/>
      <c r="Q19" s="200"/>
      <c r="R19" s="200"/>
      <c r="S19" s="200" t="s">
        <v>306</v>
      </c>
      <c r="T19" s="87"/>
      <c r="U19" s="87"/>
      <c r="V19" s="200"/>
      <c r="W19" s="200"/>
      <c r="X19" s="177"/>
      <c r="Y19" s="87"/>
      <c r="Z19" s="201" t="s">
        <v>304</v>
      </c>
      <c r="AA19" s="201" t="s">
        <v>304</v>
      </c>
      <c r="AB19" s="88"/>
      <c r="AC19" s="88"/>
      <c r="AD19" s="202" t="s">
        <v>302</v>
      </c>
      <c r="AE19" s="202" t="s">
        <v>302</v>
      </c>
      <c r="AF19" s="85"/>
    </row>
    <row r="20" spans="1:32" s="37" customFormat="1" x14ac:dyDescent="0.35">
      <c r="A20" s="85">
        <v>175</v>
      </c>
      <c r="B20" s="90" t="s">
        <v>51</v>
      </c>
      <c r="C20" s="198" t="s">
        <v>301</v>
      </c>
      <c r="D20" s="199" t="s">
        <v>306</v>
      </c>
      <c r="E20" s="198" t="s">
        <v>301</v>
      </c>
      <c r="F20" s="199" t="s">
        <v>306</v>
      </c>
      <c r="G20" s="198"/>
      <c r="H20" s="198"/>
      <c r="I20" s="198"/>
      <c r="J20" s="198" t="s">
        <v>306</v>
      </c>
      <c r="K20" s="199" t="s">
        <v>310</v>
      </c>
      <c r="L20" s="198"/>
      <c r="M20" s="198" t="s">
        <v>311</v>
      </c>
      <c r="N20" s="200" t="s">
        <v>302</v>
      </c>
      <c r="O20" s="200"/>
      <c r="P20" s="87"/>
      <c r="Q20" s="200"/>
      <c r="R20" s="200"/>
      <c r="S20" s="200" t="s">
        <v>306</v>
      </c>
      <c r="T20" s="87"/>
      <c r="U20" s="87"/>
      <c r="V20" s="200"/>
      <c r="W20" s="200" t="s">
        <v>307</v>
      </c>
      <c r="X20" s="177"/>
      <c r="Y20" s="87" t="s">
        <v>302</v>
      </c>
      <c r="Z20" s="201" t="s">
        <v>304</v>
      </c>
      <c r="AA20" s="201" t="s">
        <v>304</v>
      </c>
      <c r="AB20" s="88"/>
      <c r="AC20" s="88"/>
      <c r="AD20" s="202" t="s">
        <v>302</v>
      </c>
      <c r="AE20" s="202" t="s">
        <v>302</v>
      </c>
      <c r="AF20" s="85"/>
    </row>
    <row r="21" spans="1:32" s="96" customFormat="1" x14ac:dyDescent="0.35">
      <c r="A21" s="85">
        <v>183</v>
      </c>
      <c r="B21" s="90" t="s">
        <v>52</v>
      </c>
      <c r="C21" s="86" t="s">
        <v>301</v>
      </c>
      <c r="D21" s="86" t="s">
        <v>306</v>
      </c>
      <c r="E21" s="86"/>
      <c r="F21" s="92"/>
      <c r="G21" s="86"/>
      <c r="H21" s="86"/>
      <c r="I21" s="86"/>
      <c r="J21" s="92"/>
      <c r="K21" s="92"/>
      <c r="L21" s="91"/>
      <c r="M21" s="86"/>
      <c r="N21" s="94"/>
      <c r="O21" s="94"/>
      <c r="P21" s="87"/>
      <c r="Q21" s="87"/>
      <c r="R21" s="87"/>
      <c r="S21" s="87"/>
      <c r="T21" s="87"/>
      <c r="U21" s="87"/>
      <c r="V21" s="87"/>
      <c r="W21" s="87"/>
      <c r="X21" s="177"/>
      <c r="Y21" s="87" t="s">
        <v>302</v>
      </c>
      <c r="Z21" s="88" t="s">
        <v>307</v>
      </c>
      <c r="AA21" s="88" t="s">
        <v>307</v>
      </c>
      <c r="AB21" s="88"/>
      <c r="AC21" s="88"/>
      <c r="AD21" s="89"/>
      <c r="AE21" s="89"/>
      <c r="AF21" s="85" t="s">
        <v>320</v>
      </c>
    </row>
    <row r="22" spans="1:32" s="17" customFormat="1" x14ac:dyDescent="0.35">
      <c r="A22" s="85">
        <v>202</v>
      </c>
      <c r="B22" s="103" t="s">
        <v>48</v>
      </c>
      <c r="C22" s="86"/>
      <c r="D22" s="91"/>
      <c r="E22" s="86"/>
      <c r="F22" s="91"/>
      <c r="G22" s="86"/>
      <c r="H22" s="86"/>
      <c r="I22" s="86"/>
      <c r="J22" s="86"/>
      <c r="K22" s="91"/>
      <c r="L22" s="86"/>
      <c r="M22" s="86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177"/>
      <c r="Y22" s="87"/>
      <c r="Z22" s="88"/>
      <c r="AA22" s="88"/>
      <c r="AB22" s="88"/>
      <c r="AC22" s="88"/>
      <c r="AD22" s="89" t="s">
        <v>302</v>
      </c>
      <c r="AE22" s="89" t="s">
        <v>302</v>
      </c>
      <c r="AF22" s="85"/>
    </row>
    <row r="23" spans="1:32" s="17" customFormat="1" x14ac:dyDescent="0.35">
      <c r="A23" s="104">
        <v>204</v>
      </c>
      <c r="B23" s="133" t="s">
        <v>53</v>
      </c>
      <c r="C23" s="86"/>
      <c r="D23" s="91"/>
      <c r="E23" s="86"/>
      <c r="F23" s="91"/>
      <c r="G23" s="86"/>
      <c r="H23" s="86"/>
      <c r="I23" s="86"/>
      <c r="J23" s="86"/>
      <c r="K23" s="91"/>
      <c r="L23" s="86"/>
      <c r="M23" s="86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177"/>
      <c r="Y23" s="87"/>
      <c r="Z23" s="88"/>
      <c r="AA23" s="88"/>
      <c r="AB23" s="88"/>
      <c r="AC23" s="88"/>
      <c r="AD23" s="89" t="s">
        <v>302</v>
      </c>
      <c r="AE23" s="89" t="s">
        <v>302</v>
      </c>
      <c r="AF23" s="85"/>
    </row>
    <row r="24" spans="1:32" s="96" customFormat="1" x14ac:dyDescent="0.35">
      <c r="A24" s="85">
        <v>212</v>
      </c>
      <c r="B24" s="90" t="s">
        <v>54</v>
      </c>
      <c r="C24" s="86" t="s">
        <v>301</v>
      </c>
      <c r="D24" s="91" t="s">
        <v>306</v>
      </c>
      <c r="E24" s="86"/>
      <c r="F24" s="91"/>
      <c r="G24" s="86"/>
      <c r="H24" s="86"/>
      <c r="I24" s="86"/>
      <c r="J24" s="86" t="s">
        <v>306</v>
      </c>
      <c r="K24" s="91" t="s">
        <v>310</v>
      </c>
      <c r="L24" s="86"/>
      <c r="M24" s="86"/>
      <c r="N24" s="87" t="s">
        <v>302</v>
      </c>
      <c r="O24" s="94"/>
      <c r="P24" s="87"/>
      <c r="Q24" s="87" t="s">
        <v>306</v>
      </c>
      <c r="R24" s="87" t="s">
        <v>306</v>
      </c>
      <c r="S24" s="87" t="s">
        <v>306</v>
      </c>
      <c r="T24" s="87"/>
      <c r="U24" s="87"/>
      <c r="V24" s="87"/>
      <c r="W24" s="87" t="s">
        <v>319</v>
      </c>
      <c r="X24" s="177"/>
      <c r="Y24" s="87"/>
      <c r="Z24" s="88" t="s">
        <v>307</v>
      </c>
      <c r="AA24" s="88" t="s">
        <v>307</v>
      </c>
      <c r="AB24" s="88"/>
      <c r="AC24" s="88"/>
      <c r="AD24" s="89"/>
      <c r="AE24" s="89"/>
      <c r="AF24" s="85"/>
    </row>
    <row r="25" spans="1:32" s="17" customFormat="1" ht="25.8" x14ac:dyDescent="0.35">
      <c r="A25" s="85">
        <v>225</v>
      </c>
      <c r="B25" s="133" t="s">
        <v>55</v>
      </c>
      <c r="C25" s="86"/>
      <c r="D25" s="91"/>
      <c r="E25" s="86"/>
      <c r="F25" s="91"/>
      <c r="G25" s="86"/>
      <c r="H25" s="86"/>
      <c r="I25" s="86"/>
      <c r="J25" s="86"/>
      <c r="K25" s="91"/>
      <c r="L25" s="86"/>
      <c r="M25" s="86"/>
      <c r="N25" s="87" t="s">
        <v>302</v>
      </c>
      <c r="O25" s="87"/>
      <c r="P25" s="87"/>
      <c r="Q25" s="87"/>
      <c r="R25" s="87"/>
      <c r="S25" s="87"/>
      <c r="T25" s="87"/>
      <c r="U25" s="87"/>
      <c r="V25" s="87"/>
      <c r="W25" s="87"/>
      <c r="X25" s="177"/>
      <c r="Y25" s="87"/>
      <c r="Z25" s="88"/>
      <c r="AA25" s="88"/>
      <c r="AB25" s="88"/>
      <c r="AC25" s="88"/>
      <c r="AD25" s="89" t="s">
        <v>302</v>
      </c>
      <c r="AE25" s="89" t="s">
        <v>302</v>
      </c>
      <c r="AF25" s="85"/>
    </row>
    <row r="26" spans="1:32" s="17" customFormat="1" x14ac:dyDescent="0.35">
      <c r="A26" s="85">
        <v>230</v>
      </c>
      <c r="B26" s="106" t="s">
        <v>56</v>
      </c>
      <c r="C26" s="86"/>
      <c r="D26" s="91"/>
      <c r="E26" s="86"/>
      <c r="F26" s="91"/>
      <c r="G26" s="86"/>
      <c r="H26" s="86"/>
      <c r="I26" s="86"/>
      <c r="J26" s="86"/>
      <c r="K26" s="91"/>
      <c r="L26" s="86"/>
      <c r="M26" s="86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177"/>
      <c r="Y26" s="87"/>
      <c r="Z26" s="88" t="s">
        <v>307</v>
      </c>
      <c r="AA26" s="88" t="s">
        <v>307</v>
      </c>
      <c r="AB26" s="88"/>
      <c r="AC26" s="88"/>
      <c r="AD26" s="89"/>
      <c r="AE26" s="89"/>
      <c r="AF26" s="85"/>
    </row>
    <row r="27" spans="1:32" s="17" customFormat="1" x14ac:dyDescent="0.35">
      <c r="A27" s="104">
        <v>303</v>
      </c>
      <c r="B27" s="103" t="s">
        <v>48</v>
      </c>
      <c r="C27" s="86"/>
      <c r="D27" s="91"/>
      <c r="E27" s="86"/>
      <c r="F27" s="91"/>
      <c r="G27" s="86"/>
      <c r="H27" s="86"/>
      <c r="I27" s="86"/>
      <c r="J27" s="86"/>
      <c r="K27" s="91"/>
      <c r="L27" s="86"/>
      <c r="M27" s="86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177"/>
      <c r="Y27" s="87"/>
      <c r="Z27" s="88"/>
      <c r="AA27" s="88"/>
      <c r="AB27" s="88"/>
      <c r="AC27" s="88"/>
      <c r="AD27" s="89" t="s">
        <v>302</v>
      </c>
      <c r="AE27" s="89" t="s">
        <v>302</v>
      </c>
      <c r="AF27" s="85"/>
    </row>
    <row r="28" spans="1:32" s="113" customFormat="1" x14ac:dyDescent="0.35">
      <c r="A28" s="107">
        <v>308</v>
      </c>
      <c r="B28" s="90" t="s">
        <v>57</v>
      </c>
      <c r="C28" s="108" t="s">
        <v>321</v>
      </c>
      <c r="D28" s="91"/>
      <c r="E28" s="108"/>
      <c r="F28" s="91"/>
      <c r="G28" s="108"/>
      <c r="H28" s="108"/>
      <c r="I28" s="108"/>
      <c r="J28" s="108"/>
      <c r="K28" s="108"/>
      <c r="L28" s="108"/>
      <c r="M28" s="108"/>
      <c r="N28" s="109" t="s">
        <v>302</v>
      </c>
      <c r="O28" s="110"/>
      <c r="P28" s="109"/>
      <c r="Q28" s="109"/>
      <c r="R28" s="109"/>
      <c r="S28" s="109"/>
      <c r="T28" s="109"/>
      <c r="U28" s="109"/>
      <c r="V28" s="109"/>
      <c r="W28" s="109"/>
      <c r="X28" s="179"/>
      <c r="Y28" s="109" t="s">
        <v>306</v>
      </c>
      <c r="Z28" s="111" t="s">
        <v>307</v>
      </c>
      <c r="AA28" s="111" t="s">
        <v>307</v>
      </c>
      <c r="AB28" s="111"/>
      <c r="AC28" s="111"/>
      <c r="AD28" s="112"/>
      <c r="AE28" s="112"/>
      <c r="AF28" s="107"/>
    </row>
    <row r="29" spans="1:32" s="17" customFormat="1" x14ac:dyDescent="0.35">
      <c r="A29" s="85">
        <v>314</v>
      </c>
      <c r="B29" s="90" t="s">
        <v>58</v>
      </c>
      <c r="C29" s="86" t="s">
        <v>307</v>
      </c>
      <c r="D29" s="91"/>
      <c r="E29" s="86" t="s">
        <v>307</v>
      </c>
      <c r="F29" s="91"/>
      <c r="G29" s="86" t="s">
        <v>307</v>
      </c>
      <c r="H29" s="86" t="s">
        <v>306</v>
      </c>
      <c r="I29" s="86"/>
      <c r="J29" s="86" t="s">
        <v>307</v>
      </c>
      <c r="K29" s="91"/>
      <c r="L29" s="86" t="s">
        <v>310</v>
      </c>
      <c r="M29" s="86" t="s">
        <v>306</v>
      </c>
      <c r="N29" s="87" t="s">
        <v>307</v>
      </c>
      <c r="O29" s="87" t="s">
        <v>318</v>
      </c>
      <c r="P29" s="87" t="s">
        <v>322</v>
      </c>
      <c r="Q29" s="87" t="s">
        <v>310</v>
      </c>
      <c r="R29" s="87" t="s">
        <v>310</v>
      </c>
      <c r="S29" s="87" t="s">
        <v>322</v>
      </c>
      <c r="T29" s="87"/>
      <c r="U29" s="87"/>
      <c r="V29" s="87"/>
      <c r="W29" s="87" t="s">
        <v>315</v>
      </c>
      <c r="X29" s="177"/>
      <c r="Y29" s="87" t="s">
        <v>307</v>
      </c>
      <c r="Z29" s="88" t="s">
        <v>315</v>
      </c>
      <c r="AA29" s="88" t="s">
        <v>315</v>
      </c>
      <c r="AB29" s="88"/>
      <c r="AC29" s="88"/>
      <c r="AD29" s="89" t="s">
        <v>318</v>
      </c>
      <c r="AE29" s="89" t="s">
        <v>318</v>
      </c>
      <c r="AF29" s="85" t="s">
        <v>323</v>
      </c>
    </row>
    <row r="30" spans="1:32" s="96" customFormat="1" x14ac:dyDescent="0.35">
      <c r="A30" s="85">
        <v>317</v>
      </c>
      <c r="B30" s="106" t="s">
        <v>59</v>
      </c>
      <c r="C30" s="86" t="s">
        <v>301</v>
      </c>
      <c r="D30" s="91" t="s">
        <v>306</v>
      </c>
      <c r="E30" s="86" t="s">
        <v>301</v>
      </c>
      <c r="F30" s="91" t="s">
        <v>306</v>
      </c>
      <c r="G30" s="86"/>
      <c r="H30" s="86"/>
      <c r="I30" s="86"/>
      <c r="J30" s="86" t="s">
        <v>306</v>
      </c>
      <c r="K30" s="91" t="s">
        <v>310</v>
      </c>
      <c r="L30" s="86"/>
      <c r="M30" s="86" t="s">
        <v>311</v>
      </c>
      <c r="N30" s="87" t="s">
        <v>302</v>
      </c>
      <c r="O30" s="94"/>
      <c r="P30" s="87"/>
      <c r="Q30" s="87"/>
      <c r="R30" s="87"/>
      <c r="S30" s="87"/>
      <c r="T30" s="87"/>
      <c r="U30" s="87"/>
      <c r="V30" s="87"/>
      <c r="W30" s="87" t="s">
        <v>307</v>
      </c>
      <c r="X30" s="177"/>
      <c r="Y30" s="87"/>
      <c r="Z30" s="88" t="s">
        <v>304</v>
      </c>
      <c r="AA30" s="88" t="s">
        <v>304</v>
      </c>
      <c r="AB30" s="88"/>
      <c r="AC30" s="88"/>
      <c r="AD30" s="89" t="s">
        <v>302</v>
      </c>
      <c r="AE30" s="89" t="s">
        <v>302</v>
      </c>
      <c r="AF30" s="85"/>
    </row>
    <row r="31" spans="1:32" s="17" customFormat="1" x14ac:dyDescent="0.35">
      <c r="A31" s="85">
        <v>318</v>
      </c>
      <c r="B31" s="106" t="s">
        <v>60</v>
      </c>
      <c r="C31" s="86" t="s">
        <v>301</v>
      </c>
      <c r="D31" s="91"/>
      <c r="E31" s="86"/>
      <c r="F31" s="91"/>
      <c r="G31" s="86"/>
      <c r="H31" s="86"/>
      <c r="I31" s="86"/>
      <c r="J31" s="86" t="s">
        <v>306</v>
      </c>
      <c r="K31" s="91"/>
      <c r="L31" s="86"/>
      <c r="M31" s="86"/>
      <c r="N31" s="87" t="s">
        <v>302</v>
      </c>
      <c r="O31" s="94"/>
      <c r="P31" s="87"/>
      <c r="Q31" s="87"/>
      <c r="R31" s="87"/>
      <c r="S31" s="87"/>
      <c r="T31" s="87"/>
      <c r="U31" s="87"/>
      <c r="V31" s="87"/>
      <c r="W31" s="87"/>
      <c r="X31" s="177"/>
      <c r="Y31" s="94"/>
      <c r="Z31" s="101"/>
      <c r="AA31" s="88"/>
      <c r="AB31" s="88"/>
      <c r="AC31" s="88"/>
      <c r="AD31" s="89"/>
      <c r="AE31" s="89"/>
      <c r="AF31" s="85"/>
    </row>
    <row r="32" spans="1:32" s="17" customFormat="1" x14ac:dyDescent="0.35">
      <c r="A32" s="85">
        <v>318</v>
      </c>
      <c r="B32" s="90" t="s">
        <v>61</v>
      </c>
      <c r="C32" s="86" t="s">
        <v>301</v>
      </c>
      <c r="D32" s="91" t="s">
        <v>306</v>
      </c>
      <c r="E32" s="86" t="s">
        <v>301</v>
      </c>
      <c r="F32" s="91" t="s">
        <v>306</v>
      </c>
      <c r="G32" s="86"/>
      <c r="H32" s="86"/>
      <c r="I32" s="86"/>
      <c r="J32" s="86" t="s">
        <v>306</v>
      </c>
      <c r="K32" s="91" t="s">
        <v>310</v>
      </c>
      <c r="L32" s="86"/>
      <c r="M32" s="86" t="s">
        <v>311</v>
      </c>
      <c r="N32" s="87" t="s">
        <v>302</v>
      </c>
      <c r="O32" s="94"/>
      <c r="P32" s="87"/>
      <c r="Q32" s="87"/>
      <c r="R32" s="87"/>
      <c r="S32" s="87"/>
      <c r="T32" s="87"/>
      <c r="U32" s="87"/>
      <c r="V32" s="87"/>
      <c r="W32" s="87"/>
      <c r="X32" s="177"/>
      <c r="Y32" s="87"/>
      <c r="Z32" s="101"/>
      <c r="AA32" s="88"/>
      <c r="AB32" s="88"/>
      <c r="AC32" s="88"/>
      <c r="AD32" s="89"/>
      <c r="AE32" s="89"/>
      <c r="AF32" s="85"/>
    </row>
    <row r="33" spans="1:32" s="17" customFormat="1" x14ac:dyDescent="0.35">
      <c r="A33" s="85">
        <v>318</v>
      </c>
      <c r="B33" s="90" t="s">
        <v>62</v>
      </c>
      <c r="C33" s="86"/>
      <c r="D33" s="91"/>
      <c r="E33" s="86" t="s">
        <v>301</v>
      </c>
      <c r="F33" s="91" t="s">
        <v>306</v>
      </c>
      <c r="G33" s="86"/>
      <c r="H33" s="86"/>
      <c r="I33" s="86"/>
      <c r="J33" s="86"/>
      <c r="K33" s="91"/>
      <c r="L33" s="86"/>
      <c r="M33" s="86" t="s">
        <v>311</v>
      </c>
      <c r="N33" s="87" t="s">
        <v>302</v>
      </c>
      <c r="O33" s="94"/>
      <c r="P33" s="87"/>
      <c r="Q33" s="87"/>
      <c r="R33" s="87"/>
      <c r="S33" s="87"/>
      <c r="T33" s="87"/>
      <c r="U33" s="87"/>
      <c r="V33" s="87"/>
      <c r="W33" s="87"/>
      <c r="X33" s="177"/>
      <c r="Y33" s="87"/>
      <c r="Z33" s="101"/>
      <c r="AA33" s="88"/>
      <c r="AB33" s="88"/>
      <c r="AC33" s="88"/>
      <c r="AD33" s="89"/>
      <c r="AE33" s="89"/>
      <c r="AF33" s="85"/>
    </row>
    <row r="34" spans="1:32" s="17" customFormat="1" x14ac:dyDescent="0.35">
      <c r="A34" s="85">
        <v>318</v>
      </c>
      <c r="B34" s="90" t="s">
        <v>64</v>
      </c>
      <c r="C34" s="97" t="s">
        <v>307</v>
      </c>
      <c r="D34" s="98"/>
      <c r="E34" s="114"/>
      <c r="F34" s="98"/>
      <c r="G34" s="97"/>
      <c r="H34" s="97"/>
      <c r="I34" s="97"/>
      <c r="J34" s="97" t="s">
        <v>324</v>
      </c>
      <c r="K34" s="98"/>
      <c r="L34" s="97" t="s">
        <v>322</v>
      </c>
      <c r="M34" s="97"/>
      <c r="N34" s="99" t="s">
        <v>307</v>
      </c>
      <c r="O34" s="99" t="s">
        <v>302</v>
      </c>
      <c r="P34" s="99" t="s">
        <v>306</v>
      </c>
      <c r="Q34" s="99" t="s">
        <v>325</v>
      </c>
      <c r="R34" s="99" t="s">
        <v>325</v>
      </c>
      <c r="S34" s="99"/>
      <c r="T34" s="99"/>
      <c r="U34" s="99"/>
      <c r="V34" s="99"/>
      <c r="W34" s="99"/>
      <c r="X34" s="178"/>
      <c r="Y34" s="94"/>
      <c r="Z34" s="101"/>
      <c r="AA34" s="101"/>
      <c r="AB34" s="101"/>
      <c r="AC34" s="101"/>
      <c r="AD34" s="102"/>
      <c r="AE34" s="102"/>
      <c r="AF34" s="85" t="s">
        <v>326</v>
      </c>
    </row>
    <row r="35" spans="1:32" s="17" customFormat="1" x14ac:dyDescent="0.35">
      <c r="A35" s="85">
        <v>318</v>
      </c>
      <c r="B35" s="90" t="s">
        <v>65</v>
      </c>
      <c r="C35" s="97" t="s">
        <v>304</v>
      </c>
      <c r="D35" s="98"/>
      <c r="E35" s="114"/>
      <c r="F35" s="98"/>
      <c r="G35" s="97"/>
      <c r="H35" s="97" t="s">
        <v>306</v>
      </c>
      <c r="I35" s="97" t="s">
        <v>306</v>
      </c>
      <c r="J35" s="97" t="s">
        <v>324</v>
      </c>
      <c r="K35" s="98"/>
      <c r="L35" s="97" t="s">
        <v>322</v>
      </c>
      <c r="M35" s="97"/>
      <c r="N35" s="99" t="s">
        <v>307</v>
      </c>
      <c r="O35" s="99" t="s">
        <v>302</v>
      </c>
      <c r="P35" s="99" t="s">
        <v>306</v>
      </c>
      <c r="Q35" s="99" t="s">
        <v>325</v>
      </c>
      <c r="R35" s="99" t="s">
        <v>325</v>
      </c>
      <c r="S35" s="99"/>
      <c r="T35" s="99"/>
      <c r="U35" s="99"/>
      <c r="V35" s="99"/>
      <c r="W35" s="99" t="s">
        <v>307</v>
      </c>
      <c r="X35" s="178"/>
      <c r="Y35" s="99" t="s">
        <v>307</v>
      </c>
      <c r="Z35" s="101"/>
      <c r="AA35" s="101"/>
      <c r="AB35" s="101"/>
      <c r="AC35" s="101"/>
      <c r="AD35" s="102"/>
      <c r="AE35" s="102"/>
      <c r="AF35" s="85" t="s">
        <v>326</v>
      </c>
    </row>
    <row r="36" spans="1:32" s="17" customFormat="1" x14ac:dyDescent="0.35">
      <c r="A36" s="85">
        <v>318</v>
      </c>
      <c r="B36" s="90" t="s">
        <v>66</v>
      </c>
      <c r="C36" s="97" t="s">
        <v>304</v>
      </c>
      <c r="D36" s="98"/>
      <c r="E36" s="97"/>
      <c r="F36" s="98"/>
      <c r="G36" s="97"/>
      <c r="H36" s="97"/>
      <c r="I36" s="97" t="s">
        <v>306</v>
      </c>
      <c r="J36" s="97" t="s">
        <v>324</v>
      </c>
      <c r="K36" s="98"/>
      <c r="L36" s="97" t="s">
        <v>322</v>
      </c>
      <c r="M36" s="97"/>
      <c r="N36" s="99" t="s">
        <v>304</v>
      </c>
      <c r="O36" s="99" t="s">
        <v>302</v>
      </c>
      <c r="P36" s="99" t="s">
        <v>306</v>
      </c>
      <c r="Q36" s="99" t="s">
        <v>325</v>
      </c>
      <c r="R36" s="99" t="s">
        <v>325</v>
      </c>
      <c r="S36" s="99"/>
      <c r="T36" s="99"/>
      <c r="U36" s="99"/>
      <c r="V36" s="99" t="s">
        <v>307</v>
      </c>
      <c r="W36" s="99"/>
      <c r="X36" s="178"/>
      <c r="Y36" s="99"/>
      <c r="Z36" s="101"/>
      <c r="AA36" s="101"/>
      <c r="AB36" s="101"/>
      <c r="AC36" s="101"/>
      <c r="AD36" s="102"/>
      <c r="AE36" s="102"/>
      <c r="AF36" s="85" t="s">
        <v>326</v>
      </c>
    </row>
    <row r="37" spans="1:32" s="17" customFormat="1" x14ac:dyDescent="0.35">
      <c r="A37" s="85">
        <v>318</v>
      </c>
      <c r="B37" s="90" t="s">
        <v>67</v>
      </c>
      <c r="C37" s="97"/>
      <c r="D37" s="98"/>
      <c r="E37" s="97"/>
      <c r="F37" s="98"/>
      <c r="G37" s="97"/>
      <c r="H37" s="97"/>
      <c r="I37" s="97"/>
      <c r="J37" s="97"/>
      <c r="K37" s="98"/>
      <c r="L37" s="97"/>
      <c r="M37" s="97"/>
      <c r="N37" s="99"/>
      <c r="O37" s="99" t="s">
        <v>306</v>
      </c>
      <c r="P37" s="99" t="s">
        <v>306</v>
      </c>
      <c r="Q37" s="99"/>
      <c r="R37" s="99"/>
      <c r="S37" s="99"/>
      <c r="T37" s="99"/>
      <c r="U37" s="99"/>
      <c r="V37" s="99"/>
      <c r="W37" s="99"/>
      <c r="X37" s="178"/>
      <c r="Y37" s="99"/>
      <c r="Z37" s="101" t="s">
        <v>307</v>
      </c>
      <c r="AA37" s="101" t="s">
        <v>307</v>
      </c>
      <c r="AB37" s="101"/>
      <c r="AC37" s="101"/>
      <c r="AD37" s="102"/>
      <c r="AE37" s="102"/>
      <c r="AF37" s="85" t="s">
        <v>326</v>
      </c>
    </row>
    <row r="38" spans="1:32" s="17" customFormat="1" x14ac:dyDescent="0.35">
      <c r="A38" s="85">
        <v>318</v>
      </c>
      <c r="B38" s="90" t="s">
        <v>68</v>
      </c>
      <c r="C38" s="97" t="s">
        <v>307</v>
      </c>
      <c r="D38" s="98"/>
      <c r="E38" s="97"/>
      <c r="F38" s="98"/>
      <c r="G38" s="97"/>
      <c r="H38" s="97"/>
      <c r="I38" s="97" t="s">
        <v>306</v>
      </c>
      <c r="J38" s="97" t="s">
        <v>324</v>
      </c>
      <c r="K38" s="98"/>
      <c r="L38" s="97"/>
      <c r="M38" s="97"/>
      <c r="N38" s="99" t="s">
        <v>307</v>
      </c>
      <c r="O38" s="99" t="s">
        <v>302</v>
      </c>
      <c r="P38" s="99" t="s">
        <v>306</v>
      </c>
      <c r="Q38" s="99"/>
      <c r="R38" s="99"/>
      <c r="S38" s="99"/>
      <c r="T38" s="99"/>
      <c r="U38" s="99"/>
      <c r="V38" s="99"/>
      <c r="W38" s="99"/>
      <c r="X38" s="178"/>
      <c r="Y38" s="99" t="s">
        <v>307</v>
      </c>
      <c r="Z38" s="101"/>
      <c r="AA38" s="101"/>
      <c r="AB38" s="101"/>
      <c r="AC38" s="101"/>
      <c r="AD38" s="102"/>
      <c r="AE38" s="102"/>
      <c r="AF38" s="85" t="s">
        <v>326</v>
      </c>
    </row>
    <row r="39" spans="1:32" s="17" customFormat="1" x14ac:dyDescent="0.35">
      <c r="A39" s="85">
        <v>318</v>
      </c>
      <c r="B39" s="90" t="s">
        <v>69</v>
      </c>
      <c r="C39" s="97" t="s">
        <v>302</v>
      </c>
      <c r="D39" s="98"/>
      <c r="E39" s="97"/>
      <c r="F39" s="98"/>
      <c r="G39" s="97"/>
      <c r="H39" s="97"/>
      <c r="I39" s="97"/>
      <c r="J39" s="97" t="s">
        <v>302</v>
      </c>
      <c r="K39" s="98"/>
      <c r="L39" s="97"/>
      <c r="M39" s="97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178"/>
      <c r="Y39" s="99"/>
      <c r="Z39" s="101"/>
      <c r="AA39" s="101"/>
      <c r="AB39" s="101"/>
      <c r="AC39" s="101"/>
      <c r="AD39" s="102"/>
      <c r="AE39" s="102"/>
      <c r="AF39" s="85" t="s">
        <v>326</v>
      </c>
    </row>
    <row r="40" spans="1:32" s="17" customFormat="1" x14ac:dyDescent="0.35">
      <c r="A40" s="85">
        <v>318</v>
      </c>
      <c r="B40" s="90" t="s">
        <v>70</v>
      </c>
      <c r="C40" s="86" t="s">
        <v>301</v>
      </c>
      <c r="D40" s="91" t="s">
        <v>306</v>
      </c>
      <c r="E40" s="86" t="s">
        <v>301</v>
      </c>
      <c r="F40" s="91" t="s">
        <v>306</v>
      </c>
      <c r="G40" s="86"/>
      <c r="H40" s="86"/>
      <c r="I40" s="86"/>
      <c r="J40" s="86" t="s">
        <v>306</v>
      </c>
      <c r="K40" s="91" t="s">
        <v>310</v>
      </c>
      <c r="L40" s="86"/>
      <c r="M40" s="86" t="s">
        <v>311</v>
      </c>
      <c r="N40" s="87" t="s">
        <v>302</v>
      </c>
      <c r="O40" s="94"/>
      <c r="P40" s="99"/>
      <c r="Q40" s="99"/>
      <c r="R40" s="99"/>
      <c r="S40" s="99"/>
      <c r="T40" s="99"/>
      <c r="U40" s="99"/>
      <c r="V40" s="99"/>
      <c r="W40" s="99"/>
      <c r="X40" s="178"/>
      <c r="Y40" s="99"/>
      <c r="Z40" s="101"/>
      <c r="AA40" s="88"/>
      <c r="AB40" s="88"/>
      <c r="AC40" s="88"/>
      <c r="AD40" s="89"/>
      <c r="AE40" s="89"/>
      <c r="AF40" s="85"/>
    </row>
    <row r="41" spans="1:32" s="17" customFormat="1" x14ac:dyDescent="0.35">
      <c r="A41" s="85">
        <v>318</v>
      </c>
      <c r="B41" s="106" t="s">
        <v>327</v>
      </c>
      <c r="C41" s="86" t="s">
        <v>307</v>
      </c>
      <c r="D41" s="91" t="s">
        <v>307</v>
      </c>
      <c r="E41" s="86" t="s">
        <v>307</v>
      </c>
      <c r="F41" s="91" t="s">
        <v>307</v>
      </c>
      <c r="G41" s="86" t="s">
        <v>307</v>
      </c>
      <c r="H41" s="86" t="s">
        <v>306</v>
      </c>
      <c r="I41" s="86"/>
      <c r="J41" s="86" t="s">
        <v>307</v>
      </c>
      <c r="K41" s="91" t="s">
        <v>307</v>
      </c>
      <c r="L41" s="86" t="s">
        <v>325</v>
      </c>
      <c r="M41" s="86" t="s">
        <v>310</v>
      </c>
      <c r="N41" s="87" t="s">
        <v>307</v>
      </c>
      <c r="O41" s="87" t="s">
        <v>318</v>
      </c>
      <c r="P41" s="99" t="s">
        <v>322</v>
      </c>
      <c r="Q41" s="99" t="s">
        <v>310</v>
      </c>
      <c r="R41" s="99" t="s">
        <v>310</v>
      </c>
      <c r="S41" s="99" t="s">
        <v>322</v>
      </c>
      <c r="T41" s="99"/>
      <c r="U41" s="99"/>
      <c r="V41" s="99"/>
      <c r="W41" s="99" t="s">
        <v>315</v>
      </c>
      <c r="X41" s="178"/>
      <c r="Y41" s="99" t="s">
        <v>307</v>
      </c>
      <c r="Z41" s="101" t="s">
        <v>315</v>
      </c>
      <c r="AA41" s="88" t="s">
        <v>315</v>
      </c>
      <c r="AB41" s="88"/>
      <c r="AC41" s="88"/>
      <c r="AD41" s="89" t="s">
        <v>318</v>
      </c>
      <c r="AE41" s="89" t="s">
        <v>318</v>
      </c>
      <c r="AF41" s="85" t="s">
        <v>328</v>
      </c>
    </row>
    <row r="42" spans="1:32" s="17" customFormat="1" x14ac:dyDescent="0.35">
      <c r="A42" s="85">
        <v>318</v>
      </c>
      <c r="B42" s="90" t="s">
        <v>72</v>
      </c>
      <c r="C42" s="86" t="s">
        <v>301</v>
      </c>
      <c r="D42" s="91"/>
      <c r="E42" s="86"/>
      <c r="F42" s="91"/>
      <c r="G42" s="86"/>
      <c r="H42" s="86"/>
      <c r="I42" s="86"/>
      <c r="J42" s="86" t="s">
        <v>306</v>
      </c>
      <c r="K42" s="91"/>
      <c r="L42" s="86"/>
      <c r="M42" s="86"/>
      <c r="N42" s="87" t="s">
        <v>302</v>
      </c>
      <c r="O42" s="94"/>
      <c r="P42" s="87"/>
      <c r="Q42" s="87"/>
      <c r="R42" s="87"/>
      <c r="S42" s="87"/>
      <c r="T42" s="87"/>
      <c r="U42" s="87"/>
      <c r="V42" s="87"/>
      <c r="W42" s="87" t="s">
        <v>329</v>
      </c>
      <c r="X42" s="177"/>
      <c r="Y42" s="87"/>
      <c r="Z42" s="101" t="s">
        <v>304</v>
      </c>
      <c r="AA42" s="88" t="s">
        <v>304</v>
      </c>
      <c r="AB42" s="88"/>
      <c r="AC42" s="88"/>
      <c r="AD42" s="89" t="s">
        <v>302</v>
      </c>
      <c r="AE42" s="89" t="s">
        <v>302</v>
      </c>
      <c r="AF42" s="85"/>
    </row>
    <row r="43" spans="1:32" s="17" customFormat="1" x14ac:dyDescent="0.35">
      <c r="A43" s="85">
        <v>319</v>
      </c>
      <c r="B43" s="90" t="s">
        <v>73</v>
      </c>
      <c r="C43" s="86"/>
      <c r="D43" s="91"/>
      <c r="E43" s="86" t="s">
        <v>301</v>
      </c>
      <c r="F43" s="91"/>
      <c r="G43" s="86"/>
      <c r="H43" s="86"/>
      <c r="I43" s="86"/>
      <c r="J43" s="86"/>
      <c r="K43" s="91"/>
      <c r="L43" s="86"/>
      <c r="M43" s="86"/>
      <c r="N43" s="94"/>
      <c r="O43" s="94"/>
      <c r="P43" s="94"/>
      <c r="Q43" s="87"/>
      <c r="R43" s="87"/>
      <c r="S43" s="87"/>
      <c r="T43" s="87"/>
      <c r="U43" s="87"/>
      <c r="V43" s="87"/>
      <c r="W43" s="87"/>
      <c r="X43" s="177"/>
      <c r="Y43" s="87"/>
      <c r="Z43" s="101"/>
      <c r="AA43" s="88"/>
      <c r="AB43" s="88"/>
      <c r="AC43" s="88"/>
      <c r="AD43" s="89"/>
      <c r="AE43" s="89"/>
      <c r="AF43" s="85"/>
    </row>
    <row r="44" spans="1:32" s="96" customFormat="1" x14ac:dyDescent="0.35">
      <c r="A44" s="104">
        <v>319</v>
      </c>
      <c r="B44" s="106" t="s">
        <v>74</v>
      </c>
      <c r="C44" s="86" t="s">
        <v>301</v>
      </c>
      <c r="D44" s="92"/>
      <c r="E44" s="86" t="s">
        <v>301</v>
      </c>
      <c r="F44" s="91" t="s">
        <v>306</v>
      </c>
      <c r="G44" s="86"/>
      <c r="H44" s="86"/>
      <c r="I44" s="86"/>
      <c r="J44" s="86" t="s">
        <v>306</v>
      </c>
      <c r="K44" s="91" t="s">
        <v>310</v>
      </c>
      <c r="L44" s="86"/>
      <c r="M44" s="86" t="s">
        <v>311</v>
      </c>
      <c r="N44" s="87" t="s">
        <v>302</v>
      </c>
      <c r="O44" s="94"/>
      <c r="P44" s="87"/>
      <c r="Q44" s="87"/>
      <c r="R44" s="87" t="s">
        <v>325</v>
      </c>
      <c r="S44" s="87"/>
      <c r="T44" s="87"/>
      <c r="U44" s="87"/>
      <c r="V44" s="87"/>
      <c r="W44" s="87"/>
      <c r="X44" s="177"/>
      <c r="Y44" s="87"/>
      <c r="Z44" s="88"/>
      <c r="AA44" s="88"/>
      <c r="AB44" s="88"/>
      <c r="AC44" s="88"/>
      <c r="AD44" s="89"/>
      <c r="AE44" s="89"/>
      <c r="AF44" s="85"/>
    </row>
    <row r="45" spans="1:32" s="96" customFormat="1" x14ac:dyDescent="0.35">
      <c r="A45" s="85">
        <v>319</v>
      </c>
      <c r="B45" s="90" t="s">
        <v>75</v>
      </c>
      <c r="C45" s="86" t="s">
        <v>301</v>
      </c>
      <c r="D45" s="91" t="s">
        <v>306</v>
      </c>
      <c r="E45" s="86" t="s">
        <v>301</v>
      </c>
      <c r="F45" s="91" t="s">
        <v>306</v>
      </c>
      <c r="G45" s="86"/>
      <c r="H45" s="86"/>
      <c r="I45" s="86"/>
      <c r="J45" s="86" t="s">
        <v>306</v>
      </c>
      <c r="K45" s="93"/>
      <c r="L45" s="86"/>
      <c r="M45" s="86" t="s">
        <v>311</v>
      </c>
      <c r="N45" s="87" t="s">
        <v>302</v>
      </c>
      <c r="O45" s="94"/>
      <c r="P45" s="87"/>
      <c r="Q45" s="87"/>
      <c r="R45" s="87"/>
      <c r="S45" s="87"/>
      <c r="T45" s="87"/>
      <c r="U45" s="87"/>
      <c r="V45" s="87"/>
      <c r="W45" s="87"/>
      <c r="X45" s="177"/>
      <c r="Y45" s="87"/>
      <c r="Z45" s="88"/>
      <c r="AA45" s="88"/>
      <c r="AB45" s="88"/>
      <c r="AC45" s="88"/>
      <c r="AD45" s="89"/>
      <c r="AE45" s="89"/>
      <c r="AF45" s="85"/>
    </row>
    <row r="46" spans="1:32" s="96" customFormat="1" x14ac:dyDescent="0.35">
      <c r="A46" s="85">
        <v>319</v>
      </c>
      <c r="B46" s="90" t="s">
        <v>330</v>
      </c>
      <c r="C46" s="86" t="s">
        <v>301</v>
      </c>
      <c r="D46" s="91" t="s">
        <v>306</v>
      </c>
      <c r="E46" s="86" t="s">
        <v>301</v>
      </c>
      <c r="F46" s="91" t="s">
        <v>306</v>
      </c>
      <c r="G46" s="86"/>
      <c r="H46" s="86"/>
      <c r="I46" s="86"/>
      <c r="J46" s="86" t="s">
        <v>306</v>
      </c>
      <c r="K46" s="93"/>
      <c r="L46" s="86"/>
      <c r="M46" s="86" t="s">
        <v>311</v>
      </c>
      <c r="N46" s="87" t="s">
        <v>302</v>
      </c>
      <c r="O46" s="94"/>
      <c r="P46" s="87"/>
      <c r="Q46" s="87"/>
      <c r="R46" s="87"/>
      <c r="S46" s="87"/>
      <c r="T46" s="87"/>
      <c r="U46" s="87"/>
      <c r="V46" s="87"/>
      <c r="W46" s="87"/>
      <c r="X46" s="177"/>
      <c r="Y46" s="87" t="s">
        <v>302</v>
      </c>
      <c r="Z46" s="88"/>
      <c r="AA46" s="88"/>
      <c r="AB46" s="88"/>
      <c r="AC46" s="88"/>
      <c r="AD46" s="89"/>
      <c r="AE46" s="89"/>
      <c r="AF46" s="85"/>
    </row>
    <row r="47" spans="1:32" s="17" customFormat="1" x14ac:dyDescent="0.35">
      <c r="A47" s="85">
        <v>319</v>
      </c>
      <c r="B47" s="90" t="s">
        <v>77</v>
      </c>
      <c r="C47" s="86" t="s">
        <v>301</v>
      </c>
      <c r="D47" s="91"/>
      <c r="E47" s="86"/>
      <c r="F47" s="91"/>
      <c r="G47" s="86"/>
      <c r="H47" s="86"/>
      <c r="I47" s="86"/>
      <c r="J47" s="86" t="s">
        <v>306</v>
      </c>
      <c r="K47" s="91"/>
      <c r="L47" s="86"/>
      <c r="M47" s="86"/>
      <c r="N47" s="94"/>
      <c r="O47" s="94"/>
      <c r="P47" s="87"/>
      <c r="Q47" s="87"/>
      <c r="R47" s="87"/>
      <c r="S47" s="87"/>
      <c r="T47" s="87"/>
      <c r="U47" s="87"/>
      <c r="V47" s="87"/>
      <c r="W47" s="87"/>
      <c r="X47" s="177"/>
      <c r="Y47" s="87"/>
      <c r="Z47" s="88"/>
      <c r="AA47" s="88"/>
      <c r="AB47" s="88"/>
      <c r="AC47" s="88"/>
      <c r="AD47" s="89"/>
      <c r="AE47" s="89"/>
      <c r="AF47" s="85"/>
    </row>
    <row r="48" spans="1:32" s="17" customFormat="1" x14ac:dyDescent="0.35">
      <c r="A48" s="85">
        <v>319</v>
      </c>
      <c r="B48" s="90" t="s">
        <v>78</v>
      </c>
      <c r="C48" s="86" t="s">
        <v>301</v>
      </c>
      <c r="D48" s="91" t="s">
        <v>306</v>
      </c>
      <c r="E48" s="86" t="s">
        <v>301</v>
      </c>
      <c r="F48" s="91" t="s">
        <v>306</v>
      </c>
      <c r="G48" s="86"/>
      <c r="H48" s="86"/>
      <c r="I48" s="86"/>
      <c r="J48" s="86" t="s">
        <v>306</v>
      </c>
      <c r="K48" s="93"/>
      <c r="L48" s="86"/>
      <c r="M48" s="86" t="s">
        <v>311</v>
      </c>
      <c r="N48" s="87" t="s">
        <v>302</v>
      </c>
      <c r="O48" s="94"/>
      <c r="P48" s="87"/>
      <c r="Q48" s="87"/>
      <c r="R48" s="87"/>
      <c r="S48" s="87"/>
      <c r="T48" s="87"/>
      <c r="U48" s="87"/>
      <c r="V48" s="87"/>
      <c r="W48" s="87"/>
      <c r="X48" s="177"/>
      <c r="Y48" s="87"/>
      <c r="Z48" s="88" t="s">
        <v>304</v>
      </c>
      <c r="AA48" s="88" t="s">
        <v>304</v>
      </c>
      <c r="AB48" s="88"/>
      <c r="AC48" s="88"/>
      <c r="AD48" s="89"/>
      <c r="AE48" s="89"/>
      <c r="AF48" s="85"/>
    </row>
    <row r="49" spans="1:32" s="17" customFormat="1" x14ac:dyDescent="0.35">
      <c r="A49" s="85">
        <v>319</v>
      </c>
      <c r="B49" s="90" t="s">
        <v>72</v>
      </c>
      <c r="C49" s="86" t="s">
        <v>301</v>
      </c>
      <c r="D49" s="91"/>
      <c r="E49" s="86"/>
      <c r="F49" s="91"/>
      <c r="G49" s="86"/>
      <c r="H49" s="86"/>
      <c r="I49" s="86"/>
      <c r="J49" s="86" t="s">
        <v>306</v>
      </c>
      <c r="K49" s="91"/>
      <c r="L49" s="86"/>
      <c r="M49" s="86"/>
      <c r="N49" s="87" t="s">
        <v>302</v>
      </c>
      <c r="O49" s="94"/>
      <c r="P49" s="87"/>
      <c r="Q49" s="87"/>
      <c r="R49" s="87"/>
      <c r="S49" s="87"/>
      <c r="T49" s="87"/>
      <c r="U49" s="87"/>
      <c r="V49" s="87"/>
      <c r="W49" s="87" t="s">
        <v>329</v>
      </c>
      <c r="X49" s="177"/>
      <c r="Y49" s="87" t="s">
        <v>302</v>
      </c>
      <c r="Z49" s="88" t="s">
        <v>304</v>
      </c>
      <c r="AA49" s="88" t="s">
        <v>304</v>
      </c>
      <c r="AB49" s="88"/>
      <c r="AC49" s="88"/>
      <c r="AD49" s="89"/>
      <c r="AE49" s="89"/>
      <c r="AF49" s="95"/>
    </row>
    <row r="50" spans="1:32" s="17" customFormat="1" x14ac:dyDescent="0.35">
      <c r="A50" s="85">
        <v>320</v>
      </c>
      <c r="B50" s="90" t="s">
        <v>79</v>
      </c>
      <c r="C50" s="86" t="s">
        <v>301</v>
      </c>
      <c r="D50" s="91" t="s">
        <v>306</v>
      </c>
      <c r="E50" s="86"/>
      <c r="F50" s="91" t="s">
        <v>306</v>
      </c>
      <c r="G50" s="86"/>
      <c r="H50" s="86"/>
      <c r="I50" s="86"/>
      <c r="J50" s="86" t="s">
        <v>306</v>
      </c>
      <c r="K50" s="91" t="s">
        <v>310</v>
      </c>
      <c r="L50" s="86"/>
      <c r="M50" s="86"/>
      <c r="N50" s="87" t="s">
        <v>302</v>
      </c>
      <c r="O50" s="94"/>
      <c r="P50" s="87"/>
      <c r="Q50" s="87"/>
      <c r="R50" s="87"/>
      <c r="S50" s="87"/>
      <c r="T50" s="87"/>
      <c r="U50" s="87"/>
      <c r="V50" s="87"/>
      <c r="W50" s="87" t="s">
        <v>329</v>
      </c>
      <c r="X50" s="177"/>
      <c r="Y50" s="87"/>
      <c r="Z50" s="88" t="s">
        <v>304</v>
      </c>
      <c r="AA50" s="88" t="s">
        <v>304</v>
      </c>
      <c r="AB50" s="88"/>
      <c r="AC50" s="88"/>
      <c r="AD50" s="89" t="s">
        <v>302</v>
      </c>
      <c r="AE50" s="89" t="s">
        <v>302</v>
      </c>
      <c r="AF50" s="95"/>
    </row>
    <row r="51" spans="1:32" s="36" customFormat="1" x14ac:dyDescent="0.35">
      <c r="A51" s="206" t="s">
        <v>527</v>
      </c>
      <c r="B51" s="207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9"/>
      <c r="Y51" s="208"/>
      <c r="Z51" s="208"/>
      <c r="AA51" s="208"/>
      <c r="AB51" s="208"/>
      <c r="AC51" s="208"/>
      <c r="AD51" s="208"/>
      <c r="AE51" s="208"/>
      <c r="AF51" s="210"/>
    </row>
    <row r="52" spans="1:32" s="17" customFormat="1" ht="16.55" customHeight="1" x14ac:dyDescent="0.35">
      <c r="A52" s="85">
        <v>318</v>
      </c>
      <c r="B52" s="90" t="s">
        <v>81</v>
      </c>
      <c r="C52" s="86" t="s">
        <v>319</v>
      </c>
      <c r="D52" s="86" t="s">
        <v>319</v>
      </c>
      <c r="E52" s="86" t="s">
        <v>319</v>
      </c>
      <c r="F52" s="86"/>
      <c r="G52" s="86" t="s">
        <v>319</v>
      </c>
      <c r="H52" s="86"/>
      <c r="I52" s="86"/>
      <c r="J52" s="86" t="s">
        <v>318</v>
      </c>
      <c r="K52" s="86" t="s">
        <v>318</v>
      </c>
      <c r="L52" s="86"/>
      <c r="M52" s="86" t="s">
        <v>325</v>
      </c>
      <c r="N52" s="87" t="s">
        <v>319</v>
      </c>
      <c r="O52" s="87" t="s">
        <v>319</v>
      </c>
      <c r="P52" s="87" t="s">
        <v>301</v>
      </c>
      <c r="Q52" s="87" t="s">
        <v>306</v>
      </c>
      <c r="R52" s="87" t="s">
        <v>306</v>
      </c>
      <c r="S52" s="87"/>
      <c r="T52" s="87"/>
      <c r="U52" s="87"/>
      <c r="V52" s="87"/>
      <c r="W52" s="87"/>
      <c r="X52" s="87"/>
      <c r="Y52" s="87" t="s">
        <v>307</v>
      </c>
      <c r="Z52" s="88"/>
      <c r="AA52" s="88"/>
      <c r="AB52" s="88"/>
      <c r="AC52" s="88"/>
      <c r="AD52" s="89" t="s">
        <v>302</v>
      </c>
      <c r="AE52" s="89" t="s">
        <v>302</v>
      </c>
      <c r="AF52" s="85" t="s">
        <v>326</v>
      </c>
    </row>
    <row r="53" spans="1:32" s="36" customFormat="1" ht="12.5" x14ac:dyDescent="0.35">
      <c r="A53" s="206" t="s">
        <v>82</v>
      </c>
      <c r="B53" s="207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9"/>
      <c r="Y53" s="208"/>
      <c r="Z53" s="208"/>
      <c r="AA53" s="208"/>
      <c r="AB53" s="208"/>
      <c r="AC53" s="208"/>
      <c r="AD53" s="208"/>
      <c r="AE53" s="208"/>
      <c r="AF53" s="210"/>
    </row>
    <row r="54" spans="1:32" s="17" customFormat="1" x14ac:dyDescent="0.35">
      <c r="A54" s="85">
        <v>173</v>
      </c>
      <c r="B54" s="103" t="s">
        <v>83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177"/>
      <c r="Y54" s="87"/>
      <c r="Z54" s="88"/>
      <c r="AA54" s="88"/>
      <c r="AB54" s="88"/>
      <c r="AC54" s="88"/>
      <c r="AD54" s="89" t="s">
        <v>302</v>
      </c>
      <c r="AE54" s="89" t="s">
        <v>302</v>
      </c>
      <c r="AF54" s="85"/>
    </row>
    <row r="55" spans="1:32" s="36" customFormat="1" ht="12.5" x14ac:dyDescent="0.35">
      <c r="A55" s="206" t="s">
        <v>84</v>
      </c>
      <c r="B55" s="207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9"/>
      <c r="Y55" s="208"/>
      <c r="Z55" s="208"/>
      <c r="AA55" s="208"/>
      <c r="AB55" s="208"/>
      <c r="AC55" s="208"/>
      <c r="AD55" s="208"/>
      <c r="AE55" s="208"/>
      <c r="AF55" s="210"/>
    </row>
    <row r="56" spans="1:32" s="96" customFormat="1" x14ac:dyDescent="0.35">
      <c r="A56" s="104">
        <v>319</v>
      </c>
      <c r="B56" s="106" t="s">
        <v>332</v>
      </c>
      <c r="C56" s="86" t="s">
        <v>318</v>
      </c>
      <c r="D56" s="86" t="s">
        <v>318</v>
      </c>
      <c r="E56" s="115" t="s">
        <v>319</v>
      </c>
      <c r="F56" s="115" t="s">
        <v>319</v>
      </c>
      <c r="G56" s="86"/>
      <c r="H56" s="86" t="s">
        <v>306</v>
      </c>
      <c r="I56" s="86"/>
      <c r="J56" s="86" t="s">
        <v>302</v>
      </c>
      <c r="K56" s="86" t="s">
        <v>302</v>
      </c>
      <c r="L56" s="86"/>
      <c r="M56" s="86" t="s">
        <v>322</v>
      </c>
      <c r="N56" s="87" t="s">
        <v>333</v>
      </c>
      <c r="O56" s="87" t="s">
        <v>318</v>
      </c>
      <c r="P56" s="87"/>
      <c r="Q56" s="87" t="s">
        <v>301</v>
      </c>
      <c r="R56" s="87" t="s">
        <v>301</v>
      </c>
      <c r="S56" s="87"/>
      <c r="T56" s="87"/>
      <c r="U56" s="87"/>
      <c r="V56" s="87"/>
      <c r="W56" s="87"/>
      <c r="X56" s="177"/>
      <c r="Y56" s="87"/>
      <c r="Z56" s="88"/>
      <c r="AA56" s="88"/>
      <c r="AB56" s="88"/>
      <c r="AC56" s="88"/>
      <c r="AD56" s="89"/>
      <c r="AE56" s="89"/>
      <c r="AF56" s="85" t="s">
        <v>334</v>
      </c>
    </row>
    <row r="57" spans="1:32" s="17" customFormat="1" x14ac:dyDescent="0.35">
      <c r="A57" s="104">
        <v>319</v>
      </c>
      <c r="B57" s="106" t="s">
        <v>86</v>
      </c>
      <c r="C57" s="86"/>
      <c r="D57" s="86"/>
      <c r="E57" s="115" t="s">
        <v>333</v>
      </c>
      <c r="F57" s="115"/>
      <c r="G57" s="86"/>
      <c r="H57" s="86"/>
      <c r="I57" s="86"/>
      <c r="J57" s="86"/>
      <c r="K57" s="86"/>
      <c r="L57" s="86"/>
      <c r="M57" s="86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177"/>
      <c r="Y57" s="87"/>
      <c r="Z57" s="88"/>
      <c r="AA57" s="88"/>
      <c r="AB57" s="88"/>
      <c r="AC57" s="88"/>
      <c r="AD57" s="89"/>
      <c r="AE57" s="89"/>
      <c r="AF57" s="85" t="s">
        <v>334</v>
      </c>
    </row>
    <row r="58" spans="1:32" s="36" customFormat="1" ht="12.5" x14ac:dyDescent="0.35">
      <c r="A58" s="211" t="s">
        <v>95</v>
      </c>
      <c r="B58" s="270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3"/>
      <c r="Y58" s="212"/>
      <c r="Z58" s="212"/>
      <c r="AA58" s="212"/>
      <c r="AB58" s="212"/>
      <c r="AC58" s="212"/>
      <c r="AD58" s="212"/>
      <c r="AE58" s="212"/>
      <c r="AF58" s="21"/>
    </row>
    <row r="59" spans="1:32" s="36" customFormat="1" ht="12.5" x14ac:dyDescent="0.35">
      <c r="A59" s="206" t="s">
        <v>335</v>
      </c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9"/>
      <c r="Y59" s="208"/>
      <c r="Z59" s="208"/>
      <c r="AA59" s="208"/>
      <c r="AB59" s="208"/>
      <c r="AC59" s="208"/>
      <c r="AD59" s="208"/>
      <c r="AE59" s="208"/>
      <c r="AF59" s="210"/>
    </row>
    <row r="60" spans="1:32" s="96" customFormat="1" ht="13.95" customHeight="1" x14ac:dyDescent="0.35">
      <c r="A60" s="104">
        <v>2569</v>
      </c>
      <c r="B60" s="90" t="s">
        <v>97</v>
      </c>
      <c r="C60" s="86" t="s">
        <v>307</v>
      </c>
      <c r="D60" s="86"/>
      <c r="E60" s="86" t="s">
        <v>307</v>
      </c>
      <c r="F60" s="86"/>
      <c r="G60" s="86" t="s">
        <v>307</v>
      </c>
      <c r="H60" s="86" t="s">
        <v>306</v>
      </c>
      <c r="I60" s="86"/>
      <c r="J60" s="86" t="s">
        <v>307</v>
      </c>
      <c r="K60" s="86"/>
      <c r="L60" s="86" t="s">
        <v>325</v>
      </c>
      <c r="M60" s="86" t="s">
        <v>310</v>
      </c>
      <c r="N60" s="87" t="s">
        <v>307</v>
      </c>
      <c r="O60" s="87" t="s">
        <v>318</v>
      </c>
      <c r="P60" s="87" t="s">
        <v>322</v>
      </c>
      <c r="Q60" s="87" t="s">
        <v>310</v>
      </c>
      <c r="R60" s="87" t="s">
        <v>310</v>
      </c>
      <c r="S60" s="87" t="s">
        <v>322</v>
      </c>
      <c r="T60" s="87"/>
      <c r="U60" s="87"/>
      <c r="V60" s="87"/>
      <c r="W60" s="87" t="s">
        <v>315</v>
      </c>
      <c r="X60" s="177"/>
      <c r="Y60" s="87" t="s">
        <v>307</v>
      </c>
      <c r="Z60" s="88" t="s">
        <v>315</v>
      </c>
      <c r="AA60" s="88" t="s">
        <v>315</v>
      </c>
      <c r="AB60" s="88"/>
      <c r="AC60" s="88"/>
      <c r="AD60" s="89" t="s">
        <v>318</v>
      </c>
      <c r="AE60" s="89" t="s">
        <v>318</v>
      </c>
      <c r="AF60" s="85" t="s">
        <v>323</v>
      </c>
    </row>
    <row r="61" spans="1:32" s="96" customFormat="1" x14ac:dyDescent="0.35">
      <c r="A61" s="104">
        <v>2569</v>
      </c>
      <c r="B61" s="106" t="s">
        <v>98</v>
      </c>
      <c r="C61" s="86" t="s">
        <v>301</v>
      </c>
      <c r="D61" s="86"/>
      <c r="E61" s="86"/>
      <c r="F61" s="86"/>
      <c r="G61" s="86"/>
      <c r="H61" s="92"/>
      <c r="I61" s="86"/>
      <c r="J61" s="86" t="s">
        <v>306</v>
      </c>
      <c r="K61" s="86"/>
      <c r="L61" s="86"/>
      <c r="M61" s="86"/>
      <c r="N61" s="87" t="s">
        <v>302</v>
      </c>
      <c r="O61" s="87" t="s">
        <v>318</v>
      </c>
      <c r="P61" s="87"/>
      <c r="Q61" s="94"/>
      <c r="R61" s="94"/>
      <c r="S61" s="87"/>
      <c r="T61" s="87"/>
      <c r="U61" s="87"/>
      <c r="V61" s="87"/>
      <c r="W61" s="87"/>
      <c r="X61" s="177"/>
      <c r="Y61" s="87" t="s">
        <v>307</v>
      </c>
      <c r="Z61" s="88" t="s">
        <v>307</v>
      </c>
      <c r="AA61" s="88" t="s">
        <v>307</v>
      </c>
      <c r="AB61" s="88"/>
      <c r="AC61" s="88"/>
      <c r="AD61" s="89"/>
      <c r="AE61" s="89"/>
      <c r="AF61" s="85"/>
    </row>
    <row r="62" spans="1:32" s="96" customFormat="1" x14ac:dyDescent="0.35">
      <c r="A62" s="104">
        <v>2552</v>
      </c>
      <c r="B62" s="106" t="s">
        <v>99</v>
      </c>
      <c r="C62" s="86" t="s">
        <v>318</v>
      </c>
      <c r="D62" s="86"/>
      <c r="E62" s="86"/>
      <c r="F62" s="86"/>
      <c r="G62" s="86"/>
      <c r="H62" s="86" t="s">
        <v>306</v>
      </c>
      <c r="I62" s="86"/>
      <c r="J62" s="86"/>
      <c r="K62" s="86"/>
      <c r="L62" s="86"/>
      <c r="M62" s="86"/>
      <c r="N62" s="87" t="s">
        <v>307</v>
      </c>
      <c r="O62" s="87" t="s">
        <v>318</v>
      </c>
      <c r="P62" s="87"/>
      <c r="Q62" s="87"/>
      <c r="R62" s="87"/>
      <c r="S62" s="87"/>
      <c r="T62" s="87"/>
      <c r="U62" s="87"/>
      <c r="V62" s="87"/>
      <c r="W62" s="87"/>
      <c r="X62" s="177"/>
      <c r="Y62" s="87"/>
      <c r="Z62" s="88" t="s">
        <v>307</v>
      </c>
      <c r="AA62" s="88" t="s">
        <v>307</v>
      </c>
      <c r="AB62" s="88"/>
      <c r="AC62" s="88"/>
      <c r="AD62" s="89"/>
      <c r="AE62" s="89"/>
      <c r="AF62" s="85"/>
    </row>
    <row r="63" spans="1:32" s="96" customFormat="1" x14ac:dyDescent="0.35">
      <c r="A63" s="10" t="s">
        <v>100</v>
      </c>
      <c r="B63" s="106" t="s">
        <v>101</v>
      </c>
      <c r="C63" s="86" t="s">
        <v>319</v>
      </c>
      <c r="D63" s="86"/>
      <c r="E63" s="86"/>
      <c r="F63" s="86"/>
      <c r="G63" s="86"/>
      <c r="H63" s="86" t="s">
        <v>306</v>
      </c>
      <c r="I63" s="86"/>
      <c r="J63" s="86"/>
      <c r="K63" s="86"/>
      <c r="L63" s="86"/>
      <c r="M63" s="86"/>
      <c r="N63" s="87" t="s">
        <v>319</v>
      </c>
      <c r="O63" s="87" t="s">
        <v>302</v>
      </c>
      <c r="P63" s="87"/>
      <c r="Q63" s="87"/>
      <c r="R63" s="87"/>
      <c r="S63" s="87"/>
      <c r="T63" s="87"/>
      <c r="U63" s="87"/>
      <c r="V63" s="87"/>
      <c r="W63" s="87"/>
      <c r="X63" s="177"/>
      <c r="Y63" s="87"/>
      <c r="Z63" s="88" t="s">
        <v>307</v>
      </c>
      <c r="AA63" s="88" t="s">
        <v>307</v>
      </c>
      <c r="AB63" s="88"/>
      <c r="AC63" s="88"/>
      <c r="AD63" s="89"/>
      <c r="AE63" s="89"/>
      <c r="AF63" s="85" t="s">
        <v>334</v>
      </c>
    </row>
    <row r="64" spans="1:32" s="36" customFormat="1" ht="12.5" x14ac:dyDescent="0.35">
      <c r="A64" s="206" t="s">
        <v>84</v>
      </c>
      <c r="B64" s="207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9"/>
      <c r="Y64" s="208"/>
      <c r="Z64" s="208"/>
      <c r="AA64" s="208"/>
      <c r="AB64" s="208"/>
      <c r="AC64" s="208"/>
      <c r="AD64" s="208"/>
      <c r="AE64" s="208"/>
      <c r="AF64" s="210"/>
    </row>
    <row r="65" spans="1:32" s="96" customFormat="1" x14ac:dyDescent="0.35">
      <c r="A65" s="104">
        <v>2569</v>
      </c>
      <c r="B65" s="106" t="s">
        <v>332</v>
      </c>
      <c r="C65" s="86" t="s">
        <v>318</v>
      </c>
      <c r="D65" s="86"/>
      <c r="E65" s="115" t="s">
        <v>319</v>
      </c>
      <c r="F65" s="115"/>
      <c r="G65" s="86"/>
      <c r="H65" s="86" t="s">
        <v>306</v>
      </c>
      <c r="I65" s="86"/>
      <c r="J65" s="86" t="s">
        <v>302</v>
      </c>
      <c r="K65" s="86"/>
      <c r="L65" s="86"/>
      <c r="M65" s="86" t="s">
        <v>322</v>
      </c>
      <c r="N65" s="87" t="s">
        <v>333</v>
      </c>
      <c r="O65" s="87" t="s">
        <v>318</v>
      </c>
      <c r="P65" s="87"/>
      <c r="Q65" s="87" t="s">
        <v>301</v>
      </c>
      <c r="R65" s="87" t="s">
        <v>301</v>
      </c>
      <c r="S65" s="87"/>
      <c r="T65" s="87"/>
      <c r="U65" s="87"/>
      <c r="V65" s="87"/>
      <c r="W65" s="87"/>
      <c r="X65" s="177"/>
      <c r="Y65" s="87"/>
      <c r="Z65" s="88" t="s">
        <v>307</v>
      </c>
      <c r="AA65" s="88" t="s">
        <v>307</v>
      </c>
      <c r="AB65" s="88"/>
      <c r="AC65" s="88"/>
      <c r="AD65" s="89"/>
      <c r="AE65" s="89"/>
      <c r="AF65" s="85"/>
    </row>
    <row r="66" spans="1:32" s="96" customFormat="1" x14ac:dyDescent="0.35">
      <c r="A66" s="104" t="s">
        <v>103</v>
      </c>
      <c r="B66" s="106" t="s">
        <v>104</v>
      </c>
      <c r="C66" s="86" t="s">
        <v>318</v>
      </c>
      <c r="D66" s="86"/>
      <c r="E66" s="115"/>
      <c r="F66" s="115"/>
      <c r="G66" s="86"/>
      <c r="H66" s="86" t="s">
        <v>306</v>
      </c>
      <c r="I66" s="86"/>
      <c r="J66" s="86" t="s">
        <v>302</v>
      </c>
      <c r="K66" s="86"/>
      <c r="L66" s="86"/>
      <c r="M66" s="86"/>
      <c r="N66" s="87" t="s">
        <v>333</v>
      </c>
      <c r="O66" s="87" t="s">
        <v>318</v>
      </c>
      <c r="P66" s="87"/>
      <c r="Q66" s="87" t="s">
        <v>301</v>
      </c>
      <c r="R66" s="87" t="s">
        <v>301</v>
      </c>
      <c r="S66" s="87" t="s">
        <v>322</v>
      </c>
      <c r="T66" s="87"/>
      <c r="U66" s="87"/>
      <c r="V66" s="87"/>
      <c r="W66" s="87"/>
      <c r="X66" s="177"/>
      <c r="Y66" s="87" t="s">
        <v>307</v>
      </c>
      <c r="Z66" s="88" t="s">
        <v>307</v>
      </c>
      <c r="AA66" s="88" t="s">
        <v>307</v>
      </c>
      <c r="AB66" s="88"/>
      <c r="AC66" s="88"/>
      <c r="AD66" s="89" t="s">
        <v>318</v>
      </c>
      <c r="AE66" s="89" t="s">
        <v>318</v>
      </c>
      <c r="AF66" s="85"/>
    </row>
    <row r="67" spans="1:32" s="36" customFormat="1" x14ac:dyDescent="0.35">
      <c r="A67" s="206" t="s">
        <v>528</v>
      </c>
      <c r="B67" s="207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10"/>
    </row>
    <row r="68" spans="1:32" s="96" customFormat="1" x14ac:dyDescent="0.35">
      <c r="A68" s="237">
        <v>318</v>
      </c>
      <c r="B68" s="232" t="s">
        <v>63</v>
      </c>
      <c r="C68" s="226" t="s">
        <v>307</v>
      </c>
      <c r="D68" s="226" t="s">
        <v>307</v>
      </c>
      <c r="E68" s="227"/>
      <c r="F68" s="227" t="s">
        <v>306</v>
      </c>
      <c r="G68" s="226"/>
      <c r="H68" s="226"/>
      <c r="I68" s="226"/>
      <c r="J68" s="226" t="s">
        <v>306</v>
      </c>
      <c r="K68" s="226" t="s">
        <v>310</v>
      </c>
      <c r="L68" s="226"/>
      <c r="M68" s="226" t="s">
        <v>311</v>
      </c>
      <c r="N68" s="228" t="s">
        <v>302</v>
      </c>
      <c r="O68" s="228"/>
      <c r="P68" s="228"/>
      <c r="Q68" s="228"/>
      <c r="R68" s="228"/>
      <c r="S68" s="228"/>
      <c r="T68" s="228"/>
      <c r="U68" s="228"/>
      <c r="V68" s="228"/>
      <c r="W68" s="228"/>
      <c r="X68" s="229"/>
      <c r="Y68" s="228" t="s">
        <v>307</v>
      </c>
      <c r="Z68" s="230" t="s">
        <v>307</v>
      </c>
      <c r="AA68" s="230" t="s">
        <v>307</v>
      </c>
      <c r="AB68" s="230"/>
      <c r="AC68" s="230"/>
      <c r="AD68" s="231" t="s">
        <v>302</v>
      </c>
      <c r="AE68" s="231" t="s">
        <v>302</v>
      </c>
      <c r="AF68" s="225"/>
    </row>
    <row r="69" spans="1:32" s="36" customFormat="1" ht="12.5" x14ac:dyDescent="0.35">
      <c r="A69" s="211" t="s">
        <v>107</v>
      </c>
      <c r="B69" s="270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4"/>
      <c r="Y69" s="233"/>
      <c r="Z69" s="233"/>
      <c r="AA69" s="233"/>
      <c r="AB69" s="233"/>
      <c r="AC69" s="233"/>
      <c r="AD69" s="233"/>
      <c r="AE69" s="233"/>
      <c r="AF69" s="21"/>
    </row>
    <row r="70" spans="1:32" s="36" customFormat="1" ht="12.5" x14ac:dyDescent="0.35">
      <c r="A70" s="206" t="s">
        <v>335</v>
      </c>
      <c r="B70" s="207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9"/>
      <c r="Y70" s="208"/>
      <c r="Z70" s="208"/>
      <c r="AA70" s="208"/>
      <c r="AB70" s="208"/>
      <c r="AC70" s="208"/>
      <c r="AD70" s="208"/>
      <c r="AE70" s="208"/>
      <c r="AF70" s="210"/>
    </row>
    <row r="71" spans="1:32" s="17" customFormat="1" x14ac:dyDescent="0.35">
      <c r="A71" s="85">
        <v>5</v>
      </c>
      <c r="B71" s="90" t="s">
        <v>336</v>
      </c>
      <c r="C71" s="86" t="s">
        <v>301</v>
      </c>
      <c r="D71" s="91"/>
      <c r="E71" s="86"/>
      <c r="F71" s="91"/>
      <c r="G71" s="86"/>
      <c r="H71" s="86"/>
      <c r="I71" s="86"/>
      <c r="J71" s="92"/>
      <c r="K71" s="93"/>
      <c r="L71" s="86"/>
      <c r="M71" s="86"/>
      <c r="N71" s="87"/>
      <c r="O71" s="94"/>
      <c r="P71" s="87"/>
      <c r="Q71" s="87"/>
      <c r="R71" s="87"/>
      <c r="S71" s="87"/>
      <c r="T71" s="87"/>
      <c r="U71" s="87"/>
      <c r="V71" s="87"/>
      <c r="W71" s="87"/>
      <c r="X71" s="177"/>
      <c r="Y71" s="87"/>
      <c r="Z71" s="88"/>
      <c r="AA71" s="88"/>
      <c r="AB71" s="88"/>
      <c r="AC71" s="88"/>
      <c r="AD71" s="89" t="s">
        <v>302</v>
      </c>
      <c r="AE71" s="89" t="s">
        <v>302</v>
      </c>
      <c r="AF71" s="85"/>
    </row>
    <row r="72" spans="1:32" s="17" customFormat="1" x14ac:dyDescent="0.35">
      <c r="A72" s="85">
        <v>6</v>
      </c>
      <c r="B72" s="90" t="s">
        <v>337</v>
      </c>
      <c r="C72" s="86" t="s">
        <v>301</v>
      </c>
      <c r="D72" s="91"/>
      <c r="E72" s="86"/>
      <c r="F72" s="91"/>
      <c r="G72" s="86"/>
      <c r="H72" s="86"/>
      <c r="I72" s="86"/>
      <c r="J72" s="92"/>
      <c r="K72" s="93"/>
      <c r="L72" s="86"/>
      <c r="M72" s="86"/>
      <c r="N72" s="87"/>
      <c r="O72" s="94"/>
      <c r="P72" s="87"/>
      <c r="Q72" s="87"/>
      <c r="R72" s="87"/>
      <c r="S72" s="87"/>
      <c r="T72" s="87"/>
      <c r="U72" s="87"/>
      <c r="V72" s="87"/>
      <c r="W72" s="87"/>
      <c r="X72" s="177"/>
      <c r="Y72" s="87"/>
      <c r="Z72" s="88"/>
      <c r="AA72" s="88"/>
      <c r="AB72" s="88"/>
      <c r="AC72" s="88"/>
      <c r="AD72" s="89" t="s">
        <v>302</v>
      </c>
      <c r="AE72" s="89" t="s">
        <v>302</v>
      </c>
      <c r="AF72" s="85"/>
    </row>
    <row r="73" spans="1:32" s="17" customFormat="1" x14ac:dyDescent="0.35">
      <c r="A73" s="85">
        <v>7</v>
      </c>
      <c r="B73" s="90" t="s">
        <v>338</v>
      </c>
      <c r="C73" s="86" t="s">
        <v>301</v>
      </c>
      <c r="D73" s="91"/>
      <c r="E73" s="86"/>
      <c r="F73" s="91"/>
      <c r="G73" s="86"/>
      <c r="H73" s="86"/>
      <c r="I73" s="86"/>
      <c r="J73" s="92"/>
      <c r="K73" s="93"/>
      <c r="L73" s="86"/>
      <c r="M73" s="86"/>
      <c r="N73" s="87"/>
      <c r="O73" s="94"/>
      <c r="P73" s="87"/>
      <c r="Q73" s="87"/>
      <c r="R73" s="87"/>
      <c r="S73" s="87"/>
      <c r="T73" s="87"/>
      <c r="U73" s="87"/>
      <c r="V73" s="87"/>
      <c r="W73" s="87"/>
      <c r="X73" s="177"/>
      <c r="Y73" s="87"/>
      <c r="Z73" s="88"/>
      <c r="AA73" s="88"/>
      <c r="AB73" s="88"/>
      <c r="AC73" s="88"/>
      <c r="AD73" s="89" t="s">
        <v>302</v>
      </c>
      <c r="AE73" s="89" t="s">
        <v>302</v>
      </c>
      <c r="AF73" s="85"/>
    </row>
    <row r="74" spans="1:32" s="17" customFormat="1" x14ac:dyDescent="0.35">
      <c r="A74" s="85">
        <v>8</v>
      </c>
      <c r="B74" s="90" t="s">
        <v>112</v>
      </c>
      <c r="C74" s="86" t="s">
        <v>301</v>
      </c>
      <c r="D74" s="91"/>
      <c r="E74" s="86"/>
      <c r="F74" s="91"/>
      <c r="G74" s="86"/>
      <c r="H74" s="86"/>
      <c r="I74" s="86"/>
      <c r="J74" s="92"/>
      <c r="K74" s="93"/>
      <c r="L74" s="86"/>
      <c r="M74" s="86"/>
      <c r="N74" s="87"/>
      <c r="O74" s="94"/>
      <c r="P74" s="87"/>
      <c r="Q74" s="87"/>
      <c r="R74" s="87"/>
      <c r="S74" s="87"/>
      <c r="T74" s="87"/>
      <c r="U74" s="87"/>
      <c r="V74" s="87"/>
      <c r="W74" s="87"/>
      <c r="X74" s="177"/>
      <c r="Y74" s="87"/>
      <c r="Z74" s="88"/>
      <c r="AA74" s="88"/>
      <c r="AB74" s="88"/>
      <c r="AC74" s="88"/>
      <c r="AD74" s="89" t="s">
        <v>302</v>
      </c>
      <c r="AE74" s="89" t="s">
        <v>302</v>
      </c>
      <c r="AF74" s="85"/>
    </row>
    <row r="75" spans="1:32" s="17" customFormat="1" x14ac:dyDescent="0.35">
      <c r="A75" s="85">
        <v>9</v>
      </c>
      <c r="B75" s="90" t="s">
        <v>113</v>
      </c>
      <c r="C75" s="86" t="s">
        <v>301</v>
      </c>
      <c r="D75" s="91"/>
      <c r="E75" s="86"/>
      <c r="F75" s="91"/>
      <c r="G75" s="86"/>
      <c r="H75" s="86"/>
      <c r="I75" s="86"/>
      <c r="J75" s="92"/>
      <c r="K75" s="93"/>
      <c r="L75" s="86"/>
      <c r="M75" s="86"/>
      <c r="N75" s="87"/>
      <c r="O75" s="94"/>
      <c r="P75" s="87"/>
      <c r="Q75" s="87"/>
      <c r="R75" s="87"/>
      <c r="S75" s="87"/>
      <c r="T75" s="87"/>
      <c r="U75" s="87"/>
      <c r="V75" s="87"/>
      <c r="W75" s="87"/>
      <c r="X75" s="177"/>
      <c r="Y75" s="87"/>
      <c r="Z75" s="88"/>
      <c r="AA75" s="88"/>
      <c r="AB75" s="88"/>
      <c r="AC75" s="88"/>
      <c r="AD75" s="89" t="s">
        <v>302</v>
      </c>
      <c r="AE75" s="89" t="s">
        <v>302</v>
      </c>
      <c r="AF75" s="85"/>
    </row>
    <row r="76" spans="1:32" s="17" customFormat="1" x14ac:dyDescent="0.35">
      <c r="A76" s="85">
        <v>10</v>
      </c>
      <c r="B76" s="90" t="s">
        <v>114</v>
      </c>
      <c r="C76" s="86" t="s">
        <v>301</v>
      </c>
      <c r="D76" s="91"/>
      <c r="E76" s="86"/>
      <c r="F76" s="91"/>
      <c r="G76" s="86"/>
      <c r="H76" s="86"/>
      <c r="I76" s="86"/>
      <c r="J76" s="92"/>
      <c r="K76" s="93"/>
      <c r="L76" s="86"/>
      <c r="M76" s="86"/>
      <c r="N76" s="87"/>
      <c r="O76" s="94"/>
      <c r="P76" s="87"/>
      <c r="Q76" s="87"/>
      <c r="R76" s="87"/>
      <c r="S76" s="87"/>
      <c r="T76" s="87"/>
      <c r="U76" s="87"/>
      <c r="V76" s="87"/>
      <c r="W76" s="87"/>
      <c r="X76" s="177"/>
      <c r="Y76" s="87"/>
      <c r="Z76" s="88"/>
      <c r="AA76" s="88"/>
      <c r="AB76" s="88"/>
      <c r="AC76" s="88"/>
      <c r="AD76" s="89" t="s">
        <v>302</v>
      </c>
      <c r="AE76" s="89" t="s">
        <v>302</v>
      </c>
      <c r="AF76" s="85"/>
    </row>
    <row r="77" spans="1:32" s="17" customFormat="1" x14ac:dyDescent="0.35">
      <c r="A77" s="85">
        <v>50</v>
      </c>
      <c r="B77" s="90" t="s">
        <v>115</v>
      </c>
      <c r="C77" s="86" t="s">
        <v>301</v>
      </c>
      <c r="D77" s="91" t="s">
        <v>306</v>
      </c>
      <c r="E77" s="86"/>
      <c r="F77" s="93"/>
      <c r="G77" s="86"/>
      <c r="H77" s="86"/>
      <c r="I77" s="86"/>
      <c r="J77" s="86" t="s">
        <v>306</v>
      </c>
      <c r="K77" s="91" t="s">
        <v>310</v>
      </c>
      <c r="L77" s="86"/>
      <c r="M77" s="86"/>
      <c r="N77" s="87" t="s">
        <v>302</v>
      </c>
      <c r="O77" s="94"/>
      <c r="P77" s="87"/>
      <c r="Q77" s="87"/>
      <c r="R77" s="87"/>
      <c r="S77" s="87"/>
      <c r="T77" s="87"/>
      <c r="U77" s="87"/>
      <c r="V77" s="87"/>
      <c r="W77" s="87" t="s">
        <v>329</v>
      </c>
      <c r="X77" s="177"/>
      <c r="Y77" s="87"/>
      <c r="Z77" s="88" t="s">
        <v>304</v>
      </c>
      <c r="AA77" s="88" t="s">
        <v>304</v>
      </c>
      <c r="AB77" s="88"/>
      <c r="AC77" s="88"/>
      <c r="AD77" s="89"/>
      <c r="AE77" s="89"/>
      <c r="AF77" s="95"/>
    </row>
    <row r="78" spans="1:32" s="17" customFormat="1" x14ac:dyDescent="0.35">
      <c r="A78" s="85">
        <v>405</v>
      </c>
      <c r="B78" s="90" t="s">
        <v>116</v>
      </c>
      <c r="C78" s="86" t="s">
        <v>301</v>
      </c>
      <c r="D78" s="91" t="s">
        <v>306</v>
      </c>
      <c r="E78" s="86"/>
      <c r="F78" s="93"/>
      <c r="G78" s="86"/>
      <c r="H78" s="86"/>
      <c r="I78" s="86"/>
      <c r="J78" s="86" t="s">
        <v>306</v>
      </c>
      <c r="K78" s="91" t="s">
        <v>310</v>
      </c>
      <c r="L78" s="86"/>
      <c r="M78" s="86"/>
      <c r="N78" s="87" t="s">
        <v>302</v>
      </c>
      <c r="O78" s="94"/>
      <c r="P78" s="87"/>
      <c r="Q78" s="87"/>
      <c r="R78" s="87"/>
      <c r="S78" s="87"/>
      <c r="T78" s="87"/>
      <c r="U78" s="87"/>
      <c r="V78" s="87"/>
      <c r="W78" s="87" t="s">
        <v>329</v>
      </c>
      <c r="X78" s="177"/>
      <c r="Y78" s="87" t="s">
        <v>302</v>
      </c>
      <c r="Z78" s="88" t="s">
        <v>315</v>
      </c>
      <c r="AA78" s="88" t="s">
        <v>315</v>
      </c>
      <c r="AB78" s="88"/>
      <c r="AC78" s="88"/>
      <c r="AD78" s="89"/>
      <c r="AE78" s="89"/>
      <c r="AF78" s="85"/>
    </row>
    <row r="79" spans="1:32" s="17" customFormat="1" x14ac:dyDescent="0.35">
      <c r="A79" s="220" t="s">
        <v>117</v>
      </c>
      <c r="B79" s="90" t="s">
        <v>118</v>
      </c>
      <c r="C79" s="108" t="s">
        <v>301</v>
      </c>
      <c r="D79" s="221"/>
      <c r="E79" s="108"/>
      <c r="F79" s="221"/>
      <c r="G79" s="108" t="s">
        <v>306</v>
      </c>
      <c r="H79" s="108"/>
      <c r="I79" s="108"/>
      <c r="J79" s="108" t="s">
        <v>306</v>
      </c>
      <c r="K79" s="93"/>
      <c r="L79" s="108"/>
      <c r="M79" s="108"/>
      <c r="N79" s="109" t="s">
        <v>302</v>
      </c>
      <c r="O79" s="110"/>
      <c r="P79" s="109"/>
      <c r="Q79" s="109"/>
      <c r="R79" s="109"/>
      <c r="S79" s="109"/>
      <c r="T79" s="109"/>
      <c r="U79" s="109"/>
      <c r="V79" s="109"/>
      <c r="W79" s="87" t="s">
        <v>304</v>
      </c>
      <c r="X79" s="109"/>
      <c r="Y79" s="109" t="s">
        <v>302</v>
      </c>
      <c r="Z79" s="88" t="s">
        <v>304</v>
      </c>
      <c r="AA79" s="88" t="s">
        <v>304</v>
      </c>
      <c r="AB79" s="111"/>
      <c r="AC79" s="111"/>
      <c r="AD79" s="112"/>
      <c r="AE79" s="112"/>
      <c r="AF79" s="107"/>
    </row>
    <row r="80" spans="1:32" s="125" customFormat="1" x14ac:dyDescent="0.35">
      <c r="A80" s="116">
        <v>410</v>
      </c>
      <c r="B80" s="117" t="s">
        <v>119</v>
      </c>
      <c r="C80" s="118" t="s">
        <v>301</v>
      </c>
      <c r="D80" s="119" t="s">
        <v>306</v>
      </c>
      <c r="E80" s="118"/>
      <c r="F80" s="119" t="s">
        <v>306</v>
      </c>
      <c r="G80" s="118"/>
      <c r="H80" s="118"/>
      <c r="I80" s="118"/>
      <c r="J80" s="118"/>
      <c r="K80" s="119" t="s">
        <v>310</v>
      </c>
      <c r="L80" s="118"/>
      <c r="M80" s="118"/>
      <c r="N80" s="120" t="s">
        <v>302</v>
      </c>
      <c r="O80" s="121"/>
      <c r="P80" s="120"/>
      <c r="Q80" s="120"/>
      <c r="R80" s="120"/>
      <c r="S80" s="120"/>
      <c r="T80" s="120"/>
      <c r="U80" s="120"/>
      <c r="V80" s="120"/>
      <c r="W80" s="87" t="s">
        <v>304</v>
      </c>
      <c r="X80" s="180"/>
      <c r="Y80" s="120"/>
      <c r="Z80" s="88" t="s">
        <v>304</v>
      </c>
      <c r="AA80" s="88" t="s">
        <v>304</v>
      </c>
      <c r="AB80" s="122"/>
      <c r="AC80" s="122"/>
      <c r="AD80" s="123"/>
      <c r="AE80" s="123"/>
      <c r="AF80" s="124"/>
    </row>
    <row r="81" spans="1:32" s="17" customFormat="1" x14ac:dyDescent="0.35">
      <c r="A81" s="126">
        <v>414</v>
      </c>
      <c r="B81" s="133" t="s">
        <v>120</v>
      </c>
      <c r="C81" s="86"/>
      <c r="D81" s="91"/>
      <c r="E81" s="86"/>
      <c r="F81" s="91"/>
      <c r="G81" s="86"/>
      <c r="H81" s="86"/>
      <c r="I81" s="86"/>
      <c r="J81" s="86"/>
      <c r="K81" s="91"/>
      <c r="L81" s="86"/>
      <c r="M81" s="86"/>
      <c r="N81" s="87"/>
      <c r="O81" s="94"/>
      <c r="P81" s="87"/>
      <c r="Q81" s="87"/>
      <c r="R81" s="87"/>
      <c r="S81" s="87"/>
      <c r="T81" s="87"/>
      <c r="U81" s="87"/>
      <c r="V81" s="87"/>
      <c r="W81" s="87"/>
      <c r="X81" s="177"/>
      <c r="Y81" s="87"/>
      <c r="Z81" s="88"/>
      <c r="AA81" s="88"/>
      <c r="AB81" s="88"/>
      <c r="AC81" s="88"/>
      <c r="AD81" s="89" t="s">
        <v>302</v>
      </c>
      <c r="AE81" s="89" t="s">
        <v>302</v>
      </c>
      <c r="AF81" s="85"/>
    </row>
    <row r="82" spans="1:32" s="17" customFormat="1" x14ac:dyDescent="0.35">
      <c r="A82" s="85">
        <v>422</v>
      </c>
      <c r="B82" s="90" t="s">
        <v>121</v>
      </c>
      <c r="C82" s="86" t="s">
        <v>301</v>
      </c>
      <c r="D82" s="91" t="s">
        <v>306</v>
      </c>
      <c r="E82" s="86"/>
      <c r="F82" s="91" t="s">
        <v>306</v>
      </c>
      <c r="G82" s="86"/>
      <c r="H82" s="86"/>
      <c r="I82" s="86"/>
      <c r="J82" s="86" t="s">
        <v>306</v>
      </c>
      <c r="K82" s="91" t="s">
        <v>310</v>
      </c>
      <c r="L82" s="86"/>
      <c r="M82" s="86"/>
      <c r="N82" s="87" t="s">
        <v>302</v>
      </c>
      <c r="O82" s="94"/>
      <c r="P82" s="87"/>
      <c r="Q82" s="87"/>
      <c r="R82" s="87"/>
      <c r="S82" s="87"/>
      <c r="T82" s="87"/>
      <c r="U82" s="87"/>
      <c r="V82" s="87"/>
      <c r="W82" s="87" t="s">
        <v>329</v>
      </c>
      <c r="X82" s="177"/>
      <c r="Y82" s="87"/>
      <c r="Z82" s="88" t="s">
        <v>307</v>
      </c>
      <c r="AA82" s="88" t="s">
        <v>307</v>
      </c>
      <c r="AB82" s="88"/>
      <c r="AC82" s="88"/>
      <c r="AD82" s="89"/>
      <c r="AE82" s="89"/>
      <c r="AF82" s="85"/>
    </row>
    <row r="83" spans="1:32" s="17" customFormat="1" x14ac:dyDescent="0.35">
      <c r="A83" s="85">
        <v>424</v>
      </c>
      <c r="B83" s="90" t="s">
        <v>122</v>
      </c>
      <c r="C83" s="86" t="s">
        <v>301</v>
      </c>
      <c r="D83" s="91" t="s">
        <v>306</v>
      </c>
      <c r="E83" s="86"/>
      <c r="F83" s="93"/>
      <c r="G83" s="86"/>
      <c r="H83" s="86"/>
      <c r="I83" s="86"/>
      <c r="J83" s="86" t="s">
        <v>306</v>
      </c>
      <c r="K83" s="91" t="s">
        <v>310</v>
      </c>
      <c r="L83" s="86"/>
      <c r="M83" s="86"/>
      <c r="N83" s="87" t="s">
        <v>302</v>
      </c>
      <c r="O83" s="94"/>
      <c r="P83" s="87"/>
      <c r="Q83" s="87"/>
      <c r="R83" s="87"/>
      <c r="S83" s="87"/>
      <c r="T83" s="87"/>
      <c r="U83" s="87"/>
      <c r="V83" s="87"/>
      <c r="W83" s="87" t="s">
        <v>329</v>
      </c>
      <c r="X83" s="177"/>
      <c r="Y83" s="87"/>
      <c r="Z83" s="88" t="s">
        <v>307</v>
      </c>
      <c r="AA83" s="88" t="s">
        <v>307</v>
      </c>
      <c r="AB83" s="88"/>
      <c r="AC83" s="88"/>
      <c r="AD83" s="89"/>
      <c r="AE83" s="89"/>
      <c r="AF83" s="85"/>
    </row>
    <row r="84" spans="1:32" s="17" customFormat="1" x14ac:dyDescent="0.35">
      <c r="A84" s="85">
        <v>426</v>
      </c>
      <c r="B84" s="90" t="s">
        <v>123</v>
      </c>
      <c r="C84" s="86" t="s">
        <v>301</v>
      </c>
      <c r="D84" s="91" t="s">
        <v>306</v>
      </c>
      <c r="E84" s="86"/>
      <c r="F84" s="91" t="s">
        <v>306</v>
      </c>
      <c r="G84" s="86"/>
      <c r="H84" s="86"/>
      <c r="I84" s="86"/>
      <c r="J84" s="86" t="s">
        <v>306</v>
      </c>
      <c r="K84" s="91" t="s">
        <v>310</v>
      </c>
      <c r="L84" s="86"/>
      <c r="M84" s="86"/>
      <c r="N84" s="87" t="s">
        <v>302</v>
      </c>
      <c r="O84" s="94"/>
      <c r="P84" s="87"/>
      <c r="Q84" s="87"/>
      <c r="R84" s="87"/>
      <c r="S84" s="87"/>
      <c r="T84" s="87"/>
      <c r="U84" s="87"/>
      <c r="V84" s="87"/>
      <c r="W84" s="87" t="s">
        <v>329</v>
      </c>
      <c r="X84" s="177"/>
      <c r="Y84" s="87"/>
      <c r="Z84" s="88" t="s">
        <v>307</v>
      </c>
      <c r="AA84" s="88" t="s">
        <v>307</v>
      </c>
      <c r="AB84" s="88"/>
      <c r="AC84" s="88"/>
      <c r="AD84" s="89"/>
      <c r="AE84" s="89"/>
      <c r="AF84" s="85"/>
    </row>
    <row r="85" spans="1:32" s="17" customFormat="1" x14ac:dyDescent="0.35">
      <c r="A85" s="85">
        <v>426</v>
      </c>
      <c r="B85" s="127" t="s">
        <v>124</v>
      </c>
      <c r="C85" s="91" t="s">
        <v>301</v>
      </c>
      <c r="D85" s="91" t="s">
        <v>306</v>
      </c>
      <c r="E85" s="91"/>
      <c r="F85" s="93"/>
      <c r="G85" s="91"/>
      <c r="H85" s="91"/>
      <c r="I85" s="91"/>
      <c r="J85" s="91" t="s">
        <v>306</v>
      </c>
      <c r="K85" s="91" t="s">
        <v>310</v>
      </c>
      <c r="L85" s="91"/>
      <c r="M85" s="91"/>
      <c r="N85" s="128" t="s">
        <v>302</v>
      </c>
      <c r="O85" s="129"/>
      <c r="P85" s="128"/>
      <c r="Q85" s="128"/>
      <c r="R85" s="128"/>
      <c r="S85" s="128"/>
      <c r="T85" s="128"/>
      <c r="U85" s="128"/>
      <c r="V85" s="128"/>
      <c r="W85" s="128" t="s">
        <v>329</v>
      </c>
      <c r="X85" s="181"/>
      <c r="Y85" s="128"/>
      <c r="Z85" s="130" t="s">
        <v>307</v>
      </c>
      <c r="AA85" s="130" t="s">
        <v>307</v>
      </c>
      <c r="AB85" s="130"/>
      <c r="AC85" s="130"/>
      <c r="AD85" s="131"/>
      <c r="AE85" s="131"/>
      <c r="AF85" s="85"/>
    </row>
    <row r="86" spans="1:32" s="17" customFormat="1" x14ac:dyDescent="0.35">
      <c r="A86" s="85">
        <v>435</v>
      </c>
      <c r="B86" s="90" t="s">
        <v>125</v>
      </c>
      <c r="C86" s="86" t="s">
        <v>301</v>
      </c>
      <c r="D86" s="91" t="s">
        <v>306</v>
      </c>
      <c r="E86" s="86"/>
      <c r="F86" s="93"/>
      <c r="G86" s="86"/>
      <c r="H86" s="86"/>
      <c r="I86" s="86"/>
      <c r="J86" s="86" t="s">
        <v>306</v>
      </c>
      <c r="K86" s="91" t="s">
        <v>310</v>
      </c>
      <c r="L86" s="86"/>
      <c r="M86" s="86"/>
      <c r="N86" s="87" t="s">
        <v>302</v>
      </c>
      <c r="O86" s="94"/>
      <c r="P86" s="87"/>
      <c r="Q86" s="87"/>
      <c r="R86" s="87"/>
      <c r="S86" s="87"/>
      <c r="T86" s="87"/>
      <c r="U86" s="87"/>
      <c r="V86" s="87"/>
      <c r="W86" s="87"/>
      <c r="X86" s="177"/>
      <c r="Y86" s="87"/>
      <c r="Z86" s="88" t="s">
        <v>307</v>
      </c>
      <c r="AA86" s="88" t="s">
        <v>307</v>
      </c>
      <c r="AB86" s="88"/>
      <c r="AC86" s="88"/>
      <c r="AD86" s="89"/>
      <c r="AE86" s="89"/>
      <c r="AF86" s="85"/>
    </row>
    <row r="87" spans="1:32" s="17" customFormat="1" x14ac:dyDescent="0.35">
      <c r="A87" s="85" t="s">
        <v>126</v>
      </c>
      <c r="B87" s="133" t="s">
        <v>127</v>
      </c>
      <c r="C87" s="86" t="s">
        <v>301</v>
      </c>
      <c r="D87" s="91"/>
      <c r="E87" s="86"/>
      <c r="F87" s="93"/>
      <c r="G87" s="86"/>
      <c r="H87" s="86"/>
      <c r="I87" s="86"/>
      <c r="J87" s="86" t="s">
        <v>306</v>
      </c>
      <c r="K87" s="91"/>
      <c r="L87" s="86"/>
      <c r="M87" s="86"/>
      <c r="N87" s="87" t="s">
        <v>302</v>
      </c>
      <c r="O87" s="94"/>
      <c r="P87" s="87"/>
      <c r="Q87" s="87"/>
      <c r="R87" s="87"/>
      <c r="S87" s="87"/>
      <c r="T87" s="87"/>
      <c r="U87" s="87"/>
      <c r="V87" s="87"/>
      <c r="W87" s="87"/>
      <c r="X87" s="177"/>
      <c r="Y87" s="87"/>
      <c r="Z87" s="88" t="s">
        <v>307</v>
      </c>
      <c r="AA87" s="88" t="s">
        <v>307</v>
      </c>
      <c r="AB87" s="88"/>
      <c r="AC87" s="88"/>
      <c r="AD87" s="89"/>
      <c r="AE87" s="89"/>
      <c r="AF87" s="85"/>
    </row>
    <row r="88" spans="1:32" s="113" customFormat="1" ht="25.8" x14ac:dyDescent="0.35">
      <c r="A88" s="85">
        <v>436</v>
      </c>
      <c r="B88" s="160" t="s">
        <v>128</v>
      </c>
      <c r="C88" s="86"/>
      <c r="D88" s="91"/>
      <c r="E88" s="86"/>
      <c r="F88" s="91"/>
      <c r="G88" s="86"/>
      <c r="H88" s="86"/>
      <c r="I88" s="86"/>
      <c r="J88" s="86"/>
      <c r="K88" s="91"/>
      <c r="L88" s="86"/>
      <c r="M88" s="86"/>
      <c r="N88" s="87" t="s">
        <v>302</v>
      </c>
      <c r="O88" s="94"/>
      <c r="P88" s="87"/>
      <c r="Q88" s="87"/>
      <c r="R88" s="87"/>
      <c r="S88" s="87"/>
      <c r="T88" s="87"/>
      <c r="U88" s="87"/>
      <c r="V88" s="87"/>
      <c r="W88" s="87"/>
      <c r="X88" s="177"/>
      <c r="Y88" s="87"/>
      <c r="Z88" s="88"/>
      <c r="AA88" s="88"/>
      <c r="AB88" s="88"/>
      <c r="AC88" s="88"/>
      <c r="AD88" s="89"/>
      <c r="AE88" s="89"/>
      <c r="AF88" s="85"/>
    </row>
    <row r="89" spans="1:32" s="113" customFormat="1" x14ac:dyDescent="0.35">
      <c r="A89" s="107">
        <v>444</v>
      </c>
      <c r="B89" s="90" t="s">
        <v>129</v>
      </c>
      <c r="C89" s="108" t="s">
        <v>301</v>
      </c>
      <c r="D89" s="91"/>
      <c r="E89" s="108"/>
      <c r="F89" s="91"/>
      <c r="G89" s="108"/>
      <c r="H89" s="108"/>
      <c r="I89" s="108"/>
      <c r="J89" s="108" t="s">
        <v>306</v>
      </c>
      <c r="K89" s="108" t="s">
        <v>306</v>
      </c>
      <c r="L89" s="108"/>
      <c r="M89" s="108"/>
      <c r="N89" s="109" t="s">
        <v>302</v>
      </c>
      <c r="O89" s="110"/>
      <c r="P89" s="109"/>
      <c r="Q89" s="109"/>
      <c r="R89" s="109"/>
      <c r="S89" s="109"/>
      <c r="T89" s="109"/>
      <c r="U89" s="109"/>
      <c r="V89" s="109"/>
      <c r="W89" s="109" t="s">
        <v>307</v>
      </c>
      <c r="X89" s="179"/>
      <c r="Y89" s="109"/>
      <c r="Z89" s="111" t="s">
        <v>307</v>
      </c>
      <c r="AA89" s="111" t="s">
        <v>307</v>
      </c>
      <c r="AB89" s="111"/>
      <c r="AC89" s="111"/>
      <c r="AD89" s="112"/>
      <c r="AE89" s="112"/>
      <c r="AF89" s="107"/>
    </row>
    <row r="90" spans="1:32" s="113" customFormat="1" x14ac:dyDescent="0.35">
      <c r="A90" s="107">
        <v>459</v>
      </c>
      <c r="B90" s="90" t="s">
        <v>130</v>
      </c>
      <c r="C90" s="108" t="s">
        <v>301</v>
      </c>
      <c r="D90" s="91"/>
      <c r="E90" s="108"/>
      <c r="F90" s="91"/>
      <c r="G90" s="108"/>
      <c r="H90" s="108"/>
      <c r="I90" s="108"/>
      <c r="J90" s="108"/>
      <c r="K90" s="108" t="s">
        <v>306</v>
      </c>
      <c r="L90" s="108"/>
      <c r="M90" s="108"/>
      <c r="N90" s="109" t="s">
        <v>302</v>
      </c>
      <c r="O90" s="110"/>
      <c r="P90" s="109"/>
      <c r="Q90" s="109"/>
      <c r="R90" s="109"/>
      <c r="S90" s="109"/>
      <c r="T90" s="109"/>
      <c r="U90" s="109"/>
      <c r="V90" s="109"/>
      <c r="W90" s="109" t="s">
        <v>307</v>
      </c>
      <c r="X90" s="179"/>
      <c r="Y90" s="109"/>
      <c r="Z90" s="111" t="s">
        <v>307</v>
      </c>
      <c r="AA90" s="111" t="s">
        <v>307</v>
      </c>
      <c r="AB90" s="111"/>
      <c r="AC90" s="111"/>
      <c r="AD90" s="112"/>
      <c r="AE90" s="112"/>
      <c r="AF90" s="107"/>
    </row>
    <row r="91" spans="1:32" s="113" customFormat="1" x14ac:dyDescent="0.35">
      <c r="A91" s="107">
        <v>460</v>
      </c>
      <c r="B91" s="90" t="s">
        <v>131</v>
      </c>
      <c r="C91" s="108" t="s">
        <v>301</v>
      </c>
      <c r="D91" s="91"/>
      <c r="E91" s="108"/>
      <c r="F91" s="91"/>
      <c r="G91" s="108"/>
      <c r="H91" s="108"/>
      <c r="I91" s="108"/>
      <c r="J91" s="108"/>
      <c r="K91" s="108" t="s">
        <v>306</v>
      </c>
      <c r="L91" s="108"/>
      <c r="M91" s="108"/>
      <c r="N91" s="109" t="s">
        <v>302</v>
      </c>
      <c r="O91" s="110"/>
      <c r="P91" s="109"/>
      <c r="Q91" s="109"/>
      <c r="R91" s="109"/>
      <c r="S91" s="109"/>
      <c r="T91" s="109"/>
      <c r="U91" s="109"/>
      <c r="V91" s="109"/>
      <c r="W91" s="109" t="s">
        <v>307</v>
      </c>
      <c r="X91" s="179"/>
      <c r="Y91" s="109"/>
      <c r="Z91" s="111" t="s">
        <v>307</v>
      </c>
      <c r="AA91" s="111" t="s">
        <v>307</v>
      </c>
      <c r="AB91" s="111"/>
      <c r="AC91" s="111"/>
      <c r="AD91" s="112"/>
      <c r="AE91" s="112"/>
      <c r="AF91" s="107"/>
    </row>
    <row r="92" spans="1:32" s="17" customFormat="1" x14ac:dyDescent="0.35">
      <c r="A92" s="107">
        <v>462</v>
      </c>
      <c r="B92" s="90" t="s">
        <v>132</v>
      </c>
      <c r="C92" s="108" t="s">
        <v>301</v>
      </c>
      <c r="D92" s="91"/>
      <c r="E92" s="108"/>
      <c r="F92" s="91"/>
      <c r="G92" s="108"/>
      <c r="H92" s="108"/>
      <c r="I92" s="108"/>
      <c r="J92" s="108" t="s">
        <v>306</v>
      </c>
      <c r="K92" s="108" t="s">
        <v>306</v>
      </c>
      <c r="L92" s="108"/>
      <c r="M92" s="108"/>
      <c r="N92" s="109" t="s">
        <v>302</v>
      </c>
      <c r="O92" s="110"/>
      <c r="P92" s="109"/>
      <c r="Q92" s="109"/>
      <c r="R92" s="109"/>
      <c r="S92" s="109"/>
      <c r="T92" s="109"/>
      <c r="U92" s="109"/>
      <c r="V92" s="109"/>
      <c r="W92" s="109" t="s">
        <v>307</v>
      </c>
      <c r="X92" s="179"/>
      <c r="Y92" s="109"/>
      <c r="Z92" s="111" t="s">
        <v>307</v>
      </c>
      <c r="AA92" s="111" t="s">
        <v>307</v>
      </c>
      <c r="AB92" s="111"/>
      <c r="AC92" s="111"/>
      <c r="AD92" s="112"/>
      <c r="AE92" s="112"/>
      <c r="AF92" s="107"/>
    </row>
    <row r="93" spans="1:32" s="17" customFormat="1" x14ac:dyDescent="0.35">
      <c r="A93" s="85">
        <v>463</v>
      </c>
      <c r="B93" s="106" t="s">
        <v>133</v>
      </c>
      <c r="C93" s="86"/>
      <c r="D93" s="91"/>
      <c r="E93" s="86"/>
      <c r="F93" s="91"/>
      <c r="G93" s="86"/>
      <c r="H93" s="86"/>
      <c r="I93" s="86"/>
      <c r="J93" s="86"/>
      <c r="K93" s="91"/>
      <c r="L93" s="86"/>
      <c r="M93" s="86"/>
      <c r="N93" s="87"/>
      <c r="O93" s="94"/>
      <c r="P93" s="87"/>
      <c r="Q93" s="87"/>
      <c r="R93" s="87"/>
      <c r="S93" s="87"/>
      <c r="T93" s="87"/>
      <c r="U93" s="87"/>
      <c r="V93" s="87"/>
      <c r="W93" s="87"/>
      <c r="X93" s="177"/>
      <c r="Y93" s="87"/>
      <c r="Z93" s="88" t="s">
        <v>307</v>
      </c>
      <c r="AA93" s="88" t="s">
        <v>307</v>
      </c>
      <c r="AB93" s="88"/>
      <c r="AC93" s="88"/>
      <c r="AD93" s="89"/>
      <c r="AE93" s="89"/>
      <c r="AF93" s="85"/>
    </row>
    <row r="94" spans="1:32" s="17" customFormat="1" x14ac:dyDescent="0.35">
      <c r="A94" s="85">
        <v>465</v>
      </c>
      <c r="B94" s="133" t="s">
        <v>134</v>
      </c>
      <c r="C94" s="86" t="s">
        <v>301</v>
      </c>
      <c r="D94" s="91" t="s">
        <v>306</v>
      </c>
      <c r="E94" s="86"/>
      <c r="F94" s="93"/>
      <c r="G94" s="86"/>
      <c r="H94" s="86"/>
      <c r="I94" s="86"/>
      <c r="J94" s="86" t="s">
        <v>306</v>
      </c>
      <c r="K94" s="91" t="s">
        <v>310</v>
      </c>
      <c r="L94" s="86"/>
      <c r="M94" s="86"/>
      <c r="N94" s="87" t="s">
        <v>302</v>
      </c>
      <c r="O94" s="94"/>
      <c r="P94" s="87"/>
      <c r="Q94" s="87"/>
      <c r="R94" s="87"/>
      <c r="S94" s="87"/>
      <c r="T94" s="87"/>
      <c r="U94" s="87"/>
      <c r="V94" s="87"/>
      <c r="W94" s="87"/>
      <c r="X94" s="177"/>
      <c r="Y94" s="87"/>
      <c r="Z94" s="88" t="s">
        <v>307</v>
      </c>
      <c r="AA94" s="88" t="s">
        <v>307</v>
      </c>
      <c r="AB94" s="88"/>
      <c r="AC94" s="88"/>
      <c r="AD94" s="89"/>
      <c r="AE94" s="89"/>
      <c r="AF94" s="85"/>
    </row>
    <row r="95" spans="1:32" s="17" customFormat="1" x14ac:dyDescent="0.35">
      <c r="A95" s="85">
        <v>469</v>
      </c>
      <c r="B95" s="90" t="s">
        <v>135</v>
      </c>
      <c r="C95" s="86" t="s">
        <v>301</v>
      </c>
      <c r="D95" s="91" t="s">
        <v>306</v>
      </c>
      <c r="E95" s="86"/>
      <c r="F95" s="93"/>
      <c r="G95" s="86"/>
      <c r="H95" s="86"/>
      <c r="I95" s="86"/>
      <c r="J95" s="86" t="s">
        <v>306</v>
      </c>
      <c r="K95" s="91" t="s">
        <v>310</v>
      </c>
      <c r="L95" s="86"/>
      <c r="M95" s="86"/>
      <c r="N95" s="87" t="s">
        <v>302</v>
      </c>
      <c r="O95" s="94"/>
      <c r="P95" s="87"/>
      <c r="Q95" s="87"/>
      <c r="R95" s="87"/>
      <c r="S95" s="87"/>
      <c r="T95" s="87"/>
      <c r="U95" s="87"/>
      <c r="V95" s="87"/>
      <c r="W95" s="87"/>
      <c r="X95" s="177"/>
      <c r="Y95" s="87" t="s">
        <v>302</v>
      </c>
      <c r="Z95" s="88"/>
      <c r="AA95" s="88"/>
      <c r="AB95" s="88"/>
      <c r="AC95" s="88"/>
      <c r="AD95" s="89"/>
      <c r="AE95" s="89"/>
      <c r="AF95" s="85"/>
    </row>
    <row r="96" spans="1:32" s="17" customFormat="1" x14ac:dyDescent="0.35">
      <c r="A96" s="85">
        <v>476</v>
      </c>
      <c r="B96" s="90" t="s">
        <v>136</v>
      </c>
      <c r="C96" s="86" t="s">
        <v>301</v>
      </c>
      <c r="D96" s="93"/>
      <c r="E96" s="92"/>
      <c r="F96" s="93"/>
      <c r="G96" s="86"/>
      <c r="H96" s="86"/>
      <c r="I96" s="86"/>
      <c r="J96" s="86" t="s">
        <v>306</v>
      </c>
      <c r="K96" s="93"/>
      <c r="L96" s="86"/>
      <c r="M96" s="92"/>
      <c r="N96" s="87" t="s">
        <v>302</v>
      </c>
      <c r="O96" s="94"/>
      <c r="P96" s="87"/>
      <c r="Q96" s="87"/>
      <c r="R96" s="87"/>
      <c r="S96" s="87"/>
      <c r="T96" s="87"/>
      <c r="U96" s="87"/>
      <c r="V96" s="87"/>
      <c r="W96" s="87"/>
      <c r="X96" s="177"/>
      <c r="Y96" s="87"/>
      <c r="Z96" s="88" t="s">
        <v>307</v>
      </c>
      <c r="AA96" s="88" t="s">
        <v>307</v>
      </c>
      <c r="AB96" s="88"/>
      <c r="AC96" s="88"/>
      <c r="AD96" s="89"/>
      <c r="AE96" s="89"/>
      <c r="AF96" s="85"/>
    </row>
    <row r="97" spans="1:32" s="113" customFormat="1" x14ac:dyDescent="0.35">
      <c r="A97" s="85">
        <v>476</v>
      </c>
      <c r="B97" s="90" t="s">
        <v>339</v>
      </c>
      <c r="C97" s="86" t="s">
        <v>301</v>
      </c>
      <c r="D97" s="93"/>
      <c r="E97" s="92"/>
      <c r="F97" s="93"/>
      <c r="G97" s="86"/>
      <c r="H97" s="86"/>
      <c r="I97" s="86"/>
      <c r="J97" s="86" t="s">
        <v>306</v>
      </c>
      <c r="K97" s="93"/>
      <c r="L97" s="86"/>
      <c r="M97" s="92"/>
      <c r="N97" s="87" t="s">
        <v>302</v>
      </c>
      <c r="O97" s="94"/>
      <c r="P97" s="87"/>
      <c r="Q97" s="87"/>
      <c r="R97" s="87"/>
      <c r="S97" s="87"/>
      <c r="T97" s="87"/>
      <c r="U97" s="87"/>
      <c r="V97" s="87"/>
      <c r="W97" s="87"/>
      <c r="X97" s="177"/>
      <c r="Y97" s="87"/>
      <c r="Z97" s="88" t="s">
        <v>307</v>
      </c>
      <c r="AA97" s="88" t="s">
        <v>307</v>
      </c>
      <c r="AB97" s="88"/>
      <c r="AC97" s="88"/>
      <c r="AD97" s="89"/>
      <c r="AE97" s="89"/>
      <c r="AF97" s="85"/>
    </row>
    <row r="98" spans="1:32" s="17" customFormat="1" x14ac:dyDescent="0.35">
      <c r="A98" s="107">
        <v>494</v>
      </c>
      <c r="B98" s="90" t="s">
        <v>138</v>
      </c>
      <c r="C98" s="108" t="s">
        <v>301</v>
      </c>
      <c r="D98" s="91" t="s">
        <v>306</v>
      </c>
      <c r="E98" s="108"/>
      <c r="F98" s="91"/>
      <c r="G98" s="108"/>
      <c r="H98" s="108"/>
      <c r="I98" s="108"/>
      <c r="J98" s="108" t="s">
        <v>306</v>
      </c>
      <c r="K98" s="108"/>
      <c r="L98" s="108"/>
      <c r="M98" s="108"/>
      <c r="N98" s="109" t="s">
        <v>302</v>
      </c>
      <c r="O98" s="110"/>
      <c r="P98" s="109"/>
      <c r="Q98" s="109"/>
      <c r="R98" s="109"/>
      <c r="S98" s="109"/>
      <c r="T98" s="109"/>
      <c r="U98" s="109"/>
      <c r="V98" s="109"/>
      <c r="W98" s="109"/>
      <c r="X98" s="179"/>
      <c r="Y98" s="109" t="s">
        <v>307</v>
      </c>
      <c r="Z98" s="111" t="s">
        <v>307</v>
      </c>
      <c r="AA98" s="111" t="s">
        <v>307</v>
      </c>
      <c r="AB98" s="111"/>
      <c r="AC98" s="111"/>
      <c r="AD98" s="112"/>
      <c r="AE98" s="112"/>
      <c r="AF98" s="107"/>
    </row>
    <row r="99" spans="1:32" s="17" customFormat="1" x14ac:dyDescent="0.35">
      <c r="A99" s="85">
        <v>522</v>
      </c>
      <c r="B99" s="90" t="s">
        <v>139</v>
      </c>
      <c r="C99" s="86"/>
      <c r="D99" s="91"/>
      <c r="E99" s="86"/>
      <c r="F99" s="91"/>
      <c r="G99" s="86"/>
      <c r="H99" s="86"/>
      <c r="I99" s="86"/>
      <c r="J99" s="86"/>
      <c r="K99" s="91"/>
      <c r="L99" s="86"/>
      <c r="M99" s="86"/>
      <c r="N99" s="87"/>
      <c r="O99" s="94"/>
      <c r="P99" s="87"/>
      <c r="Q99" s="87"/>
      <c r="R99" s="87"/>
      <c r="S99" s="87"/>
      <c r="T99" s="87"/>
      <c r="U99" s="87"/>
      <c r="V99" s="87"/>
      <c r="W99" s="87"/>
      <c r="X99" s="177"/>
      <c r="Y99" s="87"/>
      <c r="Z99" s="88" t="s">
        <v>304</v>
      </c>
      <c r="AA99" s="88" t="s">
        <v>304</v>
      </c>
      <c r="AB99" s="88"/>
      <c r="AC99" s="88"/>
      <c r="AD99" s="89"/>
      <c r="AE99" s="89"/>
      <c r="AF99" s="85"/>
    </row>
    <row r="100" spans="1:32" s="132" customFormat="1" x14ac:dyDescent="0.35">
      <c r="A100" s="85">
        <v>533</v>
      </c>
      <c r="B100" s="90" t="s">
        <v>140</v>
      </c>
      <c r="C100" s="86"/>
      <c r="D100" s="91"/>
      <c r="E100" s="86"/>
      <c r="F100" s="91"/>
      <c r="G100" s="86"/>
      <c r="H100" s="86"/>
      <c r="I100" s="86"/>
      <c r="J100" s="86"/>
      <c r="K100" s="91"/>
      <c r="L100" s="86"/>
      <c r="M100" s="86"/>
      <c r="N100" s="87"/>
      <c r="O100" s="94"/>
      <c r="P100" s="87"/>
      <c r="Q100" s="87"/>
      <c r="R100" s="87"/>
      <c r="S100" s="87"/>
      <c r="T100" s="87"/>
      <c r="U100" s="87"/>
      <c r="V100" s="87"/>
      <c r="W100" s="87"/>
      <c r="X100" s="177"/>
      <c r="Y100" s="87"/>
      <c r="Z100" s="88" t="s">
        <v>340</v>
      </c>
      <c r="AA100" s="88" t="s">
        <v>340</v>
      </c>
      <c r="AB100" s="88"/>
      <c r="AC100" s="88"/>
      <c r="AD100" s="89" t="s">
        <v>302</v>
      </c>
      <c r="AE100" s="89" t="s">
        <v>302</v>
      </c>
      <c r="AF100" s="85" t="s">
        <v>341</v>
      </c>
    </row>
    <row r="101" spans="1:32" s="132" customFormat="1" x14ac:dyDescent="0.35">
      <c r="A101" s="85">
        <v>542</v>
      </c>
      <c r="B101" s="90" t="s">
        <v>142</v>
      </c>
      <c r="C101" s="86" t="s">
        <v>301</v>
      </c>
      <c r="D101" s="93"/>
      <c r="E101" s="86" t="s">
        <v>301</v>
      </c>
      <c r="F101" s="93"/>
      <c r="G101" s="86"/>
      <c r="H101" s="86"/>
      <c r="I101" s="86"/>
      <c r="J101" s="86" t="s">
        <v>306</v>
      </c>
      <c r="K101" s="93"/>
      <c r="L101" s="86"/>
      <c r="M101" s="86" t="s">
        <v>311</v>
      </c>
      <c r="N101" s="87" t="s">
        <v>302</v>
      </c>
      <c r="O101" s="94"/>
      <c r="P101" s="87"/>
      <c r="Q101" s="87"/>
      <c r="R101" s="87"/>
      <c r="S101" s="87"/>
      <c r="T101" s="87"/>
      <c r="U101" s="87"/>
      <c r="V101" s="87"/>
      <c r="W101" s="87"/>
      <c r="X101" s="177"/>
      <c r="Y101" s="87"/>
      <c r="Z101" s="88" t="s">
        <v>307</v>
      </c>
      <c r="AA101" s="88" t="s">
        <v>307</v>
      </c>
      <c r="AB101" s="88"/>
      <c r="AC101" s="88"/>
      <c r="AD101" s="89"/>
      <c r="AE101" s="89"/>
      <c r="AF101" s="85"/>
    </row>
    <row r="102" spans="1:32" s="132" customFormat="1" x14ac:dyDescent="0.35">
      <c r="A102" s="85">
        <v>544</v>
      </c>
      <c r="B102" s="90" t="s">
        <v>239</v>
      </c>
      <c r="C102" s="86" t="s">
        <v>301</v>
      </c>
      <c r="D102" s="91"/>
      <c r="E102" s="86"/>
      <c r="F102" s="91"/>
      <c r="G102" s="86"/>
      <c r="H102" s="86"/>
      <c r="I102" s="86"/>
      <c r="J102" s="86" t="s">
        <v>306</v>
      </c>
      <c r="K102" s="91"/>
      <c r="L102" s="86"/>
      <c r="M102" s="86"/>
      <c r="N102" s="87" t="s">
        <v>302</v>
      </c>
      <c r="O102" s="94"/>
      <c r="P102" s="87"/>
      <c r="Q102" s="87"/>
      <c r="R102" s="87"/>
      <c r="S102" s="87"/>
      <c r="T102" s="87"/>
      <c r="U102" s="87"/>
      <c r="V102" s="87"/>
      <c r="W102" s="87"/>
      <c r="X102" s="177"/>
      <c r="Y102" s="87"/>
      <c r="Z102" s="88" t="s">
        <v>304</v>
      </c>
      <c r="AA102" s="88" t="s">
        <v>304</v>
      </c>
      <c r="AB102" s="88"/>
      <c r="AC102" s="88"/>
      <c r="AD102" s="89" t="s">
        <v>302</v>
      </c>
      <c r="AE102" s="89" t="s">
        <v>302</v>
      </c>
      <c r="AF102" s="85"/>
    </row>
    <row r="103" spans="1:32" s="132" customFormat="1" x14ac:dyDescent="0.35">
      <c r="A103" s="85">
        <v>546</v>
      </c>
      <c r="B103" s="90" t="s">
        <v>144</v>
      </c>
      <c r="C103" s="86" t="s">
        <v>301</v>
      </c>
      <c r="D103" s="91" t="s">
        <v>306</v>
      </c>
      <c r="E103" s="86"/>
      <c r="F103" s="91"/>
      <c r="G103" s="86"/>
      <c r="H103" s="86"/>
      <c r="I103" s="86"/>
      <c r="J103" s="86" t="s">
        <v>306</v>
      </c>
      <c r="K103" s="91" t="s">
        <v>310</v>
      </c>
      <c r="L103" s="86"/>
      <c r="M103" s="86"/>
      <c r="N103" s="87" t="s">
        <v>302</v>
      </c>
      <c r="O103" s="94"/>
      <c r="P103" s="87"/>
      <c r="Q103" s="87"/>
      <c r="R103" s="87"/>
      <c r="S103" s="87"/>
      <c r="T103" s="87"/>
      <c r="U103" s="87"/>
      <c r="V103" s="87"/>
      <c r="W103" s="87"/>
      <c r="X103" s="177"/>
      <c r="Y103" s="87"/>
      <c r="Z103" s="88" t="s">
        <v>307</v>
      </c>
      <c r="AA103" s="88" t="s">
        <v>307</v>
      </c>
      <c r="AB103" s="88"/>
      <c r="AC103" s="88"/>
      <c r="AD103" s="89"/>
      <c r="AE103" s="89"/>
      <c r="AF103" s="85"/>
    </row>
    <row r="104" spans="1:32" s="132" customFormat="1" x14ac:dyDescent="0.35">
      <c r="A104" s="85">
        <v>548</v>
      </c>
      <c r="B104" s="90" t="s">
        <v>241</v>
      </c>
      <c r="C104" s="86" t="s">
        <v>301</v>
      </c>
      <c r="D104" s="93"/>
      <c r="E104" s="86"/>
      <c r="F104" s="93"/>
      <c r="G104" s="86"/>
      <c r="H104" s="86"/>
      <c r="I104" s="86"/>
      <c r="J104" s="86" t="s">
        <v>306</v>
      </c>
      <c r="K104" s="93"/>
      <c r="L104" s="86"/>
      <c r="M104" s="86"/>
      <c r="N104" s="87" t="s">
        <v>302</v>
      </c>
      <c r="O104" s="94"/>
      <c r="P104" s="87"/>
      <c r="Q104" s="87"/>
      <c r="R104" s="87"/>
      <c r="S104" s="87"/>
      <c r="T104" s="87"/>
      <c r="U104" s="87"/>
      <c r="V104" s="87"/>
      <c r="W104" s="87"/>
      <c r="X104" s="177"/>
      <c r="Y104" s="87"/>
      <c r="Z104" s="88" t="s">
        <v>304</v>
      </c>
      <c r="AA104" s="88" t="s">
        <v>304</v>
      </c>
      <c r="AB104" s="88"/>
      <c r="AC104" s="88"/>
      <c r="AD104" s="89"/>
      <c r="AE104" s="89"/>
      <c r="AF104" s="106"/>
    </row>
    <row r="105" spans="1:32" s="132" customFormat="1" x14ac:dyDescent="0.35">
      <c r="A105" s="85">
        <v>549</v>
      </c>
      <c r="B105" s="133" t="s">
        <v>146</v>
      </c>
      <c r="C105" s="86"/>
      <c r="D105" s="91"/>
      <c r="E105" s="86"/>
      <c r="F105" s="91"/>
      <c r="G105" s="86"/>
      <c r="H105" s="86"/>
      <c r="I105" s="86"/>
      <c r="J105" s="86"/>
      <c r="K105" s="91"/>
      <c r="L105" s="86"/>
      <c r="M105" s="86"/>
      <c r="N105" s="87"/>
      <c r="O105" s="94"/>
      <c r="P105" s="87"/>
      <c r="Q105" s="87"/>
      <c r="R105" s="87"/>
      <c r="S105" s="87"/>
      <c r="T105" s="87"/>
      <c r="U105" s="87"/>
      <c r="V105" s="87"/>
      <c r="W105" s="87"/>
      <c r="X105" s="177"/>
      <c r="Y105" s="87"/>
      <c r="Z105" s="88"/>
      <c r="AA105" s="88"/>
      <c r="AB105" s="88"/>
      <c r="AC105" s="88"/>
      <c r="AD105" s="89" t="s">
        <v>302</v>
      </c>
      <c r="AE105" s="89" t="s">
        <v>302</v>
      </c>
      <c r="AF105" s="106"/>
    </row>
    <row r="106" spans="1:32" s="132" customFormat="1" x14ac:dyDescent="0.35">
      <c r="A106" s="85">
        <v>555</v>
      </c>
      <c r="B106" s="133" t="s">
        <v>147</v>
      </c>
      <c r="C106" s="86"/>
      <c r="D106" s="91"/>
      <c r="E106" s="86"/>
      <c r="F106" s="91"/>
      <c r="G106" s="86"/>
      <c r="H106" s="86"/>
      <c r="I106" s="86"/>
      <c r="J106" s="86"/>
      <c r="K106" s="91"/>
      <c r="L106" s="86"/>
      <c r="M106" s="86"/>
      <c r="N106" s="87"/>
      <c r="O106" s="94"/>
      <c r="P106" s="87"/>
      <c r="Q106" s="87"/>
      <c r="R106" s="87"/>
      <c r="S106" s="87"/>
      <c r="T106" s="87"/>
      <c r="U106" s="87"/>
      <c r="V106" s="87"/>
      <c r="W106" s="87"/>
      <c r="X106" s="177"/>
      <c r="Y106" s="87"/>
      <c r="Z106" s="88"/>
      <c r="AA106" s="88"/>
      <c r="AB106" s="88"/>
      <c r="AC106" s="88"/>
      <c r="AD106" s="89" t="s">
        <v>302</v>
      </c>
      <c r="AE106" s="89" t="s">
        <v>302</v>
      </c>
      <c r="AF106" s="106"/>
    </row>
    <row r="107" spans="1:32" s="17" customFormat="1" x14ac:dyDescent="0.35">
      <c r="A107" s="85">
        <v>560</v>
      </c>
      <c r="B107" s="133" t="s">
        <v>148</v>
      </c>
      <c r="C107" s="86"/>
      <c r="D107" s="91"/>
      <c r="E107" s="86"/>
      <c r="F107" s="91"/>
      <c r="G107" s="86"/>
      <c r="H107" s="86"/>
      <c r="I107" s="86"/>
      <c r="J107" s="86"/>
      <c r="K107" s="91"/>
      <c r="L107" s="86"/>
      <c r="M107" s="86"/>
      <c r="N107" s="87"/>
      <c r="O107" s="94"/>
      <c r="P107" s="87"/>
      <c r="Q107" s="87"/>
      <c r="R107" s="87"/>
      <c r="S107" s="87"/>
      <c r="T107" s="87"/>
      <c r="U107" s="87"/>
      <c r="V107" s="87"/>
      <c r="W107" s="87"/>
      <c r="X107" s="177"/>
      <c r="Y107" s="87"/>
      <c r="Z107" s="88"/>
      <c r="AA107" s="88"/>
      <c r="AB107" s="88"/>
      <c r="AC107" s="88"/>
      <c r="AD107" s="89" t="s">
        <v>302</v>
      </c>
      <c r="AE107" s="89" t="s">
        <v>302</v>
      </c>
      <c r="AF107" s="106"/>
    </row>
    <row r="108" spans="1:32" s="17" customFormat="1" x14ac:dyDescent="0.35">
      <c r="A108" s="85">
        <v>562</v>
      </c>
      <c r="B108" s="133" t="s">
        <v>342</v>
      </c>
      <c r="C108" s="86" t="s">
        <v>307</v>
      </c>
      <c r="D108" s="91"/>
      <c r="E108" s="86"/>
      <c r="F108" s="91"/>
      <c r="G108" s="86"/>
      <c r="H108" s="86"/>
      <c r="I108" s="86"/>
      <c r="J108" s="86" t="s">
        <v>307</v>
      </c>
      <c r="K108" s="91"/>
      <c r="L108" s="86"/>
      <c r="M108" s="86"/>
      <c r="N108" s="87" t="s">
        <v>307</v>
      </c>
      <c r="O108" s="87" t="s">
        <v>310</v>
      </c>
      <c r="P108" s="87" t="s">
        <v>310</v>
      </c>
      <c r="Q108" s="87"/>
      <c r="R108" s="87" t="s">
        <v>310</v>
      </c>
      <c r="S108" s="87"/>
      <c r="T108" s="87"/>
      <c r="U108" s="87"/>
      <c r="V108" s="87"/>
      <c r="W108" s="87" t="s">
        <v>307</v>
      </c>
      <c r="X108" s="177"/>
      <c r="Y108" s="87"/>
      <c r="Z108" s="88" t="s">
        <v>304</v>
      </c>
      <c r="AA108" s="88" t="s">
        <v>304</v>
      </c>
      <c r="AB108" s="88"/>
      <c r="AC108" s="88"/>
      <c r="AD108" s="89" t="s">
        <v>302</v>
      </c>
      <c r="AE108" s="89" t="s">
        <v>302</v>
      </c>
      <c r="AF108" s="106"/>
    </row>
    <row r="109" spans="1:32" s="17" customFormat="1" x14ac:dyDescent="0.35">
      <c r="A109" s="85">
        <v>562</v>
      </c>
      <c r="B109" s="90" t="s">
        <v>149</v>
      </c>
      <c r="C109" s="86"/>
      <c r="D109" s="91"/>
      <c r="E109" s="86"/>
      <c r="F109" s="91"/>
      <c r="G109" s="86"/>
      <c r="H109" s="86"/>
      <c r="I109" s="86"/>
      <c r="J109" s="86"/>
      <c r="K109" s="91"/>
      <c r="L109" s="86"/>
      <c r="M109" s="86"/>
      <c r="N109" s="87" t="s">
        <v>302</v>
      </c>
      <c r="O109" s="94"/>
      <c r="P109" s="87"/>
      <c r="Q109" s="87"/>
      <c r="R109" s="87"/>
      <c r="S109" s="87"/>
      <c r="T109" s="87"/>
      <c r="U109" s="87"/>
      <c r="V109" s="87"/>
      <c r="W109" s="87"/>
      <c r="X109" s="177"/>
      <c r="Y109" s="87"/>
      <c r="Z109" s="88" t="s">
        <v>304</v>
      </c>
      <c r="AA109" s="88" t="s">
        <v>304</v>
      </c>
      <c r="AB109" s="88"/>
      <c r="AC109" s="88"/>
      <c r="AD109" s="89"/>
      <c r="AE109" s="89"/>
      <c r="AF109" s="85"/>
    </row>
    <row r="110" spans="1:32" s="17" customFormat="1" x14ac:dyDescent="0.35">
      <c r="A110" s="85">
        <v>564</v>
      </c>
      <c r="B110" s="133" t="s">
        <v>150</v>
      </c>
      <c r="C110" s="86" t="s">
        <v>301</v>
      </c>
      <c r="D110" s="93"/>
      <c r="E110" s="86" t="s">
        <v>301</v>
      </c>
      <c r="F110" s="93"/>
      <c r="G110" s="86"/>
      <c r="H110" s="86"/>
      <c r="I110" s="86"/>
      <c r="J110" s="86" t="s">
        <v>306</v>
      </c>
      <c r="K110" s="93"/>
      <c r="L110" s="86"/>
      <c r="M110" s="86" t="s">
        <v>311</v>
      </c>
      <c r="N110" s="87" t="s">
        <v>302</v>
      </c>
      <c r="O110" s="94"/>
      <c r="P110" s="87"/>
      <c r="Q110" s="87"/>
      <c r="R110" s="87"/>
      <c r="S110" s="87"/>
      <c r="T110" s="87"/>
      <c r="U110" s="87"/>
      <c r="V110" s="87"/>
      <c r="W110" s="87"/>
      <c r="X110" s="177"/>
      <c r="Y110" s="87"/>
      <c r="Z110" s="88" t="s">
        <v>307</v>
      </c>
      <c r="AA110" s="88" t="s">
        <v>307</v>
      </c>
      <c r="AB110" s="88"/>
      <c r="AC110" s="88"/>
      <c r="AD110" s="89"/>
      <c r="AE110" s="89"/>
      <c r="AF110" s="85"/>
    </row>
    <row r="111" spans="1:32" s="17" customFormat="1" ht="25.8" x14ac:dyDescent="0.35">
      <c r="A111" s="85">
        <v>568</v>
      </c>
      <c r="B111" s="133" t="s">
        <v>151</v>
      </c>
      <c r="C111" s="86"/>
      <c r="D111" s="91"/>
      <c r="E111" s="86"/>
      <c r="F111" s="91"/>
      <c r="G111" s="86"/>
      <c r="H111" s="86"/>
      <c r="I111" s="86"/>
      <c r="J111" s="86"/>
      <c r="K111" s="91"/>
      <c r="L111" s="86"/>
      <c r="M111" s="86"/>
      <c r="N111" s="87" t="s">
        <v>302</v>
      </c>
      <c r="O111" s="94"/>
      <c r="P111" s="87"/>
      <c r="Q111" s="87"/>
      <c r="R111" s="87"/>
      <c r="S111" s="87"/>
      <c r="T111" s="87"/>
      <c r="U111" s="87"/>
      <c r="V111" s="87"/>
      <c r="W111" s="87"/>
      <c r="X111" s="177"/>
      <c r="Y111" s="87"/>
      <c r="Z111" s="88"/>
      <c r="AA111" s="88"/>
      <c r="AB111" s="88"/>
      <c r="AC111" s="88"/>
      <c r="AD111" s="89" t="s">
        <v>302</v>
      </c>
      <c r="AE111" s="89" t="s">
        <v>302</v>
      </c>
      <c r="AF111" s="85"/>
    </row>
    <row r="112" spans="1:32" s="17" customFormat="1" x14ac:dyDescent="0.35">
      <c r="A112" s="85">
        <v>568</v>
      </c>
      <c r="B112" s="90" t="s">
        <v>343</v>
      </c>
      <c r="C112" s="86"/>
      <c r="D112" s="91"/>
      <c r="E112" s="86"/>
      <c r="F112" s="91"/>
      <c r="G112" s="86"/>
      <c r="H112" s="86"/>
      <c r="I112" s="86"/>
      <c r="J112" s="86"/>
      <c r="K112" s="91"/>
      <c r="L112" s="86"/>
      <c r="M112" s="86"/>
      <c r="N112" s="94"/>
      <c r="O112" s="94"/>
      <c r="P112" s="87"/>
      <c r="Q112" s="87"/>
      <c r="R112" s="87"/>
      <c r="S112" s="87"/>
      <c r="T112" s="87"/>
      <c r="U112" s="87"/>
      <c r="V112" s="87"/>
      <c r="W112" s="87"/>
      <c r="X112" s="177"/>
      <c r="Y112" s="87"/>
      <c r="Z112" s="88" t="s">
        <v>304</v>
      </c>
      <c r="AA112" s="88" t="s">
        <v>304</v>
      </c>
      <c r="AB112" s="88"/>
      <c r="AC112" s="88"/>
      <c r="AD112" s="89" t="s">
        <v>302</v>
      </c>
      <c r="AE112" s="89" t="s">
        <v>302</v>
      </c>
      <c r="AF112" s="85"/>
    </row>
    <row r="113" spans="1:32" s="17" customFormat="1" x14ac:dyDescent="0.35">
      <c r="A113" s="85">
        <v>568</v>
      </c>
      <c r="B113" s="90" t="s">
        <v>153</v>
      </c>
      <c r="C113" s="86"/>
      <c r="D113" s="91"/>
      <c r="E113" s="86"/>
      <c r="F113" s="91"/>
      <c r="G113" s="86"/>
      <c r="H113" s="86"/>
      <c r="I113" s="86"/>
      <c r="J113" s="86"/>
      <c r="K113" s="91"/>
      <c r="L113" s="86"/>
      <c r="M113" s="86"/>
      <c r="N113" s="87" t="s">
        <v>302</v>
      </c>
      <c r="O113" s="94"/>
      <c r="P113" s="87"/>
      <c r="Q113" s="87"/>
      <c r="R113" s="87"/>
      <c r="S113" s="87"/>
      <c r="T113" s="87"/>
      <c r="U113" s="87"/>
      <c r="V113" s="87"/>
      <c r="W113" s="87"/>
      <c r="X113" s="177"/>
      <c r="Y113" s="87"/>
      <c r="Z113" s="88" t="s">
        <v>304</v>
      </c>
      <c r="AA113" s="88" t="s">
        <v>304</v>
      </c>
      <c r="AB113" s="88"/>
      <c r="AC113" s="88"/>
      <c r="AD113" s="89" t="s">
        <v>302</v>
      </c>
      <c r="AE113" s="89" t="s">
        <v>302</v>
      </c>
      <c r="AF113" s="85"/>
    </row>
    <row r="114" spans="1:32" s="17" customFormat="1" x14ac:dyDescent="0.35">
      <c r="A114" s="104">
        <v>574</v>
      </c>
      <c r="B114" s="106" t="s">
        <v>154</v>
      </c>
      <c r="C114" s="86"/>
      <c r="D114" s="91"/>
      <c r="E114" s="86"/>
      <c r="F114" s="91"/>
      <c r="G114" s="86"/>
      <c r="H114" s="86"/>
      <c r="I114" s="86"/>
      <c r="J114" s="86"/>
      <c r="K114" s="91"/>
      <c r="L114" s="86"/>
      <c r="M114" s="86"/>
      <c r="N114" s="87"/>
      <c r="O114" s="94"/>
      <c r="P114" s="87"/>
      <c r="Q114" s="87"/>
      <c r="R114" s="87"/>
      <c r="S114" s="87"/>
      <c r="T114" s="87"/>
      <c r="U114" s="87"/>
      <c r="V114" s="87"/>
      <c r="W114" s="87"/>
      <c r="X114" s="177"/>
      <c r="Y114" s="87"/>
      <c r="Z114" s="88" t="s">
        <v>307</v>
      </c>
      <c r="AA114" s="88" t="s">
        <v>307</v>
      </c>
      <c r="AB114" s="88"/>
      <c r="AC114" s="88"/>
      <c r="AD114" s="89" t="s">
        <v>302</v>
      </c>
      <c r="AE114" s="89" t="s">
        <v>302</v>
      </c>
      <c r="AF114" s="85"/>
    </row>
    <row r="115" spans="1:32" s="17" customFormat="1" x14ac:dyDescent="0.35">
      <c r="A115" s="104">
        <v>580</v>
      </c>
      <c r="B115" s="106" t="s">
        <v>155</v>
      </c>
      <c r="C115" s="86" t="s">
        <v>301</v>
      </c>
      <c r="D115" s="93"/>
      <c r="E115" s="86"/>
      <c r="F115" s="93"/>
      <c r="G115" s="86"/>
      <c r="H115" s="86"/>
      <c r="I115" s="86"/>
      <c r="J115" s="86" t="s">
        <v>306</v>
      </c>
      <c r="K115" s="93"/>
      <c r="L115" s="86"/>
      <c r="M115" s="86"/>
      <c r="N115" s="87" t="s">
        <v>302</v>
      </c>
      <c r="O115" s="94"/>
      <c r="P115" s="87"/>
      <c r="Q115" s="87"/>
      <c r="R115" s="87"/>
      <c r="S115" s="87"/>
      <c r="T115" s="87"/>
      <c r="U115" s="87"/>
      <c r="V115" s="87"/>
      <c r="W115" s="87"/>
      <c r="X115" s="177"/>
      <c r="Y115" s="87"/>
      <c r="Z115" s="88" t="s">
        <v>307</v>
      </c>
      <c r="AA115" s="88" t="s">
        <v>307</v>
      </c>
      <c r="AB115" s="88"/>
      <c r="AC115" s="88"/>
      <c r="AD115" s="89"/>
      <c r="AE115" s="89"/>
      <c r="AF115" s="85"/>
    </row>
    <row r="116" spans="1:32" s="17" customFormat="1" x14ac:dyDescent="0.35">
      <c r="A116" s="104">
        <v>585</v>
      </c>
      <c r="B116" s="106" t="s">
        <v>156</v>
      </c>
      <c r="C116" s="86" t="s">
        <v>301</v>
      </c>
      <c r="D116" s="93"/>
      <c r="E116" s="86" t="s">
        <v>301</v>
      </c>
      <c r="F116" s="93"/>
      <c r="G116" s="86"/>
      <c r="H116" s="86"/>
      <c r="I116" s="86"/>
      <c r="J116" s="86" t="s">
        <v>306</v>
      </c>
      <c r="K116" s="93"/>
      <c r="L116" s="86"/>
      <c r="M116" s="86" t="s">
        <v>311</v>
      </c>
      <c r="N116" s="87" t="s">
        <v>302</v>
      </c>
      <c r="O116" s="94"/>
      <c r="P116" s="87"/>
      <c r="Q116" s="87"/>
      <c r="R116" s="87"/>
      <c r="S116" s="87"/>
      <c r="T116" s="87"/>
      <c r="U116" s="87"/>
      <c r="V116" s="87"/>
      <c r="W116" s="87"/>
      <c r="X116" s="177"/>
      <c r="Y116" s="87"/>
      <c r="Z116" s="88" t="s">
        <v>307</v>
      </c>
      <c r="AA116" s="88" t="s">
        <v>307</v>
      </c>
      <c r="AB116" s="88"/>
      <c r="AC116" s="88"/>
      <c r="AD116" s="89"/>
      <c r="AE116" s="89"/>
      <c r="AF116" s="85"/>
    </row>
    <row r="117" spans="1:32" s="17" customFormat="1" x14ac:dyDescent="0.35">
      <c r="A117" s="104">
        <v>604</v>
      </c>
      <c r="B117" s="106" t="s">
        <v>157</v>
      </c>
      <c r="C117" s="86"/>
      <c r="D117" s="91"/>
      <c r="E117" s="86"/>
      <c r="F117" s="91"/>
      <c r="G117" s="86"/>
      <c r="H117" s="86"/>
      <c r="I117" s="86"/>
      <c r="J117" s="86"/>
      <c r="K117" s="91"/>
      <c r="L117" s="86"/>
      <c r="M117" s="86"/>
      <c r="N117" s="87"/>
      <c r="O117" s="94"/>
      <c r="P117" s="87"/>
      <c r="Q117" s="87"/>
      <c r="R117" s="87"/>
      <c r="S117" s="87"/>
      <c r="T117" s="87"/>
      <c r="U117" s="87"/>
      <c r="V117" s="87"/>
      <c r="W117" s="87"/>
      <c r="X117" s="177"/>
      <c r="Y117" s="87"/>
      <c r="Z117" s="88" t="s">
        <v>307</v>
      </c>
      <c r="AA117" s="88" t="s">
        <v>307</v>
      </c>
      <c r="AB117" s="88"/>
      <c r="AC117" s="88"/>
      <c r="AD117" s="89"/>
      <c r="AE117" s="89"/>
      <c r="AF117" s="85"/>
    </row>
    <row r="118" spans="1:32" s="17" customFormat="1" x14ac:dyDescent="0.35">
      <c r="A118" s="85">
        <v>606</v>
      </c>
      <c r="B118" s="90" t="s">
        <v>79</v>
      </c>
      <c r="C118" s="86" t="s">
        <v>301</v>
      </c>
      <c r="D118" s="93"/>
      <c r="E118" s="86" t="s">
        <v>301</v>
      </c>
      <c r="F118" s="93"/>
      <c r="G118" s="86"/>
      <c r="H118" s="86"/>
      <c r="I118" s="86"/>
      <c r="J118" s="86" t="s">
        <v>306</v>
      </c>
      <c r="K118" s="93"/>
      <c r="L118" s="86"/>
      <c r="M118" s="86" t="s">
        <v>311</v>
      </c>
      <c r="N118" s="87" t="s">
        <v>302</v>
      </c>
      <c r="O118" s="94"/>
      <c r="P118" s="87"/>
      <c r="Q118" s="87"/>
      <c r="R118" s="87"/>
      <c r="S118" s="87"/>
      <c r="T118" s="87"/>
      <c r="U118" s="87"/>
      <c r="V118" s="87"/>
      <c r="W118" s="87"/>
      <c r="X118" s="177"/>
      <c r="Y118" s="87"/>
      <c r="Z118" s="88" t="s">
        <v>304</v>
      </c>
      <c r="AA118" s="88" t="s">
        <v>304</v>
      </c>
      <c r="AB118" s="88"/>
      <c r="AC118" s="88"/>
      <c r="AD118" s="89" t="s">
        <v>302</v>
      </c>
      <c r="AE118" s="89" t="s">
        <v>302</v>
      </c>
      <c r="AF118" s="85"/>
    </row>
    <row r="119" spans="1:32" s="113" customFormat="1" x14ac:dyDescent="0.35">
      <c r="A119" s="85">
        <v>606</v>
      </c>
      <c r="B119" s="90" t="s">
        <v>158</v>
      </c>
      <c r="C119" s="86" t="s">
        <v>301</v>
      </c>
      <c r="D119" s="93"/>
      <c r="E119" s="86" t="s">
        <v>301</v>
      </c>
      <c r="F119" s="93"/>
      <c r="G119" s="86"/>
      <c r="H119" s="86"/>
      <c r="I119" s="86"/>
      <c r="J119" s="86" t="s">
        <v>306</v>
      </c>
      <c r="K119" s="93"/>
      <c r="L119" s="86"/>
      <c r="M119" s="86" t="s">
        <v>311</v>
      </c>
      <c r="N119" s="87" t="s">
        <v>302</v>
      </c>
      <c r="O119" s="94"/>
      <c r="P119" s="87"/>
      <c r="Q119" s="87"/>
      <c r="R119" s="87"/>
      <c r="S119" s="87"/>
      <c r="T119" s="87"/>
      <c r="U119" s="87"/>
      <c r="V119" s="87"/>
      <c r="W119" s="87"/>
      <c r="X119" s="177"/>
      <c r="Y119" s="87"/>
      <c r="Z119" s="88"/>
      <c r="AA119" s="88"/>
      <c r="AB119" s="88"/>
      <c r="AC119" s="88"/>
      <c r="AD119" s="89"/>
      <c r="AE119" s="89"/>
      <c r="AF119" s="85"/>
    </row>
    <row r="120" spans="1:32" s="113" customFormat="1" x14ac:dyDescent="0.35">
      <c r="A120" s="107">
        <v>608</v>
      </c>
      <c r="B120" s="90" t="s">
        <v>159</v>
      </c>
      <c r="C120" s="108" t="s">
        <v>301</v>
      </c>
      <c r="D120" s="91"/>
      <c r="E120" s="108"/>
      <c r="F120" s="91"/>
      <c r="G120" s="108"/>
      <c r="H120" s="108"/>
      <c r="I120" s="108"/>
      <c r="J120" s="108" t="s">
        <v>306</v>
      </c>
      <c r="K120" s="108"/>
      <c r="L120" s="108"/>
      <c r="M120" s="108"/>
      <c r="N120" s="109" t="s">
        <v>302</v>
      </c>
      <c r="O120" s="110"/>
      <c r="P120" s="109"/>
      <c r="Q120" s="109"/>
      <c r="R120" s="109"/>
      <c r="S120" s="109"/>
      <c r="T120" s="109"/>
      <c r="U120" s="109"/>
      <c r="V120" s="109"/>
      <c r="W120" s="109" t="s">
        <v>307</v>
      </c>
      <c r="X120" s="179"/>
      <c r="Y120" s="109"/>
      <c r="Z120" s="111" t="s">
        <v>307</v>
      </c>
      <c r="AA120" s="111" t="s">
        <v>307</v>
      </c>
      <c r="AB120" s="111"/>
      <c r="AC120" s="111"/>
      <c r="AD120" s="112"/>
      <c r="AE120" s="112"/>
      <c r="AF120" s="107"/>
    </row>
    <row r="121" spans="1:32" s="17" customFormat="1" x14ac:dyDescent="0.35">
      <c r="A121" s="107">
        <v>609</v>
      </c>
      <c r="B121" s="90" t="s">
        <v>160</v>
      </c>
      <c r="C121" s="108" t="s">
        <v>301</v>
      </c>
      <c r="D121" s="91"/>
      <c r="E121" s="108"/>
      <c r="F121" s="91"/>
      <c r="G121" s="108"/>
      <c r="H121" s="108"/>
      <c r="I121" s="108"/>
      <c r="J121" s="108" t="s">
        <v>306</v>
      </c>
      <c r="K121" s="108"/>
      <c r="L121" s="108"/>
      <c r="M121" s="108"/>
      <c r="N121" s="109" t="s">
        <v>302</v>
      </c>
      <c r="O121" s="110"/>
      <c r="P121" s="109"/>
      <c r="Q121" s="109"/>
      <c r="R121" s="109"/>
      <c r="S121" s="109"/>
      <c r="T121" s="109"/>
      <c r="U121" s="109"/>
      <c r="V121" s="109"/>
      <c r="W121" s="109" t="s">
        <v>307</v>
      </c>
      <c r="X121" s="179"/>
      <c r="Y121" s="109"/>
      <c r="Z121" s="111" t="s">
        <v>307</v>
      </c>
      <c r="AA121" s="111" t="s">
        <v>307</v>
      </c>
      <c r="AB121" s="111"/>
      <c r="AC121" s="111"/>
      <c r="AD121" s="112"/>
      <c r="AE121" s="112"/>
      <c r="AF121" s="107"/>
    </row>
    <row r="122" spans="1:32" s="17" customFormat="1" x14ac:dyDescent="0.35">
      <c r="A122" s="107">
        <v>618</v>
      </c>
      <c r="B122" s="90" t="s">
        <v>161</v>
      </c>
      <c r="C122" s="86" t="s">
        <v>301</v>
      </c>
      <c r="D122" s="93"/>
      <c r="E122" s="86" t="s">
        <v>301</v>
      </c>
      <c r="F122" s="93"/>
      <c r="G122" s="86"/>
      <c r="H122" s="86"/>
      <c r="I122" s="86"/>
      <c r="J122" s="86" t="s">
        <v>306</v>
      </c>
      <c r="K122" s="93"/>
      <c r="L122" s="86"/>
      <c r="M122" s="86" t="s">
        <v>311</v>
      </c>
      <c r="N122" s="87" t="s">
        <v>302</v>
      </c>
      <c r="O122" s="94"/>
      <c r="P122" s="87"/>
      <c r="Q122" s="87"/>
      <c r="R122" s="87"/>
      <c r="S122" s="87"/>
      <c r="T122" s="87"/>
      <c r="U122" s="87"/>
      <c r="V122" s="87"/>
      <c r="W122" s="87"/>
      <c r="X122" s="177"/>
      <c r="Y122" s="87"/>
      <c r="Z122" s="88" t="s">
        <v>307</v>
      </c>
      <c r="AA122" s="88" t="s">
        <v>307</v>
      </c>
      <c r="AB122" s="88"/>
      <c r="AC122" s="88"/>
      <c r="AD122" s="89" t="s">
        <v>302</v>
      </c>
      <c r="AE122" s="89" t="s">
        <v>302</v>
      </c>
      <c r="AF122" s="85"/>
    </row>
    <row r="123" spans="1:32" s="17" customFormat="1" x14ac:dyDescent="0.35">
      <c r="A123" s="85">
        <v>618</v>
      </c>
      <c r="B123" s="90" t="s">
        <v>162</v>
      </c>
      <c r="C123" s="86" t="s">
        <v>301</v>
      </c>
      <c r="D123" s="86"/>
      <c r="E123" s="86" t="s">
        <v>301</v>
      </c>
      <c r="F123" s="86"/>
      <c r="G123" s="86"/>
      <c r="H123" s="86"/>
      <c r="I123" s="86"/>
      <c r="J123" s="86" t="s">
        <v>306</v>
      </c>
      <c r="K123" s="86"/>
      <c r="L123" s="86"/>
      <c r="M123" s="86" t="s">
        <v>311</v>
      </c>
      <c r="N123" s="87" t="s">
        <v>302</v>
      </c>
      <c r="O123" s="87" t="s">
        <v>310</v>
      </c>
      <c r="P123" s="87"/>
      <c r="Q123" s="87"/>
      <c r="R123" s="87"/>
      <c r="S123" s="87"/>
      <c r="T123" s="87"/>
      <c r="U123" s="87"/>
      <c r="V123" s="87"/>
      <c r="W123" s="87" t="s">
        <v>307</v>
      </c>
      <c r="X123" s="177"/>
      <c r="Y123" s="87"/>
      <c r="Z123" s="88" t="s">
        <v>307</v>
      </c>
      <c r="AA123" s="88" t="s">
        <v>307</v>
      </c>
      <c r="AB123" s="88"/>
      <c r="AC123" s="88"/>
      <c r="AD123" s="89"/>
      <c r="AE123" s="89"/>
      <c r="AF123" s="85"/>
    </row>
    <row r="124" spans="1:32" s="17" customFormat="1" x14ac:dyDescent="0.35">
      <c r="A124" s="85">
        <v>618</v>
      </c>
      <c r="B124" s="90" t="s">
        <v>344</v>
      </c>
      <c r="C124" s="86" t="s">
        <v>301</v>
      </c>
      <c r="D124" s="86"/>
      <c r="E124" s="86"/>
      <c r="F124" s="86"/>
      <c r="G124" s="86"/>
      <c r="H124" s="86"/>
      <c r="I124" s="86"/>
      <c r="J124" s="86" t="s">
        <v>306</v>
      </c>
      <c r="K124" s="86"/>
      <c r="L124" s="86"/>
      <c r="M124" s="86"/>
      <c r="N124" s="87" t="s">
        <v>302</v>
      </c>
      <c r="O124" s="87" t="s">
        <v>310</v>
      </c>
      <c r="P124" s="87"/>
      <c r="Q124" s="87"/>
      <c r="R124" s="87"/>
      <c r="S124" s="87"/>
      <c r="T124" s="87"/>
      <c r="U124" s="87"/>
      <c r="V124" s="87"/>
      <c r="W124" s="87" t="s">
        <v>307</v>
      </c>
      <c r="X124" s="177"/>
      <c r="Y124" s="87"/>
      <c r="Z124" s="88" t="s">
        <v>307</v>
      </c>
      <c r="AA124" s="88" t="s">
        <v>307</v>
      </c>
      <c r="AB124" s="88"/>
      <c r="AC124" s="88"/>
      <c r="AD124" s="89"/>
      <c r="AE124" s="89"/>
      <c r="AF124" s="85"/>
    </row>
    <row r="125" spans="1:32" s="96" customFormat="1" x14ac:dyDescent="0.35">
      <c r="A125" s="85">
        <v>618</v>
      </c>
      <c r="B125" s="90" t="s">
        <v>164</v>
      </c>
      <c r="C125" s="86" t="s">
        <v>301</v>
      </c>
      <c r="D125" s="86"/>
      <c r="E125" s="86"/>
      <c r="F125" s="86"/>
      <c r="G125" s="86"/>
      <c r="H125" s="86" t="s">
        <v>261</v>
      </c>
      <c r="I125" s="86"/>
      <c r="J125" s="86" t="s">
        <v>306</v>
      </c>
      <c r="K125" s="86"/>
      <c r="L125" s="86"/>
      <c r="M125" s="86"/>
      <c r="N125" s="100"/>
      <c r="O125" s="99" t="s">
        <v>310</v>
      </c>
      <c r="P125" s="99"/>
      <c r="Q125" s="99"/>
      <c r="R125" s="99"/>
      <c r="S125" s="99"/>
      <c r="T125" s="99"/>
      <c r="U125" s="99"/>
      <c r="V125" s="99"/>
      <c r="W125" s="99"/>
      <c r="X125" s="178"/>
      <c r="Y125" s="99"/>
      <c r="Z125" s="88" t="s">
        <v>307</v>
      </c>
      <c r="AA125" s="88" t="s">
        <v>307</v>
      </c>
      <c r="AB125" s="88"/>
      <c r="AC125" s="88"/>
      <c r="AD125" s="89"/>
      <c r="AE125" s="89"/>
      <c r="AF125" s="85"/>
    </row>
    <row r="126" spans="1:32" s="17" customFormat="1" x14ac:dyDescent="0.35">
      <c r="A126" s="85">
        <v>619</v>
      </c>
      <c r="B126" s="90" t="s">
        <v>345</v>
      </c>
      <c r="C126" s="86" t="s">
        <v>301</v>
      </c>
      <c r="D126" s="86"/>
      <c r="E126" s="86"/>
      <c r="F126" s="86"/>
      <c r="G126" s="86"/>
      <c r="H126" s="86"/>
      <c r="I126" s="86"/>
      <c r="J126" s="86" t="s">
        <v>306</v>
      </c>
      <c r="K126" s="86"/>
      <c r="L126" s="86"/>
      <c r="M126" s="86"/>
      <c r="N126" s="94"/>
      <c r="O126" s="87" t="s">
        <v>310</v>
      </c>
      <c r="P126" s="87"/>
      <c r="Q126" s="87"/>
      <c r="R126" s="87"/>
      <c r="S126" s="87"/>
      <c r="T126" s="87"/>
      <c r="U126" s="87"/>
      <c r="V126" s="87"/>
      <c r="W126" s="87"/>
      <c r="X126" s="177"/>
      <c r="Y126" s="87"/>
      <c r="Z126" s="88" t="s">
        <v>307</v>
      </c>
      <c r="AA126" s="88" t="s">
        <v>307</v>
      </c>
      <c r="AB126" s="88"/>
      <c r="AC126" s="88"/>
      <c r="AD126" s="89"/>
      <c r="AE126" s="89"/>
      <c r="AF126" s="85"/>
    </row>
    <row r="127" spans="1:32" s="17" customFormat="1" x14ac:dyDescent="0.35">
      <c r="A127" s="85">
        <v>621</v>
      </c>
      <c r="B127" s="90" t="s">
        <v>166</v>
      </c>
      <c r="C127" s="86"/>
      <c r="D127" s="86"/>
      <c r="E127" s="86"/>
      <c r="F127" s="86"/>
      <c r="G127" s="92"/>
      <c r="H127" s="86"/>
      <c r="I127" s="86"/>
      <c r="J127" s="86"/>
      <c r="K127" s="86"/>
      <c r="L127" s="86"/>
      <c r="M127" s="86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177"/>
      <c r="Y127" s="87"/>
      <c r="Z127" s="88" t="s">
        <v>307</v>
      </c>
      <c r="AA127" s="88" t="s">
        <v>307</v>
      </c>
      <c r="AB127" s="88"/>
      <c r="AC127" s="88"/>
      <c r="AD127" s="89"/>
      <c r="AE127" s="89"/>
      <c r="AF127" s="85"/>
    </row>
    <row r="128" spans="1:32" s="17" customFormat="1" x14ac:dyDescent="0.35">
      <c r="A128" s="85">
        <v>622</v>
      </c>
      <c r="B128" s="90" t="s">
        <v>167</v>
      </c>
      <c r="C128" s="86" t="s">
        <v>301</v>
      </c>
      <c r="D128" s="93"/>
      <c r="E128" s="86"/>
      <c r="F128" s="93"/>
      <c r="G128" s="86"/>
      <c r="H128" s="86"/>
      <c r="I128" s="86"/>
      <c r="J128" s="86" t="s">
        <v>306</v>
      </c>
      <c r="K128" s="93"/>
      <c r="L128" s="86"/>
      <c r="M128" s="86"/>
      <c r="N128" s="87" t="s">
        <v>302</v>
      </c>
      <c r="O128" s="94"/>
      <c r="P128" s="87"/>
      <c r="Q128" s="87"/>
      <c r="R128" s="87"/>
      <c r="S128" s="87"/>
      <c r="T128" s="87"/>
      <c r="U128" s="87"/>
      <c r="V128" s="87"/>
      <c r="W128" s="87"/>
      <c r="X128" s="177"/>
      <c r="Y128" s="87"/>
      <c r="Z128" s="88" t="s">
        <v>307</v>
      </c>
      <c r="AA128" s="88" t="s">
        <v>307</v>
      </c>
      <c r="AB128" s="88"/>
      <c r="AC128" s="88"/>
      <c r="AD128" s="89"/>
      <c r="AE128" s="89"/>
      <c r="AF128" s="85"/>
    </row>
    <row r="129" spans="1:32" s="17" customFormat="1" x14ac:dyDescent="0.35">
      <c r="A129" s="126">
        <v>622</v>
      </c>
      <c r="B129" s="127" t="s">
        <v>168</v>
      </c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128"/>
      <c r="O129" s="129"/>
      <c r="P129" s="128"/>
      <c r="Q129" s="128"/>
      <c r="R129" s="128"/>
      <c r="S129" s="128"/>
      <c r="T129" s="128"/>
      <c r="U129" s="128"/>
      <c r="V129" s="128"/>
      <c r="W129" s="128"/>
      <c r="X129" s="181"/>
      <c r="Y129" s="128"/>
      <c r="Z129" s="130" t="s">
        <v>307</v>
      </c>
      <c r="AA129" s="130" t="s">
        <v>307</v>
      </c>
      <c r="AB129" s="130"/>
      <c r="AC129" s="130"/>
      <c r="AD129" s="131"/>
      <c r="AE129" s="131"/>
      <c r="AF129" s="126"/>
    </row>
    <row r="130" spans="1:32" s="17" customFormat="1" x14ac:dyDescent="0.35">
      <c r="A130" s="85">
        <v>623</v>
      </c>
      <c r="B130" s="106" t="s">
        <v>316</v>
      </c>
      <c r="C130" s="86" t="s">
        <v>307</v>
      </c>
      <c r="D130" s="93"/>
      <c r="E130" s="86" t="s">
        <v>307</v>
      </c>
      <c r="F130" s="93"/>
      <c r="G130" s="86" t="s">
        <v>307</v>
      </c>
      <c r="H130" s="86"/>
      <c r="I130" s="86"/>
      <c r="J130" s="86" t="s">
        <v>307</v>
      </c>
      <c r="K130" s="93"/>
      <c r="L130" s="86" t="s">
        <v>310</v>
      </c>
      <c r="M130" s="86" t="s">
        <v>306</v>
      </c>
      <c r="N130" s="87" t="s">
        <v>307</v>
      </c>
      <c r="O130" s="87" t="s">
        <v>306</v>
      </c>
      <c r="P130" s="87" t="s">
        <v>306</v>
      </c>
      <c r="Q130" s="87" t="s">
        <v>310</v>
      </c>
      <c r="R130" s="87" t="s">
        <v>310</v>
      </c>
      <c r="S130" s="87"/>
      <c r="T130" s="87"/>
      <c r="U130" s="87"/>
      <c r="V130" s="87"/>
      <c r="W130" s="87" t="s">
        <v>307</v>
      </c>
      <c r="X130" s="177"/>
      <c r="Y130" s="87"/>
      <c r="Z130" s="88" t="s">
        <v>304</v>
      </c>
      <c r="AA130" s="88" t="s">
        <v>304</v>
      </c>
      <c r="AB130" s="88"/>
      <c r="AC130" s="88"/>
      <c r="AD130" s="89" t="s">
        <v>302</v>
      </c>
      <c r="AE130" s="89" t="s">
        <v>302</v>
      </c>
      <c r="AF130" s="85"/>
    </row>
    <row r="131" spans="1:32" s="17" customFormat="1" x14ac:dyDescent="0.35">
      <c r="A131" s="85">
        <v>628</v>
      </c>
      <c r="B131" s="90" t="s">
        <v>169</v>
      </c>
      <c r="C131" s="86" t="s">
        <v>301</v>
      </c>
      <c r="D131" s="93"/>
      <c r="E131" s="86"/>
      <c r="F131" s="93"/>
      <c r="G131" s="86"/>
      <c r="H131" s="86"/>
      <c r="I131" s="86"/>
      <c r="J131" s="86" t="s">
        <v>306</v>
      </c>
      <c r="K131" s="93"/>
      <c r="L131" s="86"/>
      <c r="M131" s="86"/>
      <c r="N131" s="87" t="s">
        <v>302</v>
      </c>
      <c r="O131" s="94"/>
      <c r="P131" s="87"/>
      <c r="Q131" s="87"/>
      <c r="R131" s="87"/>
      <c r="S131" s="87"/>
      <c r="T131" s="87"/>
      <c r="U131" s="87"/>
      <c r="V131" s="87"/>
      <c r="W131" s="87"/>
      <c r="X131" s="177"/>
      <c r="Y131" s="87"/>
      <c r="Z131" s="88" t="s">
        <v>307</v>
      </c>
      <c r="AA131" s="88" t="s">
        <v>307</v>
      </c>
      <c r="AB131" s="88"/>
      <c r="AC131" s="88"/>
      <c r="AD131" s="89"/>
      <c r="AE131" s="89"/>
      <c r="AF131" s="85"/>
    </row>
    <row r="132" spans="1:32" s="17" customFormat="1" x14ac:dyDescent="0.35">
      <c r="A132" s="85">
        <v>630</v>
      </c>
      <c r="B132" s="90" t="s">
        <v>170</v>
      </c>
      <c r="C132" s="86" t="s">
        <v>301</v>
      </c>
      <c r="D132" s="86"/>
      <c r="E132" s="86" t="s">
        <v>301</v>
      </c>
      <c r="F132" s="86"/>
      <c r="G132" s="86"/>
      <c r="H132" s="86"/>
      <c r="I132" s="86"/>
      <c r="J132" s="86" t="s">
        <v>306</v>
      </c>
      <c r="K132" s="86"/>
      <c r="L132" s="86"/>
      <c r="M132" s="86" t="s">
        <v>311</v>
      </c>
      <c r="N132" s="87" t="s">
        <v>302</v>
      </c>
      <c r="O132" s="87"/>
      <c r="P132" s="87"/>
      <c r="Q132" s="87"/>
      <c r="R132" s="87"/>
      <c r="S132" s="87"/>
      <c r="T132" s="87"/>
      <c r="U132" s="87"/>
      <c r="V132" s="87"/>
      <c r="W132" s="87"/>
      <c r="X132" s="177"/>
      <c r="Y132" s="87"/>
      <c r="Z132" s="88" t="s">
        <v>304</v>
      </c>
      <c r="AA132" s="88" t="s">
        <v>304</v>
      </c>
      <c r="AB132" s="88"/>
      <c r="AC132" s="88"/>
      <c r="AD132" s="89"/>
      <c r="AE132" s="89"/>
      <c r="AF132" s="85"/>
    </row>
    <row r="133" spans="1:32" s="17" customFormat="1" x14ac:dyDescent="0.35">
      <c r="A133" s="85">
        <v>633</v>
      </c>
      <c r="B133" s="90" t="s">
        <v>170</v>
      </c>
      <c r="C133" s="86" t="s">
        <v>301</v>
      </c>
      <c r="D133" s="86"/>
      <c r="E133" s="86"/>
      <c r="F133" s="86"/>
      <c r="G133" s="86"/>
      <c r="H133" s="86"/>
      <c r="I133" s="86"/>
      <c r="J133" s="86" t="s">
        <v>306</v>
      </c>
      <c r="K133" s="86"/>
      <c r="L133" s="86"/>
      <c r="M133" s="86"/>
      <c r="N133" s="87" t="s">
        <v>302</v>
      </c>
      <c r="O133" s="87"/>
      <c r="P133" s="87"/>
      <c r="Q133" s="87"/>
      <c r="R133" s="87"/>
      <c r="S133" s="87"/>
      <c r="T133" s="87"/>
      <c r="U133" s="87"/>
      <c r="V133" s="87"/>
      <c r="W133" s="87"/>
      <c r="X133" s="177"/>
      <c r="Y133" s="87"/>
      <c r="Z133" s="88" t="s">
        <v>307</v>
      </c>
      <c r="AA133" s="88" t="s">
        <v>307</v>
      </c>
      <c r="AB133" s="88"/>
      <c r="AC133" s="88"/>
      <c r="AD133" s="89"/>
      <c r="AE133" s="89"/>
      <c r="AF133" s="85"/>
    </row>
    <row r="134" spans="1:32" s="17" customFormat="1" x14ac:dyDescent="0.35">
      <c r="A134" s="85">
        <v>639</v>
      </c>
      <c r="B134" s="90" t="s">
        <v>171</v>
      </c>
      <c r="C134" s="86" t="s">
        <v>301</v>
      </c>
      <c r="D134" s="86"/>
      <c r="E134" s="86"/>
      <c r="F134" s="86"/>
      <c r="G134" s="86"/>
      <c r="H134" s="86"/>
      <c r="I134" s="86"/>
      <c r="J134" s="86" t="s">
        <v>306</v>
      </c>
      <c r="K134" s="86"/>
      <c r="L134" s="86"/>
      <c r="M134" s="86"/>
      <c r="N134" s="87" t="s">
        <v>302</v>
      </c>
      <c r="O134" s="87"/>
      <c r="P134" s="87"/>
      <c r="Q134" s="87"/>
      <c r="R134" s="87"/>
      <c r="S134" s="87"/>
      <c r="T134" s="87"/>
      <c r="U134" s="87"/>
      <c r="V134" s="87"/>
      <c r="W134" s="87"/>
      <c r="X134" s="177"/>
      <c r="Y134" s="87"/>
      <c r="Z134" s="88" t="s">
        <v>304</v>
      </c>
      <c r="AA134" s="88" t="s">
        <v>304</v>
      </c>
      <c r="AB134" s="88"/>
      <c r="AC134" s="88"/>
      <c r="AD134" s="89"/>
      <c r="AE134" s="89"/>
      <c r="AF134" s="85"/>
    </row>
    <row r="135" spans="1:32" s="17" customFormat="1" x14ac:dyDescent="0.35">
      <c r="A135" s="85">
        <v>653</v>
      </c>
      <c r="B135" s="90" t="s">
        <v>172</v>
      </c>
      <c r="C135" s="86" t="s">
        <v>301</v>
      </c>
      <c r="D135" s="86"/>
      <c r="E135" s="86"/>
      <c r="F135" s="86"/>
      <c r="G135" s="86"/>
      <c r="H135" s="86"/>
      <c r="I135" s="86"/>
      <c r="J135" s="86" t="s">
        <v>306</v>
      </c>
      <c r="K135" s="86"/>
      <c r="L135" s="86"/>
      <c r="M135" s="86"/>
      <c r="N135" s="87" t="s">
        <v>302</v>
      </c>
      <c r="O135" s="87"/>
      <c r="P135" s="87"/>
      <c r="Q135" s="87"/>
      <c r="R135" s="87"/>
      <c r="S135" s="87"/>
      <c r="T135" s="87"/>
      <c r="U135" s="87"/>
      <c r="V135" s="87"/>
      <c r="W135" s="87"/>
      <c r="X135" s="177"/>
      <c r="Y135" s="87"/>
      <c r="Z135" s="88" t="s">
        <v>307</v>
      </c>
      <c r="AA135" s="88" t="s">
        <v>307</v>
      </c>
      <c r="AB135" s="88"/>
      <c r="AC135" s="88"/>
      <c r="AD135" s="89"/>
      <c r="AE135" s="89"/>
      <c r="AF135" s="85" t="s">
        <v>346</v>
      </c>
    </row>
    <row r="136" spans="1:32" s="17" customFormat="1" x14ac:dyDescent="0.35">
      <c r="A136" s="85">
        <v>724</v>
      </c>
      <c r="B136" s="90" t="s">
        <v>174</v>
      </c>
      <c r="C136" s="86" t="s">
        <v>301</v>
      </c>
      <c r="D136" s="86"/>
      <c r="E136" s="86"/>
      <c r="F136" s="86"/>
      <c r="G136" s="86"/>
      <c r="H136" s="86"/>
      <c r="I136" s="86"/>
      <c r="J136" s="86" t="s">
        <v>306</v>
      </c>
      <c r="K136" s="86"/>
      <c r="L136" s="86"/>
      <c r="M136" s="86"/>
      <c r="N136" s="87" t="s">
        <v>302</v>
      </c>
      <c r="O136" s="87"/>
      <c r="P136" s="87"/>
      <c r="Q136" s="87"/>
      <c r="R136" s="87"/>
      <c r="S136" s="87"/>
      <c r="T136" s="87"/>
      <c r="U136" s="87"/>
      <c r="V136" s="87"/>
      <c r="W136" s="87" t="s">
        <v>307</v>
      </c>
      <c r="X136" s="177"/>
      <c r="Y136" s="87"/>
      <c r="Z136" s="88" t="s">
        <v>307</v>
      </c>
      <c r="AA136" s="88" t="s">
        <v>307</v>
      </c>
      <c r="AB136" s="88"/>
      <c r="AC136" s="88"/>
      <c r="AD136" s="89"/>
      <c r="AE136" s="89"/>
      <c r="AF136" s="85"/>
    </row>
    <row r="137" spans="1:32" s="17" customFormat="1" x14ac:dyDescent="0.35">
      <c r="A137" s="85">
        <v>725</v>
      </c>
      <c r="B137" s="90" t="s">
        <v>175</v>
      </c>
      <c r="C137" s="86" t="s">
        <v>301</v>
      </c>
      <c r="D137" s="86"/>
      <c r="E137" s="86"/>
      <c r="F137" s="86"/>
      <c r="G137" s="86"/>
      <c r="H137" s="86"/>
      <c r="I137" s="86"/>
      <c r="J137" s="86" t="s">
        <v>306</v>
      </c>
      <c r="K137" s="86" t="s">
        <v>306</v>
      </c>
      <c r="L137" s="86"/>
      <c r="M137" s="86"/>
      <c r="N137" s="87" t="s">
        <v>302</v>
      </c>
      <c r="O137" s="87"/>
      <c r="P137" s="87"/>
      <c r="Q137" s="87"/>
      <c r="R137" s="87"/>
      <c r="S137" s="87"/>
      <c r="T137" s="87"/>
      <c r="U137" s="87"/>
      <c r="V137" s="87"/>
      <c r="W137" s="87" t="s">
        <v>307</v>
      </c>
      <c r="X137" s="177"/>
      <c r="Y137" s="87"/>
      <c r="Z137" s="88" t="s">
        <v>307</v>
      </c>
      <c r="AA137" s="88" t="s">
        <v>307</v>
      </c>
      <c r="AB137" s="88"/>
      <c r="AC137" s="88"/>
      <c r="AD137" s="89"/>
      <c r="AE137" s="89"/>
      <c r="AF137" s="85"/>
    </row>
    <row r="138" spans="1:32" s="17" customFormat="1" x14ac:dyDescent="0.35">
      <c r="A138" s="85">
        <v>742</v>
      </c>
      <c r="B138" s="90" t="s">
        <v>176</v>
      </c>
      <c r="C138" s="86"/>
      <c r="D138" s="86"/>
      <c r="E138" s="86" t="s">
        <v>301</v>
      </c>
      <c r="F138" s="86"/>
      <c r="G138" s="86"/>
      <c r="H138" s="86"/>
      <c r="I138" s="86"/>
      <c r="J138" s="86"/>
      <c r="K138" s="86"/>
      <c r="L138" s="86"/>
      <c r="M138" s="86" t="s">
        <v>311</v>
      </c>
      <c r="N138" s="87" t="s">
        <v>302</v>
      </c>
      <c r="O138" s="87"/>
      <c r="P138" s="87"/>
      <c r="Q138" s="87"/>
      <c r="R138" s="87"/>
      <c r="S138" s="87"/>
      <c r="T138" s="87"/>
      <c r="U138" s="87"/>
      <c r="V138" s="87"/>
      <c r="W138" s="87"/>
      <c r="X138" s="177"/>
      <c r="Y138" s="87"/>
      <c r="Z138" s="88" t="s">
        <v>304</v>
      </c>
      <c r="AA138" s="88" t="s">
        <v>304</v>
      </c>
      <c r="AB138" s="88"/>
      <c r="AC138" s="88"/>
      <c r="AD138" s="89" t="s">
        <v>302</v>
      </c>
      <c r="AE138" s="89" t="s">
        <v>302</v>
      </c>
      <c r="AF138" s="85"/>
    </row>
    <row r="139" spans="1:32" s="17" customFormat="1" x14ac:dyDescent="0.35">
      <c r="A139" s="85">
        <v>750</v>
      </c>
      <c r="B139" s="90" t="s">
        <v>177</v>
      </c>
      <c r="C139" s="86" t="s">
        <v>301</v>
      </c>
      <c r="D139" s="86"/>
      <c r="E139" s="86"/>
      <c r="F139" s="86"/>
      <c r="G139" s="86"/>
      <c r="H139" s="86"/>
      <c r="I139" s="86"/>
      <c r="J139" s="86" t="s">
        <v>306</v>
      </c>
      <c r="K139" s="86"/>
      <c r="L139" s="86"/>
      <c r="M139" s="86"/>
      <c r="N139" s="87" t="s">
        <v>302</v>
      </c>
      <c r="O139" s="87"/>
      <c r="P139" s="87"/>
      <c r="Q139" s="87"/>
      <c r="R139" s="87"/>
      <c r="S139" s="87"/>
      <c r="T139" s="87"/>
      <c r="U139" s="87"/>
      <c r="V139" s="87"/>
      <c r="W139" s="87"/>
      <c r="X139" s="177"/>
      <c r="Y139" s="87"/>
      <c r="Z139" s="88" t="s">
        <v>307</v>
      </c>
      <c r="AA139" s="88" t="s">
        <v>307</v>
      </c>
      <c r="AB139" s="88"/>
      <c r="AC139" s="88"/>
      <c r="AD139" s="89"/>
      <c r="AE139" s="89"/>
      <c r="AF139" s="85"/>
    </row>
    <row r="140" spans="1:32" s="17" customFormat="1" x14ac:dyDescent="0.35">
      <c r="A140" s="85">
        <v>752</v>
      </c>
      <c r="B140" s="90" t="s">
        <v>178</v>
      </c>
      <c r="C140" s="86" t="s">
        <v>301</v>
      </c>
      <c r="D140" s="86"/>
      <c r="E140" s="86"/>
      <c r="F140" s="86"/>
      <c r="G140" s="86"/>
      <c r="H140" s="86"/>
      <c r="I140" s="86"/>
      <c r="J140" s="86" t="s">
        <v>306</v>
      </c>
      <c r="K140" s="86" t="s">
        <v>306</v>
      </c>
      <c r="L140" s="86"/>
      <c r="M140" s="86"/>
      <c r="N140" s="87" t="s">
        <v>302</v>
      </c>
      <c r="O140" s="87"/>
      <c r="P140" s="87"/>
      <c r="Q140" s="87"/>
      <c r="R140" s="87"/>
      <c r="S140" s="87"/>
      <c r="T140" s="87"/>
      <c r="U140" s="87"/>
      <c r="V140" s="87"/>
      <c r="W140" s="87" t="s">
        <v>307</v>
      </c>
      <c r="X140" s="177"/>
      <c r="Y140" s="87"/>
      <c r="Z140" s="88" t="s">
        <v>307</v>
      </c>
      <c r="AA140" s="88" t="s">
        <v>307</v>
      </c>
      <c r="AB140" s="88"/>
      <c r="AC140" s="88"/>
      <c r="AD140" s="89"/>
      <c r="AE140" s="89"/>
      <c r="AF140" s="85"/>
    </row>
    <row r="141" spans="1:32" s="17" customFormat="1" x14ac:dyDescent="0.35">
      <c r="A141" s="85">
        <v>829</v>
      </c>
      <c r="B141" s="90" t="s">
        <v>347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177"/>
      <c r="Y141" s="87"/>
      <c r="Z141" s="88" t="s">
        <v>307</v>
      </c>
      <c r="AA141" s="88" t="s">
        <v>307</v>
      </c>
      <c r="AB141" s="88"/>
      <c r="AC141" s="88"/>
      <c r="AD141" s="89"/>
      <c r="AE141" s="89"/>
      <c r="AF141" s="85"/>
    </row>
    <row r="142" spans="1:32" s="36" customFormat="1" x14ac:dyDescent="0.35">
      <c r="A142" s="206" t="s">
        <v>348</v>
      </c>
      <c r="B142" s="207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10"/>
    </row>
    <row r="143" spans="1:32" s="96" customFormat="1" x14ac:dyDescent="0.35">
      <c r="A143" s="85">
        <v>436</v>
      </c>
      <c r="B143" s="90" t="s">
        <v>183</v>
      </c>
      <c r="C143" s="86" t="s">
        <v>349</v>
      </c>
      <c r="D143" s="86"/>
      <c r="E143" s="86"/>
      <c r="F143" s="86"/>
      <c r="G143" s="86"/>
      <c r="H143" s="86"/>
      <c r="I143" s="86"/>
      <c r="J143" s="86" t="s">
        <v>349</v>
      </c>
      <c r="K143" s="86"/>
      <c r="L143" s="86"/>
      <c r="M143" s="86"/>
      <c r="N143" s="87" t="s">
        <v>349</v>
      </c>
      <c r="O143" s="87" t="s">
        <v>302</v>
      </c>
      <c r="P143" s="87" t="s">
        <v>350</v>
      </c>
      <c r="Q143" s="87" t="s">
        <v>306</v>
      </c>
      <c r="R143" s="87" t="s">
        <v>306</v>
      </c>
      <c r="S143" s="87" t="s">
        <v>306</v>
      </c>
      <c r="T143" s="87"/>
      <c r="U143" s="87"/>
      <c r="V143" s="87"/>
      <c r="W143" s="87" t="s">
        <v>304</v>
      </c>
      <c r="X143" s="177"/>
      <c r="Y143" s="87"/>
      <c r="Z143" s="88" t="s">
        <v>351</v>
      </c>
      <c r="AA143" s="88" t="s">
        <v>351</v>
      </c>
      <c r="AB143" s="88"/>
      <c r="AC143" s="88"/>
      <c r="AD143" s="89" t="s">
        <v>349</v>
      </c>
      <c r="AE143" s="89" t="s">
        <v>349</v>
      </c>
      <c r="AF143" s="85" t="s">
        <v>352</v>
      </c>
    </row>
    <row r="144" spans="1:32" s="17" customFormat="1" x14ac:dyDescent="0.35">
      <c r="A144" s="85">
        <v>438</v>
      </c>
      <c r="B144" s="90" t="s">
        <v>184</v>
      </c>
      <c r="C144" s="86" t="s">
        <v>318</v>
      </c>
      <c r="D144" s="86"/>
      <c r="E144" s="86" t="s">
        <v>302</v>
      </c>
      <c r="F144" s="86"/>
      <c r="G144" s="86" t="s">
        <v>318</v>
      </c>
      <c r="H144" s="86"/>
      <c r="I144" s="86"/>
      <c r="J144" s="86" t="s">
        <v>302</v>
      </c>
      <c r="K144" s="86"/>
      <c r="L144" s="86"/>
      <c r="M144" s="86"/>
      <c r="N144" s="87" t="s">
        <v>319</v>
      </c>
      <c r="O144" s="87" t="s">
        <v>306</v>
      </c>
      <c r="P144" s="87"/>
      <c r="Q144" s="87" t="s">
        <v>306</v>
      </c>
      <c r="R144" s="87" t="s">
        <v>306</v>
      </c>
      <c r="S144" s="87"/>
      <c r="T144" s="87"/>
      <c r="U144" s="87"/>
      <c r="V144" s="87"/>
      <c r="W144" s="87"/>
      <c r="X144" s="177"/>
      <c r="Y144" s="87" t="s">
        <v>302</v>
      </c>
      <c r="Z144" s="88" t="s">
        <v>318</v>
      </c>
      <c r="AA144" s="88" t="s">
        <v>318</v>
      </c>
      <c r="AB144" s="88"/>
      <c r="AC144" s="88"/>
      <c r="AD144" s="89"/>
      <c r="AE144" s="89"/>
      <c r="AF144" s="85" t="s">
        <v>353</v>
      </c>
    </row>
    <row r="145" spans="1:32" s="96" customFormat="1" x14ac:dyDescent="0.35">
      <c r="A145" s="85">
        <v>438</v>
      </c>
      <c r="B145" s="90" t="s">
        <v>354</v>
      </c>
      <c r="C145" s="86" t="s">
        <v>304</v>
      </c>
      <c r="D145" s="86"/>
      <c r="E145" s="86"/>
      <c r="F145" s="86"/>
      <c r="G145" s="86"/>
      <c r="H145" s="86"/>
      <c r="I145" s="86"/>
      <c r="J145" s="86" t="s">
        <v>304</v>
      </c>
      <c r="K145" s="86"/>
      <c r="L145" s="86"/>
      <c r="M145" s="86"/>
      <c r="N145" s="87" t="s">
        <v>304</v>
      </c>
      <c r="O145" s="87"/>
      <c r="P145" s="87"/>
      <c r="Q145" s="87" t="s">
        <v>306</v>
      </c>
      <c r="R145" s="87" t="s">
        <v>306</v>
      </c>
      <c r="S145" s="87"/>
      <c r="T145" s="87"/>
      <c r="U145" s="87"/>
      <c r="V145" s="87"/>
      <c r="W145" s="87"/>
      <c r="X145" s="177"/>
      <c r="Y145" s="87"/>
      <c r="Z145" s="88" t="s">
        <v>304</v>
      </c>
      <c r="AA145" s="88" t="s">
        <v>304</v>
      </c>
      <c r="AB145" s="88"/>
      <c r="AC145" s="88"/>
      <c r="AD145" s="102" t="s">
        <v>304</v>
      </c>
      <c r="AE145" s="102" t="s">
        <v>304</v>
      </c>
      <c r="AF145" s="85"/>
    </row>
    <row r="146" spans="1:32" s="36" customFormat="1" x14ac:dyDescent="0.35">
      <c r="A146" s="206" t="s">
        <v>529</v>
      </c>
      <c r="B146" s="207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  <c r="AE146" s="208"/>
      <c r="AF146" s="210"/>
    </row>
    <row r="147" spans="1:32" s="17" customFormat="1" x14ac:dyDescent="0.35">
      <c r="A147" s="85">
        <v>471</v>
      </c>
      <c r="B147" s="247" t="s">
        <v>355</v>
      </c>
      <c r="C147" s="86" t="s">
        <v>319</v>
      </c>
      <c r="D147" s="86"/>
      <c r="E147" s="86" t="s">
        <v>319</v>
      </c>
      <c r="F147" s="86"/>
      <c r="G147" s="86" t="s">
        <v>319</v>
      </c>
      <c r="H147" s="86"/>
      <c r="I147" s="86"/>
      <c r="J147" s="86" t="s">
        <v>318</v>
      </c>
      <c r="K147" s="86"/>
      <c r="L147" s="86" t="s">
        <v>322</v>
      </c>
      <c r="M147" s="86" t="s">
        <v>325</v>
      </c>
      <c r="N147" s="87" t="s">
        <v>319</v>
      </c>
      <c r="O147" s="87" t="s">
        <v>319</v>
      </c>
      <c r="P147" s="87" t="s">
        <v>356</v>
      </c>
      <c r="Q147" s="87" t="s">
        <v>306</v>
      </c>
      <c r="R147" s="87" t="s">
        <v>306</v>
      </c>
      <c r="S147" s="87"/>
      <c r="T147" s="87"/>
      <c r="U147" s="87"/>
      <c r="V147" s="87"/>
      <c r="W147" s="87" t="s">
        <v>302</v>
      </c>
      <c r="X147" s="177"/>
      <c r="Y147" s="87" t="s">
        <v>307</v>
      </c>
      <c r="Z147" s="88" t="s">
        <v>307</v>
      </c>
      <c r="AA147" s="88" t="s">
        <v>307</v>
      </c>
      <c r="AB147" s="88"/>
      <c r="AC147" s="88"/>
      <c r="AD147" s="89" t="s">
        <v>302</v>
      </c>
      <c r="AE147" s="89" t="s">
        <v>302</v>
      </c>
      <c r="AF147" s="85" t="s">
        <v>346</v>
      </c>
    </row>
    <row r="148" spans="1:32" s="36" customFormat="1" ht="12.5" x14ac:dyDescent="0.35">
      <c r="A148" s="206" t="s">
        <v>186</v>
      </c>
      <c r="B148" s="207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9"/>
      <c r="Y148" s="208"/>
      <c r="Z148" s="208"/>
      <c r="AA148" s="208"/>
      <c r="AB148" s="208"/>
      <c r="AC148" s="208"/>
      <c r="AD148" s="208"/>
      <c r="AE148" s="208"/>
      <c r="AF148" s="210"/>
    </row>
    <row r="149" spans="1:32" s="17" customFormat="1" x14ac:dyDescent="0.35">
      <c r="A149" s="85">
        <v>469</v>
      </c>
      <c r="B149" s="90" t="s">
        <v>187</v>
      </c>
      <c r="C149" s="86" t="s">
        <v>318</v>
      </c>
      <c r="D149" s="86" t="s">
        <v>318</v>
      </c>
      <c r="E149" s="86"/>
      <c r="F149" s="86"/>
      <c r="G149" s="86"/>
      <c r="H149" s="86"/>
      <c r="I149" s="86"/>
      <c r="J149" s="86" t="s">
        <v>302</v>
      </c>
      <c r="K149" s="86" t="s">
        <v>302</v>
      </c>
      <c r="L149" s="86"/>
      <c r="M149" s="86"/>
      <c r="N149" s="87" t="s">
        <v>319</v>
      </c>
      <c r="O149" s="87" t="s">
        <v>302</v>
      </c>
      <c r="P149" s="87"/>
      <c r="Q149" s="87" t="s">
        <v>357</v>
      </c>
      <c r="R149" s="87" t="s">
        <v>357</v>
      </c>
      <c r="S149" s="87"/>
      <c r="T149" s="87"/>
      <c r="U149" s="87"/>
      <c r="V149" s="87"/>
      <c r="W149" s="87"/>
      <c r="X149" s="177"/>
      <c r="Y149" s="87" t="s">
        <v>307</v>
      </c>
      <c r="Z149" s="88" t="s">
        <v>307</v>
      </c>
      <c r="AA149" s="88" t="s">
        <v>307</v>
      </c>
      <c r="AB149" s="88"/>
      <c r="AC149" s="88"/>
      <c r="AD149" s="89" t="s">
        <v>302</v>
      </c>
      <c r="AE149" s="89" t="s">
        <v>302</v>
      </c>
      <c r="AF149" s="85" t="s">
        <v>358</v>
      </c>
    </row>
    <row r="150" spans="1:32" s="17" customFormat="1" x14ac:dyDescent="0.35">
      <c r="A150" s="85">
        <v>622</v>
      </c>
      <c r="B150" s="90" t="s">
        <v>187</v>
      </c>
      <c r="C150" s="86" t="s">
        <v>302</v>
      </c>
      <c r="D150" s="86" t="s">
        <v>302</v>
      </c>
      <c r="E150" s="86"/>
      <c r="F150" s="86"/>
      <c r="G150" s="86"/>
      <c r="H150" s="86"/>
      <c r="I150" s="86"/>
      <c r="J150" s="86" t="s">
        <v>359</v>
      </c>
      <c r="K150" s="86" t="s">
        <v>359</v>
      </c>
      <c r="L150" s="86"/>
      <c r="M150" s="86"/>
      <c r="N150" s="87"/>
      <c r="O150" s="87" t="s">
        <v>302</v>
      </c>
      <c r="P150" s="87"/>
      <c r="Q150" s="87"/>
      <c r="R150" s="87"/>
      <c r="S150" s="87"/>
      <c r="T150" s="87"/>
      <c r="U150" s="87"/>
      <c r="V150" s="87"/>
      <c r="W150" s="87"/>
      <c r="X150" s="177"/>
      <c r="Y150" s="87"/>
      <c r="Z150" s="88" t="s">
        <v>307</v>
      </c>
      <c r="AA150" s="88" t="s">
        <v>307</v>
      </c>
      <c r="AB150" s="88"/>
      <c r="AC150" s="88"/>
      <c r="AD150" s="89"/>
      <c r="AE150" s="89"/>
      <c r="AF150" s="85"/>
    </row>
    <row r="151" spans="1:32" s="96" customFormat="1" x14ac:dyDescent="0.35">
      <c r="A151" s="85">
        <v>1010</v>
      </c>
      <c r="B151" s="90" t="s">
        <v>187</v>
      </c>
      <c r="C151" s="86" t="s">
        <v>318</v>
      </c>
      <c r="D151" s="86" t="s">
        <v>360</v>
      </c>
      <c r="E151" s="86"/>
      <c r="F151" s="86"/>
      <c r="G151" s="86"/>
      <c r="H151" s="86"/>
      <c r="I151" s="86"/>
      <c r="J151" s="86" t="s">
        <v>302</v>
      </c>
      <c r="K151" s="86" t="s">
        <v>302</v>
      </c>
      <c r="L151" s="86"/>
      <c r="M151" s="86"/>
      <c r="N151" s="87" t="s">
        <v>319</v>
      </c>
      <c r="O151" s="87" t="s">
        <v>302</v>
      </c>
      <c r="P151" s="87"/>
      <c r="Q151" s="87" t="s">
        <v>357</v>
      </c>
      <c r="R151" s="87" t="s">
        <v>357</v>
      </c>
      <c r="S151" s="87"/>
      <c r="T151" s="87"/>
      <c r="U151" s="87"/>
      <c r="V151" s="87"/>
      <c r="W151" s="87"/>
      <c r="X151" s="177"/>
      <c r="Y151" s="87"/>
      <c r="Z151" s="88" t="s">
        <v>307</v>
      </c>
      <c r="AA151" s="88" t="s">
        <v>307</v>
      </c>
      <c r="AB151" s="88"/>
      <c r="AC151" s="88"/>
      <c r="AD151" s="89" t="s">
        <v>302</v>
      </c>
      <c r="AE151" s="89" t="s">
        <v>302</v>
      </c>
      <c r="AF151" s="85"/>
    </row>
    <row r="152" spans="1:32" s="36" customFormat="1" ht="12.5" x14ac:dyDescent="0.35">
      <c r="A152" s="206" t="s">
        <v>189</v>
      </c>
      <c r="B152" s="207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9"/>
      <c r="Y152" s="208"/>
      <c r="Z152" s="208"/>
      <c r="AA152" s="208"/>
      <c r="AB152" s="208"/>
      <c r="AC152" s="208"/>
      <c r="AD152" s="208"/>
      <c r="AE152" s="208"/>
      <c r="AF152" s="210"/>
    </row>
    <row r="153" spans="1:32" s="17" customFormat="1" x14ac:dyDescent="0.35">
      <c r="A153" s="85">
        <v>545</v>
      </c>
      <c r="B153" s="49" t="s">
        <v>83</v>
      </c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177"/>
      <c r="Y153" s="87"/>
      <c r="Z153" s="88"/>
      <c r="AA153" s="88"/>
      <c r="AB153" s="88"/>
      <c r="AC153" s="88"/>
      <c r="AD153" s="89" t="s">
        <v>302</v>
      </c>
      <c r="AE153" s="89" t="s">
        <v>302</v>
      </c>
      <c r="AF153" s="85"/>
    </row>
    <row r="154" spans="1:32" s="17" customFormat="1" x14ac:dyDescent="0.35">
      <c r="A154" s="85">
        <v>557</v>
      </c>
      <c r="B154" s="49" t="s">
        <v>83</v>
      </c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177"/>
      <c r="Y154" s="87"/>
      <c r="Z154" s="88"/>
      <c r="AA154" s="88"/>
      <c r="AB154" s="88"/>
      <c r="AC154" s="88"/>
      <c r="AD154" s="89" t="s">
        <v>302</v>
      </c>
      <c r="AE154" s="89" t="s">
        <v>302</v>
      </c>
      <c r="AF154" s="85"/>
    </row>
    <row r="155" spans="1:32" s="36" customFormat="1" ht="12.5" x14ac:dyDescent="0.35">
      <c r="A155" s="206" t="s">
        <v>190</v>
      </c>
      <c r="B155" s="207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9"/>
      <c r="Y155" s="208"/>
      <c r="Z155" s="208"/>
      <c r="AA155" s="208"/>
      <c r="AB155" s="208"/>
      <c r="AC155" s="208"/>
      <c r="AD155" s="208"/>
      <c r="AE155" s="208"/>
      <c r="AF155" s="210"/>
    </row>
    <row r="156" spans="1:32" s="17" customFormat="1" x14ac:dyDescent="0.35">
      <c r="A156" s="85">
        <v>413</v>
      </c>
      <c r="B156" s="90" t="s">
        <v>191</v>
      </c>
      <c r="C156" s="86" t="s">
        <v>302</v>
      </c>
      <c r="D156" s="86"/>
      <c r="E156" s="86"/>
      <c r="F156" s="86"/>
      <c r="G156" s="86"/>
      <c r="H156" s="86"/>
      <c r="I156" s="86"/>
      <c r="J156" s="86" t="s">
        <v>302</v>
      </c>
      <c r="K156" s="86"/>
      <c r="L156" s="86"/>
      <c r="M156" s="86"/>
      <c r="N156" s="87" t="s">
        <v>319</v>
      </c>
      <c r="O156" s="87"/>
      <c r="P156" s="87"/>
      <c r="Q156" s="87"/>
      <c r="R156" s="87"/>
      <c r="S156" s="87"/>
      <c r="T156" s="87"/>
      <c r="U156" s="87"/>
      <c r="V156" s="87"/>
      <c r="W156" s="87"/>
      <c r="X156" s="177"/>
      <c r="Y156" s="87"/>
      <c r="Z156" s="88" t="s">
        <v>307</v>
      </c>
      <c r="AA156" s="88" t="s">
        <v>307</v>
      </c>
      <c r="AB156" s="88"/>
      <c r="AC156" s="88"/>
      <c r="AD156" s="89"/>
      <c r="AE156" s="89"/>
      <c r="AF156" s="85"/>
    </row>
    <row r="157" spans="1:32" s="17" customFormat="1" x14ac:dyDescent="0.35">
      <c r="A157" s="85">
        <v>510</v>
      </c>
      <c r="B157" s="90" t="s">
        <v>191</v>
      </c>
      <c r="C157" s="86" t="s">
        <v>319</v>
      </c>
      <c r="D157" s="86"/>
      <c r="E157" s="86"/>
      <c r="F157" s="86"/>
      <c r="G157" s="86"/>
      <c r="H157" s="86"/>
      <c r="I157" s="86"/>
      <c r="J157" s="86" t="s">
        <v>302</v>
      </c>
      <c r="K157" s="86"/>
      <c r="L157" s="86"/>
      <c r="M157" s="86"/>
      <c r="N157" s="87" t="s">
        <v>319</v>
      </c>
      <c r="O157" s="87"/>
      <c r="P157" s="87"/>
      <c r="Q157" s="87"/>
      <c r="R157" s="87"/>
      <c r="S157" s="87"/>
      <c r="T157" s="87"/>
      <c r="U157" s="87"/>
      <c r="V157" s="87"/>
      <c r="W157" s="87"/>
      <c r="X157" s="177"/>
      <c r="Y157" s="87" t="s">
        <v>319</v>
      </c>
      <c r="Z157" s="88" t="s">
        <v>307</v>
      </c>
      <c r="AA157" s="88" t="s">
        <v>307</v>
      </c>
      <c r="AB157" s="88"/>
      <c r="AC157" s="88"/>
      <c r="AD157" s="89"/>
      <c r="AE157" s="89"/>
      <c r="AF157" s="85"/>
    </row>
    <row r="158" spans="1:32" s="17" customFormat="1" x14ac:dyDescent="0.35">
      <c r="A158" s="85">
        <v>3873</v>
      </c>
      <c r="B158" s="90" t="s">
        <v>192</v>
      </c>
      <c r="C158" s="86" t="s">
        <v>319</v>
      </c>
      <c r="D158" s="86" t="s">
        <v>319</v>
      </c>
      <c r="E158" s="86"/>
      <c r="F158" s="86"/>
      <c r="G158" s="86"/>
      <c r="H158" s="86"/>
      <c r="I158" s="86"/>
      <c r="J158" s="86" t="s">
        <v>302</v>
      </c>
      <c r="K158" s="86" t="s">
        <v>302</v>
      </c>
      <c r="L158" s="86"/>
      <c r="M158" s="86"/>
      <c r="N158" s="87" t="s">
        <v>319</v>
      </c>
      <c r="O158" s="87" t="s">
        <v>306</v>
      </c>
      <c r="P158" s="87" t="s">
        <v>306</v>
      </c>
      <c r="Q158" s="87" t="s">
        <v>306</v>
      </c>
      <c r="R158" s="87" t="s">
        <v>306</v>
      </c>
      <c r="S158" s="87" t="s">
        <v>306</v>
      </c>
      <c r="T158" s="87"/>
      <c r="U158" s="87"/>
      <c r="V158" s="87"/>
      <c r="W158" s="87" t="s">
        <v>319</v>
      </c>
      <c r="X158" s="177"/>
      <c r="Y158" s="87" t="s">
        <v>319</v>
      </c>
      <c r="Z158" s="88" t="s">
        <v>319</v>
      </c>
      <c r="AA158" s="88" t="s">
        <v>319</v>
      </c>
      <c r="AB158" s="88"/>
      <c r="AC158" s="88"/>
      <c r="AD158" s="89" t="s">
        <v>302</v>
      </c>
      <c r="AE158" s="89" t="s">
        <v>302</v>
      </c>
      <c r="AF158" s="85"/>
    </row>
    <row r="159" spans="1:32" s="17" customFormat="1" x14ac:dyDescent="0.35">
      <c r="A159" s="85">
        <v>3873</v>
      </c>
      <c r="B159" s="90" t="s">
        <v>193</v>
      </c>
      <c r="C159" s="86" t="s">
        <v>325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7"/>
      <c r="O159" s="87" t="s">
        <v>325</v>
      </c>
      <c r="P159" s="87" t="s">
        <v>325</v>
      </c>
      <c r="Q159" s="87"/>
      <c r="R159" s="87"/>
      <c r="S159" s="87"/>
      <c r="T159" s="87"/>
      <c r="U159" s="87"/>
      <c r="V159" s="87"/>
      <c r="W159" s="87"/>
      <c r="X159" s="177"/>
      <c r="Y159" s="87"/>
      <c r="Z159" s="88"/>
      <c r="AA159" s="88"/>
      <c r="AB159" s="88"/>
      <c r="AC159" s="88"/>
      <c r="AD159" s="89"/>
      <c r="AE159" s="89"/>
      <c r="AF159" s="85"/>
    </row>
    <row r="160" spans="1:32" s="17" customFormat="1" x14ac:dyDescent="0.35">
      <c r="A160" s="85">
        <v>3873</v>
      </c>
      <c r="B160" s="90" t="s">
        <v>194</v>
      </c>
      <c r="C160" s="86" t="s">
        <v>319</v>
      </c>
      <c r="D160" s="86"/>
      <c r="E160" s="86"/>
      <c r="F160" s="86"/>
      <c r="G160" s="86"/>
      <c r="H160" s="86"/>
      <c r="I160" s="86"/>
      <c r="J160" s="86" t="s">
        <v>302</v>
      </c>
      <c r="K160" s="86"/>
      <c r="L160" s="86"/>
      <c r="M160" s="86"/>
      <c r="N160" s="87" t="s">
        <v>319</v>
      </c>
      <c r="O160" s="87" t="s">
        <v>306</v>
      </c>
      <c r="P160" s="87" t="s">
        <v>306</v>
      </c>
      <c r="Q160" s="87" t="s">
        <v>306</v>
      </c>
      <c r="R160" s="87" t="s">
        <v>306</v>
      </c>
      <c r="S160" s="87" t="s">
        <v>306</v>
      </c>
      <c r="T160" s="87"/>
      <c r="U160" s="87"/>
      <c r="V160" s="87"/>
      <c r="W160" s="87"/>
      <c r="X160" s="177"/>
      <c r="Y160" s="87"/>
      <c r="Z160" s="88" t="s">
        <v>319</v>
      </c>
      <c r="AA160" s="88" t="s">
        <v>319</v>
      </c>
      <c r="AB160" s="88"/>
      <c r="AC160" s="88"/>
      <c r="AD160" s="89"/>
      <c r="AE160" s="89"/>
      <c r="AF160" s="85"/>
    </row>
    <row r="161" spans="1:32" s="36" customFormat="1" ht="12.5" x14ac:dyDescent="0.35">
      <c r="A161" s="206" t="s">
        <v>195</v>
      </c>
      <c r="B161" s="207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6"/>
      <c r="Y161" s="235"/>
      <c r="Z161" s="235"/>
      <c r="AA161" s="235"/>
      <c r="AB161" s="235"/>
      <c r="AC161" s="235"/>
      <c r="AD161" s="235"/>
      <c r="AE161" s="235"/>
      <c r="AF161" s="210"/>
    </row>
    <row r="162" spans="1:32" s="17" customFormat="1" x14ac:dyDescent="0.35">
      <c r="A162" s="85">
        <v>423</v>
      </c>
      <c r="B162" s="90" t="s">
        <v>361</v>
      </c>
      <c r="C162" s="86" t="s">
        <v>302</v>
      </c>
      <c r="D162" s="86"/>
      <c r="E162" s="86"/>
      <c r="F162" s="86"/>
      <c r="G162" s="86"/>
      <c r="H162" s="86"/>
      <c r="I162" s="86"/>
      <c r="J162" s="86" t="s">
        <v>302</v>
      </c>
      <c r="K162" s="86"/>
      <c r="L162" s="86"/>
      <c r="M162" s="86"/>
      <c r="N162" s="99" t="s">
        <v>318</v>
      </c>
      <c r="O162" s="99" t="s">
        <v>306</v>
      </c>
      <c r="P162" s="99" t="s">
        <v>306</v>
      </c>
      <c r="Q162" s="99" t="s">
        <v>306</v>
      </c>
      <c r="R162" s="99" t="s">
        <v>306</v>
      </c>
      <c r="S162" s="99" t="s">
        <v>306</v>
      </c>
      <c r="T162" s="99"/>
      <c r="U162" s="99"/>
      <c r="V162" s="99"/>
      <c r="W162" s="99" t="s">
        <v>319</v>
      </c>
      <c r="X162" s="178"/>
      <c r="Y162" s="99" t="s">
        <v>319</v>
      </c>
      <c r="Z162" s="101" t="s">
        <v>307</v>
      </c>
      <c r="AA162" s="101" t="s">
        <v>307</v>
      </c>
      <c r="AB162" s="101"/>
      <c r="AC162" s="101"/>
      <c r="AD162" s="102" t="s">
        <v>302</v>
      </c>
      <c r="AE162" s="102" t="s">
        <v>302</v>
      </c>
      <c r="AF162" s="85"/>
    </row>
    <row r="163" spans="1:32" s="36" customFormat="1" ht="12.5" x14ac:dyDescent="0.35">
      <c r="A163" s="206" t="s">
        <v>197</v>
      </c>
      <c r="B163" s="207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9"/>
      <c r="Y163" s="208"/>
      <c r="Z163" s="208"/>
      <c r="AA163" s="208"/>
      <c r="AB163" s="208"/>
      <c r="AC163" s="208"/>
      <c r="AD163" s="208"/>
      <c r="AE163" s="208"/>
      <c r="AF163" s="210"/>
    </row>
    <row r="164" spans="1:32" s="17" customFormat="1" x14ac:dyDescent="0.35">
      <c r="A164" s="85">
        <v>723</v>
      </c>
      <c r="B164" s="106" t="s">
        <v>198</v>
      </c>
      <c r="C164" s="86" t="s">
        <v>306</v>
      </c>
      <c r="D164" s="86" t="s">
        <v>302</v>
      </c>
      <c r="E164" s="86"/>
      <c r="F164" s="86"/>
      <c r="G164" s="86"/>
      <c r="H164" s="86"/>
      <c r="I164" s="86"/>
      <c r="J164" s="86" t="s">
        <v>306</v>
      </c>
      <c r="K164" s="86" t="s">
        <v>302</v>
      </c>
      <c r="L164" s="86"/>
      <c r="M164" s="86"/>
      <c r="N164" s="87"/>
      <c r="O164" s="87" t="s">
        <v>306</v>
      </c>
      <c r="P164" s="87" t="s">
        <v>306</v>
      </c>
      <c r="Q164" s="87"/>
      <c r="R164" s="87"/>
      <c r="S164" s="87"/>
      <c r="T164" s="87"/>
      <c r="U164" s="87"/>
      <c r="V164" s="87"/>
      <c r="W164" s="87"/>
      <c r="X164" s="177"/>
      <c r="Y164" s="87"/>
      <c r="Z164" s="88"/>
      <c r="AA164" s="88"/>
      <c r="AB164" s="88"/>
      <c r="AC164" s="88"/>
      <c r="AD164" s="89"/>
      <c r="AE164" s="89"/>
      <c r="AF164" s="85"/>
    </row>
    <row r="165" spans="1:32" s="36" customFormat="1" ht="12.5" x14ac:dyDescent="0.35">
      <c r="A165" s="206" t="s">
        <v>199</v>
      </c>
      <c r="B165" s="207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6"/>
      <c r="Y165" s="235"/>
      <c r="Z165" s="235"/>
      <c r="AA165" s="235"/>
      <c r="AB165" s="235"/>
      <c r="AC165" s="235"/>
      <c r="AD165" s="235"/>
      <c r="AE165" s="235"/>
      <c r="AF165" s="210"/>
    </row>
    <row r="166" spans="1:32" s="17" customFormat="1" x14ac:dyDescent="0.35">
      <c r="A166" s="85">
        <v>466</v>
      </c>
      <c r="B166" s="90" t="s">
        <v>200</v>
      </c>
      <c r="C166" s="86" t="s">
        <v>302</v>
      </c>
      <c r="D166" s="91" t="s">
        <v>302</v>
      </c>
      <c r="E166" s="86"/>
      <c r="F166" s="93"/>
      <c r="G166" s="86"/>
      <c r="H166" s="86"/>
      <c r="I166" s="86"/>
      <c r="J166" s="86" t="s">
        <v>306</v>
      </c>
      <c r="K166" s="91" t="s">
        <v>310</v>
      </c>
      <c r="L166" s="86"/>
      <c r="M166" s="86"/>
      <c r="N166" s="87" t="s">
        <v>302</v>
      </c>
      <c r="O166" s="94"/>
      <c r="P166" s="87"/>
      <c r="Q166" s="87"/>
      <c r="R166" s="87"/>
      <c r="S166" s="87"/>
      <c r="T166" s="87"/>
      <c r="U166" s="87"/>
      <c r="V166" s="87"/>
      <c r="W166" s="87" t="s">
        <v>307</v>
      </c>
      <c r="X166" s="177"/>
      <c r="Y166" s="87" t="s">
        <v>302</v>
      </c>
      <c r="Z166" s="88" t="s">
        <v>304</v>
      </c>
      <c r="AA166" s="88" t="s">
        <v>304</v>
      </c>
      <c r="AB166" s="88"/>
      <c r="AC166" s="88"/>
      <c r="AD166" s="89" t="s">
        <v>302</v>
      </c>
      <c r="AE166" s="89" t="s">
        <v>302</v>
      </c>
      <c r="AF166" s="85"/>
    </row>
    <row r="167" spans="1:32" s="17" customFormat="1" x14ac:dyDescent="0.35">
      <c r="A167" s="85">
        <v>1030</v>
      </c>
      <c r="B167" s="90" t="s">
        <v>362</v>
      </c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177"/>
      <c r="Y167" s="87"/>
      <c r="Z167" s="88" t="s">
        <v>307</v>
      </c>
      <c r="AA167" s="88" t="s">
        <v>307</v>
      </c>
      <c r="AB167" s="88"/>
      <c r="AC167" s="88"/>
      <c r="AD167" s="89"/>
      <c r="AE167" s="89"/>
      <c r="AF167" s="85"/>
    </row>
    <row r="168" spans="1:32" s="36" customFormat="1" x14ac:dyDescent="0.35">
      <c r="A168" s="206" t="s">
        <v>530</v>
      </c>
      <c r="B168" s="207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10"/>
    </row>
    <row r="169" spans="1:32" s="17" customFormat="1" x14ac:dyDescent="0.35">
      <c r="A169" s="85">
        <v>537</v>
      </c>
      <c r="B169" s="90" t="s">
        <v>141</v>
      </c>
      <c r="C169" s="86" t="s">
        <v>302</v>
      </c>
      <c r="D169" s="91" t="s">
        <v>302</v>
      </c>
      <c r="E169" s="86"/>
      <c r="F169" s="91" t="s">
        <v>302</v>
      </c>
      <c r="G169" s="86"/>
      <c r="H169" s="86"/>
      <c r="I169" s="86"/>
      <c r="J169" s="86" t="s">
        <v>306</v>
      </c>
      <c r="K169" s="91" t="s">
        <v>310</v>
      </c>
      <c r="L169" s="86"/>
      <c r="M169" s="86" t="s">
        <v>311</v>
      </c>
      <c r="N169" s="87" t="s">
        <v>302</v>
      </c>
      <c r="O169" s="87" t="s">
        <v>307</v>
      </c>
      <c r="P169" s="87"/>
      <c r="Q169" s="87"/>
      <c r="R169" s="87"/>
      <c r="S169" s="87"/>
      <c r="T169" s="87"/>
      <c r="U169" s="87"/>
      <c r="V169" s="87"/>
      <c r="W169" s="87" t="s">
        <v>307</v>
      </c>
      <c r="X169" s="177"/>
      <c r="Y169" s="87" t="s">
        <v>302</v>
      </c>
      <c r="Z169" s="88" t="s">
        <v>307</v>
      </c>
      <c r="AA169" s="88" t="s">
        <v>307</v>
      </c>
      <c r="AB169" s="88"/>
      <c r="AC169" s="88"/>
      <c r="AD169" s="89" t="s">
        <v>302</v>
      </c>
      <c r="AE169" s="89" t="s">
        <v>302</v>
      </c>
      <c r="AF169" s="85"/>
    </row>
    <row r="170" spans="1:32" s="17" customFormat="1" x14ac:dyDescent="0.35">
      <c r="A170" s="85">
        <v>720</v>
      </c>
      <c r="B170" s="90" t="s">
        <v>173</v>
      </c>
      <c r="C170" s="86" t="s">
        <v>302</v>
      </c>
      <c r="D170" s="91" t="s">
        <v>302</v>
      </c>
      <c r="E170" s="86" t="s">
        <v>301</v>
      </c>
      <c r="F170" s="91" t="s">
        <v>302</v>
      </c>
      <c r="G170" s="86"/>
      <c r="H170" s="86"/>
      <c r="I170" s="86"/>
      <c r="J170" s="86" t="s">
        <v>306</v>
      </c>
      <c r="K170" s="91" t="s">
        <v>310</v>
      </c>
      <c r="L170" s="86"/>
      <c r="M170" s="86" t="s">
        <v>311</v>
      </c>
      <c r="N170" s="87" t="s">
        <v>302</v>
      </c>
      <c r="O170" s="94"/>
      <c r="P170" s="87"/>
      <c r="Q170" s="87"/>
      <c r="R170" s="87"/>
      <c r="S170" s="87"/>
      <c r="T170" s="87"/>
      <c r="U170" s="87"/>
      <c r="V170" s="87"/>
      <c r="W170" s="87" t="s">
        <v>307</v>
      </c>
      <c r="X170" s="177"/>
      <c r="Y170" s="87" t="s">
        <v>307</v>
      </c>
      <c r="Z170" s="88" t="s">
        <v>307</v>
      </c>
      <c r="AA170" s="88" t="s">
        <v>307</v>
      </c>
      <c r="AB170" s="88"/>
      <c r="AC170" s="88"/>
      <c r="AD170" s="89" t="s">
        <v>302</v>
      </c>
      <c r="AE170" s="89" t="s">
        <v>302</v>
      </c>
      <c r="AF170" s="85"/>
    </row>
    <row r="171" spans="1:32" s="17" customFormat="1" x14ac:dyDescent="0.35">
      <c r="A171" s="85">
        <v>1020</v>
      </c>
      <c r="B171" s="90" t="s">
        <v>363</v>
      </c>
      <c r="C171" s="86" t="s">
        <v>302</v>
      </c>
      <c r="D171" s="91" t="s">
        <v>302</v>
      </c>
      <c r="E171" s="86"/>
      <c r="F171" s="93"/>
      <c r="G171" s="86"/>
      <c r="H171" s="86"/>
      <c r="I171" s="86"/>
      <c r="J171" s="86" t="s">
        <v>306</v>
      </c>
      <c r="K171" s="91" t="s">
        <v>310</v>
      </c>
      <c r="L171" s="86"/>
      <c r="M171" s="86"/>
      <c r="N171" s="87" t="s">
        <v>302</v>
      </c>
      <c r="O171" s="94"/>
      <c r="P171" s="87"/>
      <c r="Q171" s="87"/>
      <c r="R171" s="87"/>
      <c r="S171" s="87"/>
      <c r="T171" s="87"/>
      <c r="U171" s="87"/>
      <c r="V171" s="87"/>
      <c r="W171" s="87" t="s">
        <v>307</v>
      </c>
      <c r="X171" s="177"/>
      <c r="Y171" s="87"/>
      <c r="Z171" s="88" t="s">
        <v>307</v>
      </c>
      <c r="AA171" s="88" t="s">
        <v>307</v>
      </c>
      <c r="AB171" s="88"/>
      <c r="AC171" s="88"/>
      <c r="AD171" s="89" t="s">
        <v>302</v>
      </c>
      <c r="AE171" s="89" t="s">
        <v>302</v>
      </c>
      <c r="AF171" s="85"/>
    </row>
    <row r="172" spans="1:32" s="36" customFormat="1" ht="12.5" x14ac:dyDescent="0.35">
      <c r="A172" s="211" t="s">
        <v>213</v>
      </c>
      <c r="B172" s="270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4"/>
      <c r="Y172" s="233"/>
      <c r="Z172" s="233"/>
      <c r="AA172" s="233"/>
      <c r="AB172" s="233"/>
      <c r="AC172" s="233"/>
      <c r="AD172" s="233"/>
      <c r="AE172" s="233"/>
      <c r="AF172" s="21"/>
    </row>
    <row r="173" spans="1:32" s="36" customFormat="1" ht="12.5" x14ac:dyDescent="0.35">
      <c r="A173" s="206" t="s">
        <v>335</v>
      </c>
      <c r="B173" s="207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9"/>
      <c r="Y173" s="208"/>
      <c r="Z173" s="208"/>
      <c r="AA173" s="208"/>
      <c r="AB173" s="208"/>
      <c r="AC173" s="208"/>
      <c r="AD173" s="208"/>
      <c r="AE173" s="208"/>
      <c r="AF173" s="210"/>
    </row>
    <row r="174" spans="1:32" s="17" customFormat="1" x14ac:dyDescent="0.35">
      <c r="A174" s="85">
        <v>2100</v>
      </c>
      <c r="B174" s="90" t="s">
        <v>214</v>
      </c>
      <c r="C174" s="86" t="s">
        <v>306</v>
      </c>
      <c r="D174" s="91"/>
      <c r="E174" s="86" t="s">
        <v>306</v>
      </c>
      <c r="F174" s="91"/>
      <c r="G174" s="86"/>
      <c r="H174" s="86"/>
      <c r="I174" s="86"/>
      <c r="J174" s="86" t="s">
        <v>310</v>
      </c>
      <c r="K174" s="93"/>
      <c r="L174" s="86"/>
      <c r="M174" s="86"/>
      <c r="N174" s="87"/>
      <c r="O174" s="94"/>
      <c r="P174" s="87"/>
      <c r="Q174" s="87"/>
      <c r="R174" s="87"/>
      <c r="S174" s="87"/>
      <c r="T174" s="87"/>
      <c r="U174" s="87"/>
      <c r="V174" s="87" t="s">
        <v>319</v>
      </c>
      <c r="W174" s="87"/>
      <c r="X174" s="177"/>
      <c r="Y174" s="87"/>
      <c r="Z174" s="88" t="s">
        <v>329</v>
      </c>
      <c r="AA174" s="88" t="s">
        <v>329</v>
      </c>
      <c r="AB174" s="88"/>
      <c r="AC174" s="88"/>
      <c r="AD174" s="89" t="s">
        <v>306</v>
      </c>
      <c r="AE174" s="89" t="s">
        <v>306</v>
      </c>
      <c r="AF174" s="85"/>
    </row>
    <row r="175" spans="1:32" s="37" customFormat="1" x14ac:dyDescent="0.35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5"/>
      <c r="Y175" s="214"/>
      <c r="Z175" s="214"/>
      <c r="AA175" s="214"/>
      <c r="AB175" s="214"/>
      <c r="AC175" s="214"/>
      <c r="AD175" s="214"/>
      <c r="AE175" s="214"/>
      <c r="AF175" s="214"/>
    </row>
    <row r="176" spans="1:32" s="37" customFormat="1" x14ac:dyDescent="0.35">
      <c r="A176" s="75" t="s">
        <v>364</v>
      </c>
      <c r="B176" s="76"/>
      <c r="X176" s="182"/>
    </row>
    <row r="177" spans="1:24" s="37" customFormat="1" x14ac:dyDescent="0.35">
      <c r="A177" s="266" t="s">
        <v>315</v>
      </c>
      <c r="B177" s="8" t="s">
        <v>365</v>
      </c>
      <c r="X177" s="182"/>
    </row>
    <row r="178" spans="1:24" s="37" customFormat="1" x14ac:dyDescent="0.35">
      <c r="A178" s="264" t="s">
        <v>349</v>
      </c>
      <c r="B178" s="77" t="s">
        <v>366</v>
      </c>
      <c r="X178" s="182"/>
    </row>
    <row r="179" spans="1:24" s="37" customFormat="1" x14ac:dyDescent="0.35">
      <c r="A179" s="266" t="s">
        <v>304</v>
      </c>
      <c r="B179" s="8" t="s">
        <v>367</v>
      </c>
      <c r="X179" s="182"/>
    </row>
    <row r="180" spans="1:24" s="37" customFormat="1" x14ac:dyDescent="0.35">
      <c r="A180" s="266" t="s">
        <v>307</v>
      </c>
      <c r="B180" s="8" t="s">
        <v>368</v>
      </c>
      <c r="X180" s="182"/>
    </row>
    <row r="181" spans="1:24" s="37" customFormat="1" x14ac:dyDescent="0.35">
      <c r="A181" s="266" t="s">
        <v>324</v>
      </c>
      <c r="B181" s="8" t="s">
        <v>369</v>
      </c>
      <c r="X181" s="182"/>
    </row>
    <row r="182" spans="1:24" s="37" customFormat="1" x14ac:dyDescent="0.35">
      <c r="A182" s="266" t="s">
        <v>319</v>
      </c>
      <c r="B182" s="8" t="s">
        <v>370</v>
      </c>
      <c r="X182" s="182"/>
    </row>
    <row r="183" spans="1:24" s="37" customFormat="1" x14ac:dyDescent="0.35">
      <c r="A183" s="266" t="s">
        <v>318</v>
      </c>
      <c r="B183" s="8" t="s">
        <v>371</v>
      </c>
      <c r="X183" s="182"/>
    </row>
    <row r="184" spans="1:24" s="37" customFormat="1" x14ac:dyDescent="0.35">
      <c r="A184" s="266" t="s">
        <v>302</v>
      </c>
      <c r="B184" s="8" t="s">
        <v>372</v>
      </c>
      <c r="X184" s="182"/>
    </row>
    <row r="185" spans="1:24" s="37" customFormat="1" x14ac:dyDescent="0.35">
      <c r="A185" s="266" t="s">
        <v>301</v>
      </c>
      <c r="B185" s="8" t="s">
        <v>373</v>
      </c>
      <c r="X185" s="182"/>
    </row>
    <row r="186" spans="1:24" s="37" customFormat="1" x14ac:dyDescent="0.35">
      <c r="A186" s="266" t="s">
        <v>306</v>
      </c>
      <c r="B186" s="8" t="s">
        <v>374</v>
      </c>
      <c r="X186" s="182"/>
    </row>
    <row r="187" spans="1:24" s="37" customFormat="1" x14ac:dyDescent="0.35">
      <c r="A187" s="266" t="s">
        <v>350</v>
      </c>
      <c r="B187" s="8" t="s">
        <v>375</v>
      </c>
      <c r="X187" s="182"/>
    </row>
    <row r="188" spans="1:24" s="37" customFormat="1" x14ac:dyDescent="0.35">
      <c r="A188" s="266" t="s">
        <v>310</v>
      </c>
      <c r="B188" s="8" t="s">
        <v>376</v>
      </c>
      <c r="X188" s="182"/>
    </row>
    <row r="189" spans="1:24" s="37" customFormat="1" x14ac:dyDescent="0.35">
      <c r="A189" s="266" t="s">
        <v>377</v>
      </c>
      <c r="B189" s="8" t="s">
        <v>378</v>
      </c>
      <c r="X189" s="182"/>
    </row>
    <row r="190" spans="1:24" s="37" customFormat="1" x14ac:dyDescent="0.35">
      <c r="A190" s="266" t="s">
        <v>322</v>
      </c>
      <c r="B190" s="8" t="s">
        <v>379</v>
      </c>
      <c r="X190" s="182"/>
    </row>
    <row r="191" spans="1:24" s="37" customFormat="1" x14ac:dyDescent="0.35">
      <c r="A191" s="266" t="s">
        <v>325</v>
      </c>
      <c r="B191" s="8" t="s">
        <v>380</v>
      </c>
      <c r="X191" s="182"/>
    </row>
    <row r="192" spans="1:24" s="37" customFormat="1" x14ac:dyDescent="0.35">
      <c r="A192" s="266" t="s">
        <v>381</v>
      </c>
      <c r="B192" s="8" t="s">
        <v>382</v>
      </c>
      <c r="X192" s="182"/>
    </row>
    <row r="193" spans="1:35" s="37" customFormat="1" x14ac:dyDescent="0.35">
      <c r="A193" s="78" t="s">
        <v>311</v>
      </c>
      <c r="B193" s="8" t="s">
        <v>383</v>
      </c>
      <c r="X193" s="182"/>
    </row>
    <row r="194" spans="1:35" s="37" customFormat="1" x14ac:dyDescent="0.35">
      <c r="A194" s="74"/>
      <c r="X194" s="182"/>
      <c r="AF194" s="74"/>
    </row>
    <row r="195" spans="1:35" s="37" customFormat="1" x14ac:dyDescent="0.35">
      <c r="A195" s="73" t="s">
        <v>255</v>
      </c>
      <c r="B195" s="9" t="s">
        <v>384</v>
      </c>
      <c r="X195" s="182"/>
      <c r="AF195" s="74"/>
    </row>
    <row r="196" spans="1:35" s="37" customFormat="1" x14ac:dyDescent="0.35">
      <c r="A196" s="74"/>
      <c r="X196" s="182"/>
      <c r="AF196" s="74"/>
    </row>
    <row r="197" spans="1:35" s="37" customFormat="1" x14ac:dyDescent="0.35">
      <c r="A197" s="73" t="s">
        <v>257</v>
      </c>
      <c r="B197" s="37" t="s">
        <v>385</v>
      </c>
      <c r="X197" s="182"/>
      <c r="AF197" s="74"/>
    </row>
    <row r="198" spans="1:35" s="37" customFormat="1" x14ac:dyDescent="0.35">
      <c r="A198" s="74"/>
      <c r="X198" s="182"/>
      <c r="AF198" s="74"/>
    </row>
    <row r="199" spans="1:35" s="37" customFormat="1" x14ac:dyDescent="0.35">
      <c r="A199" s="73" t="s">
        <v>386</v>
      </c>
      <c r="B199" s="37" t="s">
        <v>387</v>
      </c>
      <c r="X199" s="182"/>
      <c r="AF199" s="74"/>
    </row>
    <row r="200" spans="1:35" s="37" customFormat="1" x14ac:dyDescent="0.35">
      <c r="A200" s="74"/>
      <c r="X200" s="182"/>
      <c r="AF200" s="74"/>
    </row>
    <row r="201" spans="1:35" s="37" customFormat="1" x14ac:dyDescent="0.35">
      <c r="A201" s="73" t="s">
        <v>259</v>
      </c>
      <c r="B201" s="37" t="s">
        <v>388</v>
      </c>
      <c r="AF201" s="74"/>
    </row>
    <row r="202" spans="1:35" s="279" customFormat="1" x14ac:dyDescent="0.35">
      <c r="A202" s="276">
        <v>318</v>
      </c>
      <c r="B202" s="277" t="s">
        <v>521</v>
      </c>
      <c r="C202" s="276" t="s">
        <v>306</v>
      </c>
      <c r="D202" s="276" t="s">
        <v>306</v>
      </c>
      <c r="E202" s="276" t="s">
        <v>306</v>
      </c>
      <c r="F202" s="276"/>
      <c r="G202" s="276" t="s">
        <v>302</v>
      </c>
      <c r="H202" s="276"/>
      <c r="I202" s="276"/>
      <c r="J202" s="278" t="s">
        <v>310</v>
      </c>
      <c r="K202" s="278" t="s">
        <v>310</v>
      </c>
      <c r="L202" s="276"/>
      <c r="M202" s="278" t="s">
        <v>311</v>
      </c>
      <c r="N202" s="276" t="s">
        <v>302</v>
      </c>
      <c r="O202" s="276" t="s">
        <v>325</v>
      </c>
      <c r="P202" s="276" t="s">
        <v>325</v>
      </c>
      <c r="Q202" s="276"/>
      <c r="R202" s="276" t="s">
        <v>325</v>
      </c>
      <c r="S202" s="276"/>
      <c r="T202" s="276"/>
      <c r="U202" s="276"/>
      <c r="V202" s="276"/>
      <c r="W202" s="276"/>
      <c r="X202" s="276"/>
      <c r="Y202" s="276" t="s">
        <v>307</v>
      </c>
      <c r="Z202" s="276"/>
      <c r="AA202" s="276"/>
      <c r="AB202" s="276"/>
      <c r="AC202" s="276"/>
      <c r="AD202" s="276" t="s">
        <v>302</v>
      </c>
      <c r="AE202" s="276" t="s">
        <v>302</v>
      </c>
      <c r="AF202" s="276" t="s">
        <v>326</v>
      </c>
    </row>
    <row r="203" spans="1:35" s="279" customFormat="1" x14ac:dyDescent="0.35">
      <c r="A203" s="276">
        <v>471</v>
      </c>
      <c r="B203" s="280" t="s">
        <v>355</v>
      </c>
      <c r="C203" s="276" t="s">
        <v>306</v>
      </c>
      <c r="D203" s="276" t="s">
        <v>306</v>
      </c>
      <c r="E203" s="276" t="s">
        <v>306</v>
      </c>
      <c r="F203" s="276"/>
      <c r="G203" s="276" t="s">
        <v>302</v>
      </c>
      <c r="H203" s="276"/>
      <c r="I203" s="276"/>
      <c r="J203" s="278" t="s">
        <v>310</v>
      </c>
      <c r="K203" s="278" t="s">
        <v>310</v>
      </c>
      <c r="L203" s="276"/>
      <c r="M203" s="278" t="s">
        <v>311</v>
      </c>
      <c r="N203" s="276" t="s">
        <v>302</v>
      </c>
      <c r="O203" s="276" t="s">
        <v>325</v>
      </c>
      <c r="P203" s="276" t="s">
        <v>325</v>
      </c>
      <c r="Q203" s="276"/>
      <c r="R203" s="276" t="s">
        <v>325</v>
      </c>
      <c r="S203" s="276"/>
      <c r="T203" s="276"/>
      <c r="U203" s="276"/>
      <c r="V203" s="276"/>
      <c r="W203" s="276"/>
      <c r="X203" s="276"/>
      <c r="Y203" s="276" t="s">
        <v>307</v>
      </c>
      <c r="Z203" s="276"/>
      <c r="AA203" s="276"/>
      <c r="AB203" s="276"/>
      <c r="AC203" s="276"/>
      <c r="AD203" s="276" t="s">
        <v>302</v>
      </c>
      <c r="AE203" s="276" t="s">
        <v>302</v>
      </c>
      <c r="AF203" s="276" t="s">
        <v>346</v>
      </c>
    </row>
    <row r="204" spans="1:35" s="279" customFormat="1" ht="6.45" customHeight="1" x14ac:dyDescent="0.35">
      <c r="A204" s="276"/>
      <c r="B204" s="277"/>
      <c r="C204" s="281"/>
      <c r="D204" s="281"/>
      <c r="E204" s="281"/>
      <c r="F204" s="281"/>
      <c r="G204" s="281"/>
      <c r="H204" s="281"/>
      <c r="I204" s="281"/>
      <c r="J204" s="278"/>
      <c r="K204" s="278"/>
      <c r="L204" s="281"/>
      <c r="M204" s="278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  <c r="AC204" s="281"/>
      <c r="AD204" s="281"/>
      <c r="AE204" s="281"/>
      <c r="AF204" s="282"/>
    </row>
    <row r="205" spans="1:35" s="279" customFormat="1" x14ac:dyDescent="0.35">
      <c r="A205" s="250">
        <v>318</v>
      </c>
      <c r="B205" s="277" t="s">
        <v>522</v>
      </c>
      <c r="C205" s="278" t="s">
        <v>306</v>
      </c>
      <c r="D205" s="278" t="s">
        <v>306</v>
      </c>
      <c r="E205" s="283"/>
      <c r="F205" s="283" t="s">
        <v>306</v>
      </c>
      <c r="G205" s="278"/>
      <c r="H205" s="278"/>
      <c r="I205" s="278"/>
      <c r="J205" s="278" t="s">
        <v>310</v>
      </c>
      <c r="K205" s="278" t="s">
        <v>310</v>
      </c>
      <c r="L205" s="278"/>
      <c r="M205" s="278" t="s">
        <v>311</v>
      </c>
      <c r="N205" s="278" t="s">
        <v>302</v>
      </c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 t="s">
        <v>307</v>
      </c>
      <c r="Z205" s="278" t="s">
        <v>307</v>
      </c>
      <c r="AA205" s="278" t="s">
        <v>307</v>
      </c>
      <c r="AB205" s="278"/>
      <c r="AC205" s="278"/>
      <c r="AD205" s="278" t="s">
        <v>302</v>
      </c>
      <c r="AE205" s="278" t="s">
        <v>302</v>
      </c>
      <c r="AF205" s="282"/>
      <c r="AG205" s="284"/>
      <c r="AH205" s="284"/>
      <c r="AI205" s="284"/>
    </row>
    <row r="206" spans="1:35" s="279" customFormat="1" x14ac:dyDescent="0.35">
      <c r="A206" s="159">
        <v>537</v>
      </c>
      <c r="B206" s="285" t="s">
        <v>523</v>
      </c>
      <c r="C206" s="278" t="s">
        <v>302</v>
      </c>
      <c r="D206" s="278" t="s">
        <v>302</v>
      </c>
      <c r="E206" s="278"/>
      <c r="F206" s="278" t="s">
        <v>302</v>
      </c>
      <c r="G206" s="278"/>
      <c r="H206" s="278"/>
      <c r="I206" s="278"/>
      <c r="J206" s="276" t="s">
        <v>306</v>
      </c>
      <c r="K206" s="286" t="s">
        <v>310</v>
      </c>
      <c r="L206" s="276"/>
      <c r="M206" s="276" t="s">
        <v>311</v>
      </c>
      <c r="N206" s="276" t="s">
        <v>302</v>
      </c>
      <c r="O206" s="278" t="s">
        <v>307</v>
      </c>
      <c r="P206" s="278"/>
      <c r="Q206" s="278"/>
      <c r="R206" s="278"/>
      <c r="S206" s="278"/>
      <c r="T206" s="278"/>
      <c r="U206" s="278"/>
      <c r="V206" s="278"/>
      <c r="W206" s="276" t="s">
        <v>307</v>
      </c>
      <c r="X206" s="276"/>
      <c r="Y206" s="276" t="s">
        <v>302</v>
      </c>
      <c r="Z206" s="276" t="s">
        <v>307</v>
      </c>
      <c r="AA206" s="276" t="s">
        <v>307</v>
      </c>
      <c r="AB206" s="276"/>
      <c r="AC206" s="276"/>
      <c r="AD206" s="276" t="s">
        <v>302</v>
      </c>
      <c r="AE206" s="276" t="s">
        <v>302</v>
      </c>
      <c r="AF206" s="282"/>
    </row>
    <row r="207" spans="1:35" s="279" customFormat="1" x14ac:dyDescent="0.35">
      <c r="A207" s="159">
        <v>720</v>
      </c>
      <c r="B207" s="285" t="s">
        <v>524</v>
      </c>
      <c r="C207" s="278" t="s">
        <v>302</v>
      </c>
      <c r="D207" s="278" t="s">
        <v>302</v>
      </c>
      <c r="E207" s="276" t="s">
        <v>301</v>
      </c>
      <c r="F207" s="278" t="s">
        <v>302</v>
      </c>
      <c r="G207" s="278"/>
      <c r="H207" s="278"/>
      <c r="I207" s="278"/>
      <c r="J207" s="276" t="s">
        <v>306</v>
      </c>
      <c r="K207" s="286" t="s">
        <v>310</v>
      </c>
      <c r="L207" s="276"/>
      <c r="M207" s="276" t="s">
        <v>311</v>
      </c>
      <c r="N207" s="276" t="s">
        <v>302</v>
      </c>
      <c r="O207" s="278"/>
      <c r="P207" s="278"/>
      <c r="Q207" s="278"/>
      <c r="R207" s="278"/>
      <c r="S207" s="278"/>
      <c r="T207" s="278"/>
      <c r="U207" s="278"/>
      <c r="V207" s="278"/>
      <c r="W207" s="276" t="s">
        <v>307</v>
      </c>
      <c r="X207" s="276"/>
      <c r="Y207" s="276" t="s">
        <v>307</v>
      </c>
      <c r="Z207" s="276" t="s">
        <v>307</v>
      </c>
      <c r="AA207" s="276" t="s">
        <v>307</v>
      </c>
      <c r="AB207" s="276"/>
      <c r="AC207" s="276"/>
      <c r="AD207" s="276" t="s">
        <v>302</v>
      </c>
      <c r="AE207" s="276" t="s">
        <v>302</v>
      </c>
      <c r="AF207" s="282"/>
    </row>
    <row r="208" spans="1:35" s="279" customFormat="1" x14ac:dyDescent="0.35">
      <c r="A208" s="287">
        <v>1020</v>
      </c>
      <c r="B208" s="288" t="s">
        <v>525</v>
      </c>
      <c r="C208" s="278" t="s">
        <v>302</v>
      </c>
      <c r="D208" s="278" t="s">
        <v>302</v>
      </c>
      <c r="E208" s="278"/>
      <c r="F208" s="278"/>
      <c r="G208" s="278"/>
      <c r="H208" s="278"/>
      <c r="I208" s="278"/>
      <c r="J208" s="276" t="s">
        <v>306</v>
      </c>
      <c r="K208" s="286" t="s">
        <v>310</v>
      </c>
      <c r="L208" s="276"/>
      <c r="M208" s="276"/>
      <c r="N208" s="276" t="s">
        <v>302</v>
      </c>
      <c r="O208" s="278"/>
      <c r="P208" s="278"/>
      <c r="Q208" s="278"/>
      <c r="R208" s="278"/>
      <c r="S208" s="278"/>
      <c r="T208" s="278"/>
      <c r="U208" s="278"/>
      <c r="V208" s="278"/>
      <c r="W208" s="276" t="s">
        <v>307</v>
      </c>
      <c r="X208" s="276"/>
      <c r="Y208" s="276"/>
      <c r="Z208" s="276" t="s">
        <v>307</v>
      </c>
      <c r="AA208" s="276" t="s">
        <v>307</v>
      </c>
      <c r="AB208" s="276"/>
      <c r="AC208" s="276"/>
      <c r="AD208" s="276" t="s">
        <v>302</v>
      </c>
      <c r="AE208" s="276" t="s">
        <v>302</v>
      </c>
      <c r="AF208" s="282"/>
    </row>
    <row r="209" spans="32:32" s="37" customFormat="1" x14ac:dyDescent="0.35">
      <c r="AF209" s="74"/>
    </row>
    <row r="210" spans="32:32" s="37" customFormat="1" x14ac:dyDescent="0.35">
      <c r="AF210" s="74"/>
    </row>
    <row r="211" spans="32:32" s="37" customFormat="1" x14ac:dyDescent="0.35">
      <c r="AF211" s="74"/>
    </row>
    <row r="212" spans="32:32" s="37" customFormat="1" ht="25.7" customHeight="1" x14ac:dyDescent="0.35">
      <c r="AF212" s="74"/>
    </row>
    <row r="213" spans="32:32" s="37" customFormat="1" x14ac:dyDescent="0.35">
      <c r="AF213" s="74"/>
    </row>
    <row r="214" spans="32:32" s="37" customFormat="1" x14ac:dyDescent="0.35">
      <c r="AF214" s="74"/>
    </row>
    <row r="215" spans="32:32" s="37" customFormat="1" x14ac:dyDescent="0.35">
      <c r="AF215" s="74"/>
    </row>
    <row r="216" spans="32:32" s="37" customFormat="1" x14ac:dyDescent="0.35">
      <c r="AF216" s="74"/>
    </row>
    <row r="217" spans="32:32" s="37" customFormat="1" x14ac:dyDescent="0.35">
      <c r="AF217" s="74"/>
    </row>
    <row r="218" spans="32:32" s="37" customFormat="1" x14ac:dyDescent="0.35">
      <c r="AF218" s="74"/>
    </row>
    <row r="219" spans="32:32" s="37" customFormat="1" x14ac:dyDescent="0.35">
      <c r="AF219" s="74"/>
    </row>
    <row r="220" spans="32:32" s="37" customFormat="1" x14ac:dyDescent="0.35">
      <c r="AF220" s="74"/>
    </row>
    <row r="221" spans="32:32" s="37" customFormat="1" x14ac:dyDescent="0.35">
      <c r="AF221" s="74"/>
    </row>
    <row r="222" spans="32:32" s="37" customFormat="1" x14ac:dyDescent="0.35">
      <c r="AF222" s="74"/>
    </row>
    <row r="223" spans="32:32" s="37" customFormat="1" x14ac:dyDescent="0.35">
      <c r="AF223" s="74"/>
    </row>
    <row r="224" spans="32:32" s="37" customFormat="1" x14ac:dyDescent="0.35">
      <c r="AF224" s="74"/>
    </row>
    <row r="225" spans="32:32" s="37" customFormat="1" x14ac:dyDescent="0.35">
      <c r="AF225" s="74"/>
    </row>
    <row r="226" spans="32:32" s="37" customFormat="1" x14ac:dyDescent="0.35">
      <c r="AF226" s="74"/>
    </row>
    <row r="227" spans="32:32" s="37" customFormat="1" x14ac:dyDescent="0.35">
      <c r="AF227" s="74"/>
    </row>
    <row r="228" spans="32:32" s="37" customFormat="1" x14ac:dyDescent="0.35">
      <c r="AF228" s="74"/>
    </row>
    <row r="229" spans="32:32" s="37" customFormat="1" x14ac:dyDescent="0.35">
      <c r="AF229" s="74"/>
    </row>
    <row r="230" spans="32:32" s="37" customFormat="1" x14ac:dyDescent="0.35">
      <c r="AF230" s="74"/>
    </row>
    <row r="231" spans="32:32" s="37" customFormat="1" x14ac:dyDescent="0.35">
      <c r="AF231" s="74"/>
    </row>
    <row r="232" spans="32:32" s="182" customFormat="1" x14ac:dyDescent="0.35">
      <c r="AF232" s="219"/>
    </row>
    <row r="233" spans="32:32" s="37" customFormat="1" x14ac:dyDescent="0.35">
      <c r="AF233" s="74"/>
    </row>
    <row r="234" spans="32:32" s="37" customFormat="1" x14ac:dyDescent="0.35">
      <c r="AF234" s="74"/>
    </row>
    <row r="235" spans="32:32" s="37" customFormat="1" x14ac:dyDescent="0.35">
      <c r="AF235" s="74"/>
    </row>
    <row r="236" spans="32:32" s="37" customFormat="1" x14ac:dyDescent="0.35">
      <c r="AF236" s="74"/>
    </row>
    <row r="237" spans="32:32" s="37" customFormat="1" x14ac:dyDescent="0.35">
      <c r="AF237" s="74"/>
    </row>
    <row r="238" spans="32:32" s="37" customFormat="1" x14ac:dyDescent="0.35">
      <c r="AF238" s="74"/>
    </row>
    <row r="239" spans="32:32" s="37" customFormat="1" x14ac:dyDescent="0.35">
      <c r="AF239" s="74"/>
    </row>
    <row r="240" spans="32:32" s="37" customFormat="1" x14ac:dyDescent="0.35">
      <c r="AF240" s="74"/>
    </row>
    <row r="241" spans="1:32" s="37" customFormat="1" x14ac:dyDescent="0.35">
      <c r="AF241" s="74"/>
    </row>
    <row r="242" spans="1:32" s="37" customFormat="1" x14ac:dyDescent="0.35">
      <c r="AF242" s="74"/>
    </row>
    <row r="243" spans="1:32" s="37" customFormat="1" x14ac:dyDescent="0.35">
      <c r="AF243" s="74"/>
    </row>
    <row r="244" spans="1:32" x14ac:dyDescent="0.35">
      <c r="A244" s="265"/>
      <c r="AF244" s="265"/>
    </row>
    <row r="245" spans="1:32" x14ac:dyDescent="0.35">
      <c r="A245" s="265"/>
      <c r="AF245" s="265"/>
    </row>
    <row r="246" spans="1:32" x14ac:dyDescent="0.35">
      <c r="A246" s="265"/>
      <c r="AF246" s="265"/>
    </row>
    <row r="247" spans="1:32" x14ac:dyDescent="0.35">
      <c r="A247" s="265"/>
      <c r="AF247" s="265"/>
    </row>
    <row r="248" spans="1:32" x14ac:dyDescent="0.35">
      <c r="A248" s="265"/>
      <c r="AF248" s="265"/>
    </row>
    <row r="249" spans="1:32" x14ac:dyDescent="0.35">
      <c r="A249" s="265"/>
      <c r="AF249" s="265"/>
    </row>
    <row r="250" spans="1:32" x14ac:dyDescent="0.35">
      <c r="A250" s="265"/>
      <c r="AF250" s="265"/>
    </row>
    <row r="251" spans="1:32" x14ac:dyDescent="0.35">
      <c r="A251" s="265"/>
      <c r="AF251" s="265"/>
    </row>
    <row r="252" spans="1:32" x14ac:dyDescent="0.35">
      <c r="A252" s="265"/>
      <c r="AF252" s="265"/>
    </row>
    <row r="253" spans="1:32" x14ac:dyDescent="0.35">
      <c r="A253" s="265"/>
      <c r="AF253" s="265"/>
    </row>
    <row r="254" spans="1:32" x14ac:dyDescent="0.35">
      <c r="A254" s="265"/>
      <c r="AF254" s="265"/>
    </row>
    <row r="255" spans="1:32" x14ac:dyDescent="0.35">
      <c r="A255" s="265"/>
      <c r="AF255" s="265"/>
    </row>
    <row r="256" spans="1:32" x14ac:dyDescent="0.35">
      <c r="A256" s="265"/>
      <c r="AF256" s="265"/>
    </row>
    <row r="257" spans="1:32" x14ac:dyDescent="0.35">
      <c r="A257" s="265"/>
      <c r="AF257" s="265"/>
    </row>
    <row r="258" spans="1:32" x14ac:dyDescent="0.35">
      <c r="A258" s="265"/>
      <c r="AF258" s="265"/>
    </row>
    <row r="259" spans="1:32" x14ac:dyDescent="0.35">
      <c r="A259" s="265"/>
      <c r="AF259" s="265"/>
    </row>
    <row r="260" spans="1:32" x14ac:dyDescent="0.35">
      <c r="A260" s="265"/>
      <c r="AF260" s="265"/>
    </row>
    <row r="261" spans="1:32" x14ac:dyDescent="0.35">
      <c r="A261" s="265"/>
      <c r="AF261" s="265"/>
    </row>
    <row r="262" spans="1:32" x14ac:dyDescent="0.35">
      <c r="A262" s="265"/>
      <c r="AF262" s="265"/>
    </row>
    <row r="263" spans="1:32" x14ac:dyDescent="0.35">
      <c r="A263" s="265"/>
      <c r="AF263" s="265"/>
    </row>
    <row r="264" spans="1:32" x14ac:dyDescent="0.35">
      <c r="A264" s="265"/>
      <c r="AF264" s="265"/>
    </row>
    <row r="265" spans="1:32" x14ac:dyDescent="0.35">
      <c r="A265" s="265"/>
      <c r="AF265" s="265"/>
    </row>
    <row r="266" spans="1:32" x14ac:dyDescent="0.35">
      <c r="A266" s="265"/>
      <c r="AF266" s="265"/>
    </row>
    <row r="267" spans="1:32" x14ac:dyDescent="0.35">
      <c r="A267" s="265"/>
      <c r="AF267" s="265"/>
    </row>
    <row r="268" spans="1:32" x14ac:dyDescent="0.35">
      <c r="A268" s="265"/>
      <c r="AF268" s="265"/>
    </row>
    <row r="269" spans="1:32" x14ac:dyDescent="0.35">
      <c r="A269" s="265"/>
      <c r="AF269" s="265"/>
    </row>
    <row r="270" spans="1:32" x14ac:dyDescent="0.35">
      <c r="A270" s="265"/>
      <c r="AF270" s="265"/>
    </row>
    <row r="271" spans="1:32" x14ac:dyDescent="0.35">
      <c r="A271" s="265"/>
      <c r="AF271" s="265"/>
    </row>
    <row r="272" spans="1:32" x14ac:dyDescent="0.35">
      <c r="A272" s="265"/>
      <c r="AF272" s="265"/>
    </row>
    <row r="273" spans="1:32" x14ac:dyDescent="0.35">
      <c r="A273" s="265"/>
      <c r="AF273" s="265"/>
    </row>
    <row r="274" spans="1:32" x14ac:dyDescent="0.35">
      <c r="A274" s="265"/>
      <c r="AF274" s="265"/>
    </row>
    <row r="275" spans="1:32" x14ac:dyDescent="0.35">
      <c r="A275" s="265"/>
      <c r="AF275" s="265"/>
    </row>
    <row r="276" spans="1:32" x14ac:dyDescent="0.35">
      <c r="A276" s="265"/>
      <c r="AF276" s="265"/>
    </row>
    <row r="277" spans="1:32" x14ac:dyDescent="0.35">
      <c r="A277" s="265"/>
      <c r="AF277" s="265"/>
    </row>
    <row r="278" spans="1:32" x14ac:dyDescent="0.35">
      <c r="A278" s="265"/>
      <c r="AF278" s="265"/>
    </row>
    <row r="279" spans="1:32" x14ac:dyDescent="0.35">
      <c r="A279" s="265"/>
      <c r="AF279" s="265"/>
    </row>
    <row r="280" spans="1:32" x14ac:dyDescent="0.35">
      <c r="A280" s="265"/>
      <c r="AF280" s="265"/>
    </row>
    <row r="281" spans="1:32" x14ac:dyDescent="0.35">
      <c r="A281" s="265"/>
      <c r="AF281" s="265"/>
    </row>
    <row r="282" spans="1:32" x14ac:dyDescent="0.35">
      <c r="A282" s="265"/>
      <c r="AF282" s="265"/>
    </row>
    <row r="283" spans="1:32" x14ac:dyDescent="0.35">
      <c r="A283" s="265"/>
      <c r="AF283" s="265"/>
    </row>
    <row r="284" spans="1:32" x14ac:dyDescent="0.35">
      <c r="A284" s="265"/>
      <c r="AF284" s="265"/>
    </row>
    <row r="285" spans="1:32" x14ac:dyDescent="0.35">
      <c r="A285" s="265"/>
      <c r="AF285" s="265"/>
    </row>
    <row r="286" spans="1:32" x14ac:dyDescent="0.35">
      <c r="A286" s="265"/>
      <c r="AF286" s="265"/>
    </row>
    <row r="287" spans="1:32" x14ac:dyDescent="0.35">
      <c r="A287" s="265"/>
      <c r="AF287" s="265"/>
    </row>
    <row r="288" spans="1:32" x14ac:dyDescent="0.35">
      <c r="A288" s="265"/>
      <c r="AF288" s="265"/>
    </row>
    <row r="289" spans="1:32" x14ac:dyDescent="0.35">
      <c r="A289" s="265"/>
      <c r="AF289" s="265"/>
    </row>
    <row r="290" spans="1:32" x14ac:dyDescent="0.35">
      <c r="A290" s="265"/>
      <c r="AF290" s="265"/>
    </row>
    <row r="291" spans="1:32" x14ac:dyDescent="0.35">
      <c r="A291" s="265"/>
      <c r="AF291" s="265"/>
    </row>
    <row r="292" spans="1:32" x14ac:dyDescent="0.35">
      <c r="A292" s="265"/>
      <c r="AF292" s="265"/>
    </row>
    <row r="293" spans="1:32" x14ac:dyDescent="0.35">
      <c r="A293" s="265"/>
      <c r="AF293" s="265"/>
    </row>
    <row r="294" spans="1:32" x14ac:dyDescent="0.35">
      <c r="A294" s="265"/>
      <c r="AF294" s="265"/>
    </row>
    <row r="295" spans="1:32" x14ac:dyDescent="0.35">
      <c r="A295" s="265"/>
      <c r="AF295" s="265"/>
    </row>
    <row r="296" spans="1:32" s="182" customFormat="1" x14ac:dyDescent="0.35">
      <c r="AF296" s="219"/>
    </row>
    <row r="297" spans="1:32" s="182" customFormat="1" x14ac:dyDescent="0.35">
      <c r="AF297" s="219"/>
    </row>
    <row r="298" spans="1:32" s="182" customFormat="1" x14ac:dyDescent="0.35">
      <c r="AF298" s="219"/>
    </row>
    <row r="299" spans="1:32" s="182" customFormat="1" x14ac:dyDescent="0.35">
      <c r="AF299" s="219"/>
    </row>
    <row r="300" spans="1:32" x14ac:dyDescent="0.35">
      <c r="A300" s="265"/>
      <c r="AF300" s="265"/>
    </row>
    <row r="301" spans="1:32" s="37" customFormat="1" x14ac:dyDescent="0.35">
      <c r="A301" s="328" t="s">
        <v>389</v>
      </c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X301" s="182"/>
      <c r="AF301" s="74"/>
    </row>
    <row r="302" spans="1:32" x14ac:dyDescent="0.35">
      <c r="A302" s="265"/>
      <c r="AF302" s="265"/>
    </row>
    <row r="303" spans="1:32" x14ac:dyDescent="0.35">
      <c r="A303" s="265"/>
      <c r="AF303" s="265"/>
    </row>
    <row r="304" spans="1:32" x14ac:dyDescent="0.35">
      <c r="A304" s="265"/>
      <c r="AF304" s="265"/>
    </row>
    <row r="305" spans="1:32" x14ac:dyDescent="0.35">
      <c r="A305" s="265"/>
      <c r="AF305" s="265"/>
    </row>
    <row r="306" spans="1:32" x14ac:dyDescent="0.35">
      <c r="A306" s="265"/>
      <c r="AF306" s="265"/>
    </row>
    <row r="307" spans="1:32" x14ac:dyDescent="0.35">
      <c r="A307" s="265"/>
      <c r="AF307" s="265"/>
    </row>
    <row r="308" spans="1:32" x14ac:dyDescent="0.35">
      <c r="A308" s="265"/>
      <c r="AF308" s="265"/>
    </row>
    <row r="309" spans="1:32" x14ac:dyDescent="0.35">
      <c r="A309" s="265"/>
      <c r="AF309" s="265"/>
    </row>
    <row r="310" spans="1:32" x14ac:dyDescent="0.35">
      <c r="A310" s="265"/>
      <c r="AF310" s="265"/>
    </row>
    <row r="311" spans="1:32" x14ac:dyDescent="0.35">
      <c r="A311" s="265"/>
      <c r="AF311" s="265"/>
    </row>
    <row r="312" spans="1:32" x14ac:dyDescent="0.35">
      <c r="A312" s="265"/>
      <c r="AF312" s="265"/>
    </row>
    <row r="313" spans="1:32" x14ac:dyDescent="0.35">
      <c r="A313" s="265"/>
      <c r="AF313" s="265"/>
    </row>
    <row r="314" spans="1:32" x14ac:dyDescent="0.35">
      <c r="A314" s="265"/>
      <c r="AF314" s="265"/>
    </row>
    <row r="315" spans="1:32" x14ac:dyDescent="0.35">
      <c r="A315" s="265"/>
      <c r="AF315" s="265"/>
    </row>
    <row r="316" spans="1:32" x14ac:dyDescent="0.35">
      <c r="A316" s="265"/>
      <c r="AF316" s="265"/>
    </row>
    <row r="317" spans="1:32" x14ac:dyDescent="0.35">
      <c r="A317" s="265"/>
      <c r="AF317" s="265"/>
    </row>
    <row r="318" spans="1:32" x14ac:dyDescent="0.35">
      <c r="A318" s="265"/>
      <c r="AF318" s="265"/>
    </row>
    <row r="319" spans="1:32" x14ac:dyDescent="0.35">
      <c r="A319" s="265"/>
      <c r="AF319" s="265"/>
    </row>
    <row r="320" spans="1:32" x14ac:dyDescent="0.35">
      <c r="A320" s="265"/>
      <c r="AF320" s="265"/>
    </row>
    <row r="321" spans="1:32" x14ac:dyDescent="0.35">
      <c r="A321" s="265"/>
      <c r="AF321" s="265"/>
    </row>
    <row r="322" spans="1:32" x14ac:dyDescent="0.35">
      <c r="A322" s="265"/>
      <c r="AF322" s="265"/>
    </row>
    <row r="323" spans="1:32" x14ac:dyDescent="0.35">
      <c r="A323" s="265"/>
      <c r="AF323" s="265"/>
    </row>
    <row r="324" spans="1:32" x14ac:dyDescent="0.35">
      <c r="A324" s="265"/>
      <c r="AF324" s="265"/>
    </row>
    <row r="325" spans="1:32" x14ac:dyDescent="0.35">
      <c r="A325" s="265"/>
      <c r="AF325" s="265"/>
    </row>
    <row r="326" spans="1:32" x14ac:dyDescent="0.35">
      <c r="A326" s="265"/>
      <c r="AF326" s="265"/>
    </row>
    <row r="327" spans="1:32" x14ac:dyDescent="0.35">
      <c r="A327" s="265"/>
      <c r="AF327" s="265"/>
    </row>
    <row r="328" spans="1:32" x14ac:dyDescent="0.35">
      <c r="A328" s="265"/>
      <c r="AF328" s="265"/>
    </row>
    <row r="329" spans="1:32" x14ac:dyDescent="0.35">
      <c r="A329" s="265"/>
      <c r="AF329" s="265"/>
    </row>
    <row r="330" spans="1:32" x14ac:dyDescent="0.35">
      <c r="A330" s="265"/>
      <c r="AF330" s="265"/>
    </row>
    <row r="331" spans="1:32" x14ac:dyDescent="0.35">
      <c r="A331" s="265"/>
      <c r="AF331" s="265"/>
    </row>
    <row r="332" spans="1:32" x14ac:dyDescent="0.35">
      <c r="A332" s="265"/>
      <c r="AF332" s="265"/>
    </row>
    <row r="333" spans="1:32" x14ac:dyDescent="0.35">
      <c r="A333" s="265"/>
      <c r="AF333" s="265"/>
    </row>
    <row r="334" spans="1:32" x14ac:dyDescent="0.35">
      <c r="A334" s="265"/>
      <c r="AF334" s="265"/>
    </row>
    <row r="335" spans="1:32" x14ac:dyDescent="0.35">
      <c r="A335" s="265"/>
      <c r="AF335" s="265"/>
    </row>
    <row r="336" spans="1:32" x14ac:dyDescent="0.35">
      <c r="A336" s="265"/>
      <c r="AF336" s="265"/>
    </row>
    <row r="337" spans="1:32" x14ac:dyDescent="0.35">
      <c r="A337" s="265"/>
      <c r="AF337" s="265"/>
    </row>
  </sheetData>
  <mergeCells count="10">
    <mergeCell ref="A301:L301"/>
    <mergeCell ref="A1:AF1"/>
    <mergeCell ref="A2:AF2"/>
    <mergeCell ref="AF3:AF4"/>
    <mergeCell ref="A3:B3"/>
    <mergeCell ref="C3:M3"/>
    <mergeCell ref="Z3:AA3"/>
    <mergeCell ref="N3:Y3"/>
    <mergeCell ref="AD3:AE3"/>
    <mergeCell ref="AB3:AC3"/>
  </mergeCells>
  <printOptions horizontalCentered="1"/>
  <pageMargins left="0.25" right="0.25" top="0.75" bottom="0.5" header="0.25" footer="0.25"/>
  <pageSetup scale="67" fitToHeight="0" orientation="landscape" r:id="rId1"/>
  <headerFooter>
    <oddFooter>&amp;C&amp;"Times New Roman,Regular"Page &amp;P of &amp;N</oddFooter>
  </headerFooter>
  <rowBreaks count="1" manualBreakCount="1">
    <brk id="15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79998168889431442"/>
  </sheetPr>
  <dimension ref="A1:D68"/>
  <sheetViews>
    <sheetView workbookViewId="0">
      <selection activeCell="A4" sqref="A4"/>
    </sheetView>
  </sheetViews>
  <sheetFormatPr defaultColWidth="8.69140625" defaultRowHeight="12.9" x14ac:dyDescent="0.35"/>
  <cols>
    <col min="1" max="1" width="8.69140625" style="4"/>
    <col min="2" max="2" width="25.53515625" style="14" customWidth="1"/>
    <col min="3" max="3" width="10.84375" style="4" customWidth="1"/>
    <col min="4" max="4" width="13.3828125" style="4" customWidth="1"/>
    <col min="5" max="16384" width="8.69140625" style="4"/>
  </cols>
  <sheetData>
    <row r="1" spans="1:4" x14ac:dyDescent="0.35">
      <c r="A1" s="342" t="s">
        <v>390</v>
      </c>
      <c r="B1" s="342"/>
      <c r="C1" s="342"/>
      <c r="D1" s="342"/>
    </row>
    <row r="2" spans="1:4" x14ac:dyDescent="0.35">
      <c r="A2" s="343" t="s">
        <v>391</v>
      </c>
      <c r="B2" s="342"/>
      <c r="C2" s="342"/>
      <c r="D2" s="342"/>
    </row>
    <row r="3" spans="1:4" x14ac:dyDescent="0.35">
      <c r="A3" s="344"/>
      <c r="B3" s="345"/>
      <c r="C3" s="345"/>
      <c r="D3" s="345"/>
    </row>
    <row r="4" spans="1:4" s="15" customFormat="1" ht="37.5" x14ac:dyDescent="0.35">
      <c r="A4" s="32" t="s">
        <v>218</v>
      </c>
      <c r="B4" s="32" t="s">
        <v>392</v>
      </c>
      <c r="C4" s="32" t="s">
        <v>393</v>
      </c>
      <c r="D4" s="32" t="s">
        <v>394</v>
      </c>
    </row>
    <row r="5" spans="1:4" s="15" customFormat="1" ht="12.9" customHeight="1" x14ac:dyDescent="0.35">
      <c r="A5" s="18" t="s">
        <v>36</v>
      </c>
      <c r="B5" s="19"/>
      <c r="C5" s="20"/>
      <c r="D5" s="21"/>
    </row>
    <row r="6" spans="1:4" s="15" customFormat="1" x14ac:dyDescent="0.35">
      <c r="A6" s="264">
        <v>158</v>
      </c>
      <c r="B6" s="268" t="s">
        <v>46</v>
      </c>
      <c r="C6" s="264">
        <v>2</v>
      </c>
      <c r="D6" s="341" t="s">
        <v>395</v>
      </c>
    </row>
    <row r="7" spans="1:4" s="15" customFormat="1" x14ac:dyDescent="0.35">
      <c r="A7" s="266">
        <v>170</v>
      </c>
      <c r="B7" s="259" t="s">
        <v>396</v>
      </c>
      <c r="C7" s="266">
        <v>4</v>
      </c>
      <c r="D7" s="341"/>
    </row>
    <row r="8" spans="1:4" s="15" customFormat="1" x14ac:dyDescent="0.35">
      <c r="A8" s="266">
        <v>175</v>
      </c>
      <c r="B8" s="259" t="s">
        <v>397</v>
      </c>
      <c r="C8" s="266">
        <v>19</v>
      </c>
      <c r="D8" s="341"/>
    </row>
    <row r="9" spans="1:4" s="15" customFormat="1" x14ac:dyDescent="0.35">
      <c r="A9" s="266">
        <v>157</v>
      </c>
      <c r="B9" s="259" t="s">
        <v>398</v>
      </c>
      <c r="C9" s="266">
        <v>23</v>
      </c>
      <c r="D9" s="341"/>
    </row>
    <row r="10" spans="1:4" s="15" customFormat="1" ht="25.8" x14ac:dyDescent="0.35">
      <c r="A10" s="266">
        <v>212</v>
      </c>
      <c r="B10" s="259" t="s">
        <v>54</v>
      </c>
      <c r="C10" s="266">
        <v>13</v>
      </c>
      <c r="D10" s="341"/>
    </row>
    <row r="11" spans="1:4" s="15" customFormat="1" x14ac:dyDescent="0.35">
      <c r="A11" s="266">
        <v>308</v>
      </c>
      <c r="B11" s="259" t="s">
        <v>57</v>
      </c>
      <c r="C11" s="266">
        <v>3</v>
      </c>
      <c r="D11" s="341"/>
    </row>
    <row r="12" spans="1:4" s="15" customFormat="1" x14ac:dyDescent="0.35">
      <c r="A12" s="266">
        <v>314</v>
      </c>
      <c r="B12" s="259" t="s">
        <v>399</v>
      </c>
      <c r="C12" s="266">
        <v>6</v>
      </c>
      <c r="D12" s="341"/>
    </row>
    <row r="13" spans="1:4" s="15" customFormat="1" x14ac:dyDescent="0.35">
      <c r="A13" s="266">
        <v>317</v>
      </c>
      <c r="B13" s="259" t="s">
        <v>400</v>
      </c>
      <c r="C13" s="266">
        <v>7</v>
      </c>
      <c r="D13" s="341"/>
    </row>
    <row r="14" spans="1:4" s="15" customFormat="1" x14ac:dyDescent="0.35">
      <c r="A14" s="266">
        <v>318</v>
      </c>
      <c r="B14" s="259" t="s">
        <v>61</v>
      </c>
      <c r="C14" s="266">
        <v>11</v>
      </c>
      <c r="D14" s="341"/>
    </row>
    <row r="15" spans="1:4" s="15" customFormat="1" x14ac:dyDescent="0.35">
      <c r="A15" s="266">
        <v>318</v>
      </c>
      <c r="B15" s="259" t="s">
        <v>62</v>
      </c>
      <c r="C15" s="266">
        <v>9</v>
      </c>
      <c r="D15" s="341"/>
    </row>
    <row r="16" spans="1:4" s="15" customFormat="1" x14ac:dyDescent="0.35">
      <c r="A16" s="266">
        <v>318</v>
      </c>
      <c r="B16" s="259" t="s">
        <v>401</v>
      </c>
      <c r="C16" s="266">
        <v>6</v>
      </c>
      <c r="D16" s="341"/>
    </row>
    <row r="17" spans="1:4" s="15" customFormat="1" x14ac:dyDescent="0.35">
      <c r="A17" s="266">
        <v>318</v>
      </c>
      <c r="B17" s="259" t="s">
        <v>402</v>
      </c>
      <c r="C17" s="266">
        <v>4</v>
      </c>
      <c r="D17" s="341"/>
    </row>
    <row r="18" spans="1:4" s="15" customFormat="1" x14ac:dyDescent="0.35">
      <c r="A18" s="266">
        <v>318</v>
      </c>
      <c r="B18" s="259" t="s">
        <v>403</v>
      </c>
      <c r="C18" s="266">
        <v>4</v>
      </c>
      <c r="D18" s="341"/>
    </row>
    <row r="19" spans="1:4" s="15" customFormat="1" x14ac:dyDescent="0.35">
      <c r="A19" s="266">
        <v>318</v>
      </c>
      <c r="B19" s="259" t="s">
        <v>63</v>
      </c>
      <c r="C19" s="266">
        <v>6</v>
      </c>
      <c r="D19" s="341"/>
    </row>
    <row r="20" spans="1:4" s="15" customFormat="1" x14ac:dyDescent="0.35">
      <c r="A20" s="266">
        <v>319</v>
      </c>
      <c r="B20" s="259" t="s">
        <v>404</v>
      </c>
      <c r="C20" s="266">
        <v>20</v>
      </c>
      <c r="D20" s="341"/>
    </row>
    <row r="21" spans="1:4" s="15" customFormat="1" x14ac:dyDescent="0.35">
      <c r="A21" s="266">
        <v>319</v>
      </c>
      <c r="B21" s="259" t="s">
        <v>405</v>
      </c>
      <c r="C21" s="266">
        <v>13</v>
      </c>
      <c r="D21" s="341"/>
    </row>
    <row r="22" spans="1:4" s="15" customFormat="1" x14ac:dyDescent="0.35">
      <c r="A22" s="266">
        <v>319</v>
      </c>
      <c r="B22" s="259" t="s">
        <v>406</v>
      </c>
      <c r="C22" s="266">
        <v>5</v>
      </c>
      <c r="D22" s="341"/>
    </row>
    <row r="23" spans="1:4" s="15" customFormat="1" x14ac:dyDescent="0.35">
      <c r="A23" s="266">
        <v>319</v>
      </c>
      <c r="B23" s="259" t="s">
        <v>77</v>
      </c>
      <c r="C23" s="266">
        <v>0</v>
      </c>
      <c r="D23" s="341"/>
    </row>
    <row r="24" spans="1:4" s="15" customFormat="1" x14ac:dyDescent="0.35">
      <c r="A24" s="266">
        <v>319</v>
      </c>
      <c r="B24" s="259" t="s">
        <v>331</v>
      </c>
      <c r="C24" s="266">
        <v>2</v>
      </c>
      <c r="D24" s="341"/>
    </row>
    <row r="25" spans="1:4" s="15" customFormat="1" x14ac:dyDescent="0.35">
      <c r="A25" s="263">
        <v>320</v>
      </c>
      <c r="B25" s="267" t="s">
        <v>79</v>
      </c>
      <c r="C25" s="263">
        <v>12</v>
      </c>
      <c r="D25" s="341"/>
    </row>
    <row r="26" spans="1:4" s="15" customFormat="1" ht="12.9" customHeight="1" x14ac:dyDescent="0.35">
      <c r="A26" s="22" t="s">
        <v>107</v>
      </c>
      <c r="B26" s="23"/>
      <c r="C26" s="24"/>
      <c r="D26" s="25"/>
    </row>
    <row r="27" spans="1:4" s="15" customFormat="1" x14ac:dyDescent="0.35">
      <c r="A27" s="264">
        <v>50</v>
      </c>
      <c r="B27" s="268" t="s">
        <v>407</v>
      </c>
      <c r="C27" s="264">
        <v>8</v>
      </c>
      <c r="D27" s="341" t="s">
        <v>395</v>
      </c>
    </row>
    <row r="28" spans="1:4" s="15" customFormat="1" x14ac:dyDescent="0.35">
      <c r="A28" s="266">
        <v>405</v>
      </c>
      <c r="B28" s="259" t="s">
        <v>408</v>
      </c>
      <c r="C28" s="266">
        <v>4</v>
      </c>
      <c r="D28" s="341"/>
    </row>
    <row r="29" spans="1:4" s="15" customFormat="1" x14ac:dyDescent="0.35">
      <c r="A29" s="266">
        <v>410</v>
      </c>
      <c r="B29" s="259" t="s">
        <v>119</v>
      </c>
      <c r="C29" s="266">
        <v>30</v>
      </c>
      <c r="D29" s="341"/>
    </row>
    <row r="30" spans="1:4" s="15" customFormat="1" x14ac:dyDescent="0.35">
      <c r="A30" s="266">
        <v>422</v>
      </c>
      <c r="B30" s="259" t="s">
        <v>121</v>
      </c>
      <c r="C30" s="266">
        <v>9</v>
      </c>
      <c r="D30" s="341"/>
    </row>
    <row r="31" spans="1:4" s="15" customFormat="1" x14ac:dyDescent="0.35">
      <c r="A31" s="266">
        <v>424</v>
      </c>
      <c r="B31" s="259" t="s">
        <v>122</v>
      </c>
      <c r="C31" s="266">
        <v>4</v>
      </c>
      <c r="D31" s="341"/>
    </row>
    <row r="32" spans="1:4" s="15" customFormat="1" x14ac:dyDescent="0.35">
      <c r="A32" s="266">
        <v>426</v>
      </c>
      <c r="B32" s="259" t="s">
        <v>123</v>
      </c>
      <c r="C32" s="266">
        <v>32</v>
      </c>
      <c r="D32" s="341"/>
    </row>
    <row r="33" spans="1:4" s="15" customFormat="1" x14ac:dyDescent="0.35">
      <c r="A33" s="266">
        <v>435</v>
      </c>
      <c r="B33" s="259" t="s">
        <v>125</v>
      </c>
      <c r="C33" s="266">
        <v>5</v>
      </c>
      <c r="D33" s="341"/>
    </row>
    <row r="34" spans="1:4" s="15" customFormat="1" x14ac:dyDescent="0.35">
      <c r="A34" s="266">
        <v>444</v>
      </c>
      <c r="B34" s="259" t="s">
        <v>129</v>
      </c>
      <c r="C34" s="7">
        <v>5</v>
      </c>
      <c r="D34" s="341"/>
    </row>
    <row r="35" spans="1:4" s="15" customFormat="1" x14ac:dyDescent="0.35">
      <c r="A35" s="266">
        <v>459</v>
      </c>
      <c r="B35" s="259" t="s">
        <v>130</v>
      </c>
      <c r="C35" s="7">
        <v>8</v>
      </c>
      <c r="D35" s="341"/>
    </row>
    <row r="36" spans="1:4" s="15" customFormat="1" x14ac:dyDescent="0.35">
      <c r="A36" s="266">
        <v>460</v>
      </c>
      <c r="B36" s="259" t="s">
        <v>131</v>
      </c>
      <c r="C36" s="7">
        <v>6</v>
      </c>
      <c r="D36" s="341"/>
    </row>
    <row r="37" spans="1:4" s="15" customFormat="1" x14ac:dyDescent="0.35">
      <c r="A37" s="266">
        <v>462</v>
      </c>
      <c r="B37" s="259" t="s">
        <v>132</v>
      </c>
      <c r="C37" s="7">
        <v>9</v>
      </c>
      <c r="D37" s="341"/>
    </row>
    <row r="38" spans="1:4" s="15" customFormat="1" x14ac:dyDescent="0.35">
      <c r="A38" s="266">
        <v>465</v>
      </c>
      <c r="B38" s="259" t="s">
        <v>134</v>
      </c>
      <c r="C38" s="266">
        <v>20</v>
      </c>
      <c r="D38" s="341"/>
    </row>
    <row r="39" spans="1:4" s="15" customFormat="1" x14ac:dyDescent="0.35">
      <c r="A39" s="266">
        <v>466</v>
      </c>
      <c r="B39" s="259" t="s">
        <v>200</v>
      </c>
      <c r="C39" s="266">
        <v>9</v>
      </c>
      <c r="D39" s="341"/>
    </row>
    <row r="40" spans="1:4" s="15" customFormat="1" x14ac:dyDescent="0.35">
      <c r="A40" s="266">
        <v>476</v>
      </c>
      <c r="B40" s="259" t="s">
        <v>136</v>
      </c>
      <c r="C40" s="266">
        <v>5</v>
      </c>
      <c r="D40" s="341"/>
    </row>
    <row r="41" spans="1:4" s="15" customFormat="1" x14ac:dyDescent="0.35">
      <c r="A41" s="266">
        <v>476</v>
      </c>
      <c r="B41" s="259" t="s">
        <v>137</v>
      </c>
      <c r="C41" s="266">
        <v>4</v>
      </c>
      <c r="D41" s="341"/>
    </row>
    <row r="42" spans="1:4" s="15" customFormat="1" x14ac:dyDescent="0.35">
      <c r="A42" s="266">
        <v>494</v>
      </c>
      <c r="B42" s="259" t="s">
        <v>138</v>
      </c>
      <c r="C42" s="7">
        <v>1</v>
      </c>
      <c r="D42" s="341"/>
    </row>
    <row r="43" spans="1:4" s="15" customFormat="1" x14ac:dyDescent="0.35">
      <c r="A43" s="266">
        <v>537</v>
      </c>
      <c r="B43" s="259" t="s">
        <v>141</v>
      </c>
      <c r="C43" s="7">
        <v>100</v>
      </c>
      <c r="D43" s="341"/>
    </row>
    <row r="44" spans="1:4" s="15" customFormat="1" x14ac:dyDescent="0.35">
      <c r="A44" s="266">
        <v>542</v>
      </c>
      <c r="B44" s="259" t="s">
        <v>142</v>
      </c>
      <c r="C44" s="266">
        <v>15</v>
      </c>
      <c r="D44" s="341"/>
    </row>
    <row r="45" spans="1:4" s="15" customFormat="1" x14ac:dyDescent="0.35">
      <c r="A45" s="266">
        <v>546</v>
      </c>
      <c r="B45" s="259" t="s">
        <v>144</v>
      </c>
      <c r="C45" s="266">
        <v>6</v>
      </c>
      <c r="D45" s="341"/>
    </row>
    <row r="46" spans="1:4" s="15" customFormat="1" x14ac:dyDescent="0.35">
      <c r="A46" s="266">
        <v>564</v>
      </c>
      <c r="B46" s="259" t="s">
        <v>150</v>
      </c>
      <c r="C46" s="266">
        <v>18</v>
      </c>
      <c r="D46" s="341"/>
    </row>
    <row r="47" spans="1:4" s="15" customFormat="1" x14ac:dyDescent="0.35">
      <c r="A47" s="266">
        <v>580</v>
      </c>
      <c r="B47" s="259" t="s">
        <v>248</v>
      </c>
      <c r="C47" s="266">
        <v>4</v>
      </c>
      <c r="D47" s="341"/>
    </row>
    <row r="48" spans="1:4" s="15" customFormat="1" x14ac:dyDescent="0.35">
      <c r="A48" s="266">
        <v>585</v>
      </c>
      <c r="B48" s="259" t="s">
        <v>249</v>
      </c>
      <c r="C48" s="266">
        <v>18</v>
      </c>
      <c r="D48" s="341"/>
    </row>
    <row r="49" spans="1:4" s="15" customFormat="1" x14ac:dyDescent="0.35">
      <c r="A49" s="266">
        <v>606</v>
      </c>
      <c r="B49" s="259" t="s">
        <v>79</v>
      </c>
      <c r="C49" s="339">
        <v>22</v>
      </c>
      <c r="D49" s="341"/>
    </row>
    <row r="50" spans="1:4" s="15" customFormat="1" x14ac:dyDescent="0.35">
      <c r="A50" s="266">
        <v>606</v>
      </c>
      <c r="B50" s="259" t="s">
        <v>158</v>
      </c>
      <c r="C50" s="340"/>
      <c r="D50" s="341"/>
    </row>
    <row r="51" spans="1:4" s="15" customFormat="1" x14ac:dyDescent="0.35">
      <c r="A51" s="266">
        <v>608</v>
      </c>
      <c r="B51" s="259" t="s">
        <v>159</v>
      </c>
      <c r="C51" s="7">
        <v>3</v>
      </c>
      <c r="D51" s="341"/>
    </row>
    <row r="52" spans="1:4" s="15" customFormat="1" x14ac:dyDescent="0.35">
      <c r="A52" s="266">
        <v>609</v>
      </c>
      <c r="B52" s="259" t="s">
        <v>160</v>
      </c>
      <c r="C52" s="7">
        <v>8</v>
      </c>
      <c r="D52" s="341"/>
    </row>
    <row r="53" spans="1:4" s="15" customFormat="1" x14ac:dyDescent="0.35">
      <c r="A53" s="266">
        <v>618</v>
      </c>
      <c r="B53" s="259" t="s">
        <v>161</v>
      </c>
      <c r="C53" s="266">
        <v>30</v>
      </c>
      <c r="D53" s="341"/>
    </row>
    <row r="54" spans="1:4" s="15" customFormat="1" x14ac:dyDescent="0.35">
      <c r="A54" s="266">
        <v>618</v>
      </c>
      <c r="B54" s="259" t="s">
        <v>409</v>
      </c>
      <c r="C54" s="266">
        <v>105</v>
      </c>
      <c r="D54" s="341"/>
    </row>
    <row r="55" spans="1:4" s="15" customFormat="1" x14ac:dyDescent="0.35">
      <c r="A55" s="266">
        <v>622</v>
      </c>
      <c r="B55" s="259" t="s">
        <v>167</v>
      </c>
      <c r="C55" s="266">
        <v>2</v>
      </c>
      <c r="D55" s="341"/>
    </row>
    <row r="56" spans="1:4" s="15" customFormat="1" x14ac:dyDescent="0.35">
      <c r="A56" s="266">
        <v>623</v>
      </c>
      <c r="B56" s="259" t="s">
        <v>47</v>
      </c>
      <c r="C56" s="266">
        <v>4</v>
      </c>
      <c r="D56" s="341"/>
    </row>
    <row r="57" spans="1:4" s="15" customFormat="1" x14ac:dyDescent="0.35">
      <c r="A57" s="266">
        <v>628</v>
      </c>
      <c r="B57" s="259" t="s">
        <v>169</v>
      </c>
      <c r="C57" s="266">
        <v>4</v>
      </c>
      <c r="D57" s="341"/>
    </row>
    <row r="58" spans="1:4" s="15" customFormat="1" x14ac:dyDescent="0.35">
      <c r="A58" s="266">
        <v>630</v>
      </c>
      <c r="B58" s="259" t="s">
        <v>170</v>
      </c>
      <c r="C58" s="266">
        <v>15</v>
      </c>
      <c r="D58" s="341"/>
    </row>
    <row r="59" spans="1:4" s="15" customFormat="1" x14ac:dyDescent="0.35">
      <c r="A59" s="266">
        <v>633</v>
      </c>
      <c r="B59" s="259" t="s">
        <v>170</v>
      </c>
      <c r="C59" s="266">
        <v>15</v>
      </c>
      <c r="D59" s="341"/>
    </row>
    <row r="60" spans="1:4" s="15" customFormat="1" x14ac:dyDescent="0.35">
      <c r="A60" s="266">
        <v>639</v>
      </c>
      <c r="B60" s="259" t="s">
        <v>251</v>
      </c>
      <c r="C60" s="266">
        <v>35</v>
      </c>
      <c r="D60" s="341"/>
    </row>
    <row r="61" spans="1:4" s="15" customFormat="1" x14ac:dyDescent="0.35">
      <c r="A61" s="266">
        <v>720</v>
      </c>
      <c r="B61" s="259" t="s">
        <v>173</v>
      </c>
      <c r="C61" s="266">
        <v>66</v>
      </c>
      <c r="D61" s="341"/>
    </row>
    <row r="62" spans="1:4" s="15" customFormat="1" x14ac:dyDescent="0.35">
      <c r="A62" s="266">
        <v>724</v>
      </c>
      <c r="B62" s="259" t="s">
        <v>252</v>
      </c>
      <c r="C62" s="266">
        <v>27</v>
      </c>
      <c r="D62" s="341"/>
    </row>
    <row r="63" spans="1:4" s="15" customFormat="1" x14ac:dyDescent="0.35">
      <c r="A63" s="266">
        <v>725</v>
      </c>
      <c r="B63" s="259" t="s">
        <v>175</v>
      </c>
      <c r="C63" s="7">
        <v>5</v>
      </c>
      <c r="D63" s="341"/>
    </row>
    <row r="64" spans="1:4" s="15" customFormat="1" x14ac:dyDescent="0.35">
      <c r="A64" s="266">
        <v>742</v>
      </c>
      <c r="B64" s="259" t="s">
        <v>176</v>
      </c>
      <c r="C64" s="266">
        <v>3</v>
      </c>
      <c r="D64" s="341"/>
    </row>
    <row r="65" spans="1:4" s="15" customFormat="1" x14ac:dyDescent="0.35">
      <c r="A65" s="266">
        <v>752</v>
      </c>
      <c r="B65" s="259" t="s">
        <v>178</v>
      </c>
      <c r="C65" s="7">
        <v>8</v>
      </c>
      <c r="D65" s="341"/>
    </row>
    <row r="66" spans="1:4" s="15" customFormat="1" x14ac:dyDescent="0.35">
      <c r="A66" s="266">
        <v>1020</v>
      </c>
      <c r="B66" s="259" t="s">
        <v>181</v>
      </c>
      <c r="C66" s="266">
        <v>10</v>
      </c>
      <c r="D66" s="26"/>
    </row>
    <row r="67" spans="1:4" s="15" customFormat="1" ht="5.0999999999999996" customHeight="1" x14ac:dyDescent="0.35">
      <c r="A67" s="27"/>
      <c r="B67" s="28"/>
      <c r="C67" s="27"/>
      <c r="D67" s="29"/>
    </row>
    <row r="68" spans="1:4" s="15" customFormat="1" x14ac:dyDescent="0.35">
      <c r="A68" s="266">
        <v>423</v>
      </c>
      <c r="B68" s="259" t="s">
        <v>196</v>
      </c>
      <c r="C68" s="7">
        <v>4</v>
      </c>
      <c r="D68" s="30" t="s">
        <v>196</v>
      </c>
    </row>
  </sheetData>
  <mergeCells count="6">
    <mergeCell ref="C49:C50"/>
    <mergeCell ref="D27:D65"/>
    <mergeCell ref="A1:D1"/>
    <mergeCell ref="A2:D2"/>
    <mergeCell ref="D6:D25"/>
    <mergeCell ref="A3:D3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79998168889431442"/>
  </sheetPr>
  <dimension ref="A1:K105"/>
  <sheetViews>
    <sheetView workbookViewId="0">
      <selection activeCell="A4" sqref="A4"/>
    </sheetView>
  </sheetViews>
  <sheetFormatPr defaultColWidth="8.69140625" defaultRowHeight="12.9" x14ac:dyDescent="0.35"/>
  <cols>
    <col min="1" max="1" width="11" style="4" customWidth="1"/>
    <col min="2" max="2" width="25.53515625" style="4" customWidth="1"/>
    <col min="3" max="3" width="11.3046875" style="4" customWidth="1"/>
    <col min="4" max="4" width="29.3046875" style="4" customWidth="1"/>
    <col min="5" max="5" width="24.53515625" style="14" customWidth="1"/>
    <col min="6" max="16384" width="8.69140625" style="4"/>
  </cols>
  <sheetData>
    <row r="1" spans="1:11" x14ac:dyDescent="0.35">
      <c r="A1" s="329" t="s">
        <v>410</v>
      </c>
      <c r="B1" s="329"/>
      <c r="C1" s="329"/>
      <c r="D1" s="329"/>
      <c r="E1" s="329"/>
    </row>
    <row r="2" spans="1:11" x14ac:dyDescent="0.35">
      <c r="A2" s="343" t="s">
        <v>411</v>
      </c>
      <c r="B2" s="343"/>
      <c r="C2" s="343"/>
      <c r="D2" s="343"/>
      <c r="E2" s="343"/>
    </row>
    <row r="4" spans="1:11" s="15" customFormat="1" ht="25" x14ac:dyDescent="0.35">
      <c r="A4" s="261" t="s">
        <v>218</v>
      </c>
      <c r="B4" s="261" t="s">
        <v>392</v>
      </c>
      <c r="C4" s="261" t="s">
        <v>412</v>
      </c>
      <c r="D4" s="261" t="s">
        <v>413</v>
      </c>
      <c r="E4" s="174" t="s">
        <v>394</v>
      </c>
    </row>
    <row r="5" spans="1:11" s="15" customFormat="1" x14ac:dyDescent="0.35">
      <c r="A5" s="349" t="s">
        <v>36</v>
      </c>
      <c r="B5" s="350"/>
      <c r="C5" s="350"/>
      <c r="D5" s="350"/>
      <c r="E5" s="351"/>
    </row>
    <row r="6" spans="1:11" s="15" customFormat="1" x14ac:dyDescent="0.35">
      <c r="A6" s="291">
        <v>157</v>
      </c>
      <c r="B6" s="259" t="s">
        <v>414</v>
      </c>
      <c r="C6" s="291">
        <v>1</v>
      </c>
      <c r="D6" s="291" t="s">
        <v>415</v>
      </c>
      <c r="E6" s="291" t="s">
        <v>395</v>
      </c>
    </row>
    <row r="7" spans="1:11" s="15" customFormat="1" x14ac:dyDescent="0.35">
      <c r="A7" s="291"/>
      <c r="B7" s="259" t="s">
        <v>416</v>
      </c>
      <c r="C7" s="291"/>
      <c r="D7" s="291"/>
      <c r="E7" s="291"/>
    </row>
    <row r="8" spans="1:11" s="15" customFormat="1" x14ac:dyDescent="0.35">
      <c r="A8" s="291">
        <v>157</v>
      </c>
      <c r="B8" s="259" t="s">
        <v>417</v>
      </c>
      <c r="C8" s="291">
        <v>1</v>
      </c>
      <c r="D8" s="291" t="s">
        <v>418</v>
      </c>
      <c r="E8" s="353" t="s">
        <v>395</v>
      </c>
    </row>
    <row r="9" spans="1:11" s="15" customFormat="1" x14ac:dyDescent="0.35">
      <c r="A9" s="291"/>
      <c r="B9" s="259" t="s">
        <v>419</v>
      </c>
      <c r="C9" s="291"/>
      <c r="D9" s="291"/>
      <c r="E9" s="354"/>
    </row>
    <row r="10" spans="1:11" s="15" customFormat="1" x14ac:dyDescent="0.35">
      <c r="A10" s="259">
        <v>158</v>
      </c>
      <c r="B10" s="259" t="s">
        <v>46</v>
      </c>
      <c r="C10" s="259">
        <v>1</v>
      </c>
      <c r="D10" s="259" t="s">
        <v>420</v>
      </c>
      <c r="E10" s="259" t="s">
        <v>395</v>
      </c>
    </row>
    <row r="11" spans="1:11" s="15" customFormat="1" x14ac:dyDescent="0.35">
      <c r="A11" s="259">
        <v>170</v>
      </c>
      <c r="B11" s="259" t="s">
        <v>47</v>
      </c>
      <c r="C11" s="259">
        <v>1</v>
      </c>
      <c r="D11" s="259" t="s">
        <v>421</v>
      </c>
      <c r="E11" s="259" t="s">
        <v>395</v>
      </c>
    </row>
    <row r="12" spans="1:11" s="15" customFormat="1" x14ac:dyDescent="0.35">
      <c r="A12" s="259">
        <v>171</v>
      </c>
      <c r="B12" s="259" t="s">
        <v>47</v>
      </c>
      <c r="C12" s="259">
        <v>1</v>
      </c>
      <c r="D12" s="259" t="s">
        <v>421</v>
      </c>
      <c r="E12" s="259" t="s">
        <v>395</v>
      </c>
    </row>
    <row r="13" spans="1:11" s="15" customFormat="1" ht="25.8" x14ac:dyDescent="0.35">
      <c r="A13" s="269">
        <v>175</v>
      </c>
      <c r="B13" s="269" t="s">
        <v>397</v>
      </c>
      <c r="C13" s="269">
        <v>4</v>
      </c>
      <c r="D13" s="269" t="s">
        <v>422</v>
      </c>
      <c r="E13" s="269" t="s">
        <v>423</v>
      </c>
    </row>
    <row r="14" spans="1:11" s="15" customFormat="1" x14ac:dyDescent="0.35">
      <c r="A14" s="259">
        <v>272</v>
      </c>
      <c r="B14" s="259" t="s">
        <v>229</v>
      </c>
      <c r="C14" s="259">
        <v>2</v>
      </c>
      <c r="D14" s="269" t="s">
        <v>72</v>
      </c>
      <c r="E14" s="259" t="s">
        <v>424</v>
      </c>
    </row>
    <row r="15" spans="1:11" s="15" customFormat="1" x14ac:dyDescent="0.35">
      <c r="A15" s="259">
        <v>273</v>
      </c>
      <c r="B15" s="259" t="s">
        <v>425</v>
      </c>
      <c r="C15" s="259">
        <v>37</v>
      </c>
      <c r="D15" s="269" t="s">
        <v>426</v>
      </c>
      <c r="E15" s="259" t="s">
        <v>424</v>
      </c>
      <c r="F15" s="166"/>
      <c r="G15" s="167"/>
      <c r="H15" s="167"/>
      <c r="I15" s="167"/>
      <c r="J15" s="167"/>
      <c r="K15" s="167"/>
    </row>
    <row r="16" spans="1:11" s="15" customFormat="1" x14ac:dyDescent="0.35">
      <c r="A16" s="259">
        <v>310</v>
      </c>
      <c r="B16" s="259" t="s">
        <v>427</v>
      </c>
      <c r="C16" s="259">
        <v>4</v>
      </c>
      <c r="D16" s="269" t="s">
        <v>72</v>
      </c>
      <c r="E16" s="259" t="s">
        <v>424</v>
      </c>
    </row>
    <row r="17" spans="1:5" s="15" customFormat="1" x14ac:dyDescent="0.35">
      <c r="A17" s="259">
        <v>314</v>
      </c>
      <c r="B17" s="259" t="s">
        <v>428</v>
      </c>
      <c r="C17" s="269">
        <v>1</v>
      </c>
      <c r="D17" s="269" t="s">
        <v>72</v>
      </c>
      <c r="E17" s="259" t="s">
        <v>395</v>
      </c>
    </row>
    <row r="18" spans="1:5" s="15" customFormat="1" x14ac:dyDescent="0.35">
      <c r="A18" s="259">
        <v>317</v>
      </c>
      <c r="B18" s="259" t="s">
        <v>400</v>
      </c>
      <c r="C18" s="259">
        <v>2</v>
      </c>
      <c r="D18" s="259" t="s">
        <v>429</v>
      </c>
      <c r="E18" s="259" t="s">
        <v>395</v>
      </c>
    </row>
    <row r="19" spans="1:5" s="15" customFormat="1" x14ac:dyDescent="0.35">
      <c r="A19" s="291">
        <v>318</v>
      </c>
      <c r="B19" s="259" t="s">
        <v>61</v>
      </c>
      <c r="C19" s="355">
        <v>2</v>
      </c>
      <c r="D19" s="355" t="s">
        <v>430</v>
      </c>
      <c r="E19" s="353" t="s">
        <v>395</v>
      </c>
    </row>
    <row r="20" spans="1:5" s="15" customFormat="1" x14ac:dyDescent="0.35">
      <c r="A20" s="291"/>
      <c r="B20" s="259" t="s">
        <v>62</v>
      </c>
      <c r="C20" s="355"/>
      <c r="D20" s="355"/>
      <c r="E20" s="356"/>
    </row>
    <row r="21" spans="1:5" s="15" customFormat="1" x14ac:dyDescent="0.35">
      <c r="A21" s="291"/>
      <c r="B21" s="259" t="s">
        <v>63</v>
      </c>
      <c r="C21" s="269">
        <v>1</v>
      </c>
      <c r="D21" s="269" t="s">
        <v>72</v>
      </c>
      <c r="E21" s="357"/>
    </row>
    <row r="22" spans="1:5" s="15" customFormat="1" x14ac:dyDescent="0.35">
      <c r="A22" s="291"/>
      <c r="B22" s="259" t="s">
        <v>401</v>
      </c>
      <c r="C22" s="259">
        <v>1</v>
      </c>
      <c r="D22" s="269" t="s">
        <v>72</v>
      </c>
      <c r="E22" s="357"/>
    </row>
    <row r="23" spans="1:5" s="15" customFormat="1" x14ac:dyDescent="0.35">
      <c r="A23" s="291"/>
      <c r="B23" s="269" t="s">
        <v>402</v>
      </c>
      <c r="C23" s="269">
        <v>1</v>
      </c>
      <c r="D23" s="259" t="s">
        <v>431</v>
      </c>
      <c r="E23" s="357"/>
    </row>
    <row r="24" spans="1:5" s="15" customFormat="1" x14ac:dyDescent="0.35">
      <c r="A24" s="291"/>
      <c r="B24" s="259" t="s">
        <v>403</v>
      </c>
      <c r="C24" s="259">
        <v>1</v>
      </c>
      <c r="D24" s="259" t="s">
        <v>431</v>
      </c>
      <c r="E24" s="357"/>
    </row>
    <row r="25" spans="1:5" s="15" customFormat="1" x14ac:dyDescent="0.35">
      <c r="A25" s="291"/>
      <c r="B25" s="259" t="s">
        <v>72</v>
      </c>
      <c r="C25" s="259">
        <v>1</v>
      </c>
      <c r="D25" s="269" t="s">
        <v>72</v>
      </c>
      <c r="E25" s="358"/>
    </row>
    <row r="26" spans="1:5" s="15" customFormat="1" x14ac:dyDescent="0.35">
      <c r="A26" s="291">
        <v>319</v>
      </c>
      <c r="B26" s="259" t="s">
        <v>332</v>
      </c>
      <c r="C26" s="291">
        <v>1</v>
      </c>
      <c r="D26" s="291" t="s">
        <v>432</v>
      </c>
      <c r="E26" s="353" t="s">
        <v>395</v>
      </c>
    </row>
    <row r="27" spans="1:5" s="15" customFormat="1" x14ac:dyDescent="0.35">
      <c r="A27" s="291"/>
      <c r="B27" s="259" t="s">
        <v>404</v>
      </c>
      <c r="C27" s="291"/>
      <c r="D27" s="291"/>
      <c r="E27" s="356"/>
    </row>
    <row r="28" spans="1:5" s="15" customFormat="1" x14ac:dyDescent="0.35">
      <c r="A28" s="291"/>
      <c r="B28" s="259" t="s">
        <v>405</v>
      </c>
      <c r="C28" s="291"/>
      <c r="D28" s="291"/>
      <c r="E28" s="356"/>
    </row>
    <row r="29" spans="1:5" s="15" customFormat="1" x14ac:dyDescent="0.35">
      <c r="A29" s="291"/>
      <c r="B29" s="259" t="s">
        <v>330</v>
      </c>
      <c r="C29" s="291"/>
      <c r="D29" s="291"/>
      <c r="E29" s="354"/>
    </row>
    <row r="30" spans="1:5" s="15" customFormat="1" x14ac:dyDescent="0.35">
      <c r="A30" s="291"/>
      <c r="B30" s="259" t="s">
        <v>77</v>
      </c>
      <c r="C30" s="291">
        <v>1</v>
      </c>
      <c r="D30" s="291" t="s">
        <v>72</v>
      </c>
      <c r="E30" s="291" t="s">
        <v>395</v>
      </c>
    </row>
    <row r="31" spans="1:5" s="15" customFormat="1" x14ac:dyDescent="0.35">
      <c r="A31" s="291"/>
      <c r="B31" s="259" t="s">
        <v>433</v>
      </c>
      <c r="C31" s="291"/>
      <c r="D31" s="291"/>
      <c r="E31" s="291"/>
    </row>
    <row r="32" spans="1:5" s="15" customFormat="1" x14ac:dyDescent="0.35">
      <c r="A32" s="291"/>
      <c r="B32" s="259" t="s">
        <v>78</v>
      </c>
      <c r="C32" s="291"/>
      <c r="D32" s="291"/>
      <c r="E32" s="291"/>
    </row>
    <row r="33" spans="1:9" s="15" customFormat="1" x14ac:dyDescent="0.35">
      <c r="A33" s="291"/>
      <c r="B33" s="259" t="s">
        <v>72</v>
      </c>
      <c r="C33" s="291"/>
      <c r="D33" s="291"/>
      <c r="E33" s="291"/>
    </row>
    <row r="34" spans="1:9" s="15" customFormat="1" x14ac:dyDescent="0.35">
      <c r="A34" s="259">
        <v>320</v>
      </c>
      <c r="B34" s="259" t="s">
        <v>79</v>
      </c>
      <c r="C34" s="259">
        <v>1</v>
      </c>
      <c r="D34" s="259" t="s">
        <v>432</v>
      </c>
      <c r="E34" s="259" t="s">
        <v>395</v>
      </c>
    </row>
    <row r="35" spans="1:9" s="15" customFormat="1" x14ac:dyDescent="0.35">
      <c r="A35" s="346" t="s">
        <v>107</v>
      </c>
      <c r="B35" s="347"/>
      <c r="C35" s="347"/>
      <c r="D35" s="347"/>
      <c r="E35" s="348"/>
    </row>
    <row r="36" spans="1:9" s="15" customFormat="1" x14ac:dyDescent="0.35">
      <c r="A36" s="259">
        <v>50</v>
      </c>
      <c r="B36" s="259" t="s">
        <v>407</v>
      </c>
      <c r="C36" s="259">
        <v>1</v>
      </c>
      <c r="D36" s="259" t="s">
        <v>72</v>
      </c>
      <c r="E36" s="259" t="s">
        <v>395</v>
      </c>
    </row>
    <row r="37" spans="1:9" s="15" customFormat="1" x14ac:dyDescent="0.35">
      <c r="A37" s="259">
        <v>405</v>
      </c>
      <c r="B37" s="259" t="s">
        <v>434</v>
      </c>
      <c r="C37" s="266">
        <v>1</v>
      </c>
      <c r="D37" s="259" t="s">
        <v>435</v>
      </c>
      <c r="E37" s="259" t="s">
        <v>395</v>
      </c>
    </row>
    <row r="38" spans="1:9" s="15" customFormat="1" ht="25.8" x14ac:dyDescent="0.35">
      <c r="A38" s="259">
        <v>413</v>
      </c>
      <c r="B38" s="259" t="s">
        <v>436</v>
      </c>
      <c r="C38" s="266">
        <v>1</v>
      </c>
      <c r="D38" s="259" t="s">
        <v>72</v>
      </c>
      <c r="E38" s="259" t="s">
        <v>437</v>
      </c>
    </row>
    <row r="39" spans="1:9" s="15" customFormat="1" x14ac:dyDescent="0.35">
      <c r="A39" s="259">
        <v>422</v>
      </c>
      <c r="B39" s="259" t="s">
        <v>121</v>
      </c>
      <c r="C39" s="266">
        <v>1</v>
      </c>
      <c r="D39" s="259" t="s">
        <v>72</v>
      </c>
      <c r="E39" s="259" t="s">
        <v>395</v>
      </c>
    </row>
    <row r="40" spans="1:9" s="15" customFormat="1" x14ac:dyDescent="0.35">
      <c r="A40" s="259">
        <v>424</v>
      </c>
      <c r="B40" s="259" t="s">
        <v>438</v>
      </c>
      <c r="C40" s="266">
        <v>1</v>
      </c>
      <c r="D40" s="259" t="s">
        <v>72</v>
      </c>
      <c r="E40" s="259" t="s">
        <v>395</v>
      </c>
    </row>
    <row r="41" spans="1:9" s="15" customFormat="1" x14ac:dyDescent="0.35">
      <c r="A41" s="259">
        <v>426</v>
      </c>
      <c r="B41" s="259" t="s">
        <v>439</v>
      </c>
      <c r="C41" s="266">
        <v>4</v>
      </c>
      <c r="D41" s="259" t="s">
        <v>440</v>
      </c>
      <c r="E41" s="259" t="s">
        <v>395</v>
      </c>
    </row>
    <row r="42" spans="1:9" s="15" customFormat="1" x14ac:dyDescent="0.35">
      <c r="A42" s="259">
        <v>435</v>
      </c>
      <c r="B42" s="259" t="s">
        <v>125</v>
      </c>
      <c r="C42" s="352">
        <v>1</v>
      </c>
      <c r="D42" s="291" t="s">
        <v>72</v>
      </c>
      <c r="E42" s="291" t="s">
        <v>395</v>
      </c>
      <c r="I42" s="15" t="s">
        <v>441</v>
      </c>
    </row>
    <row r="43" spans="1:9" s="15" customFormat="1" x14ac:dyDescent="0.35">
      <c r="A43" s="259" t="s">
        <v>126</v>
      </c>
      <c r="B43" s="259" t="s">
        <v>442</v>
      </c>
      <c r="C43" s="352"/>
      <c r="D43" s="291"/>
      <c r="E43" s="291"/>
    </row>
    <row r="44" spans="1:9" s="15" customFormat="1" x14ac:dyDescent="0.35">
      <c r="A44" s="259">
        <v>465</v>
      </c>
      <c r="B44" s="259" t="s">
        <v>443</v>
      </c>
      <c r="C44" s="266">
        <v>2</v>
      </c>
      <c r="D44" s="259" t="s">
        <v>444</v>
      </c>
      <c r="E44" s="259" t="s">
        <v>395</v>
      </c>
    </row>
    <row r="45" spans="1:9" s="15" customFormat="1" x14ac:dyDescent="0.35">
      <c r="A45" s="259">
        <v>466</v>
      </c>
      <c r="B45" s="259" t="s">
        <v>200</v>
      </c>
      <c r="C45" s="266">
        <v>1</v>
      </c>
      <c r="D45" s="259" t="s">
        <v>72</v>
      </c>
      <c r="E45" s="259" t="s">
        <v>395</v>
      </c>
    </row>
    <row r="46" spans="1:9" s="15" customFormat="1" x14ac:dyDescent="0.35">
      <c r="A46" s="259">
        <v>469</v>
      </c>
      <c r="B46" s="259" t="s">
        <v>135</v>
      </c>
      <c r="C46" s="266">
        <v>1</v>
      </c>
      <c r="D46" s="259" t="s">
        <v>72</v>
      </c>
      <c r="E46" s="259" t="s">
        <v>395</v>
      </c>
    </row>
    <row r="47" spans="1:9" s="15" customFormat="1" x14ac:dyDescent="0.35">
      <c r="A47" s="291">
        <v>476</v>
      </c>
      <c r="B47" s="259" t="s">
        <v>136</v>
      </c>
      <c r="C47" s="266">
        <v>1</v>
      </c>
      <c r="D47" s="259" t="s">
        <v>72</v>
      </c>
      <c r="E47" s="259" t="s">
        <v>395</v>
      </c>
    </row>
    <row r="48" spans="1:9" s="15" customFormat="1" x14ac:dyDescent="0.35">
      <c r="A48" s="291"/>
      <c r="B48" s="259" t="s">
        <v>339</v>
      </c>
      <c r="C48" s="266">
        <v>1</v>
      </c>
      <c r="D48" s="259" t="s">
        <v>72</v>
      </c>
      <c r="E48" s="259" t="s">
        <v>395</v>
      </c>
    </row>
    <row r="49" spans="1:5" s="15" customFormat="1" x14ac:dyDescent="0.35">
      <c r="A49" s="291">
        <v>537</v>
      </c>
      <c r="B49" s="168" t="s">
        <v>445</v>
      </c>
      <c r="C49" s="352">
        <v>3</v>
      </c>
      <c r="D49" s="291" t="s">
        <v>444</v>
      </c>
      <c r="E49" s="291" t="s">
        <v>395</v>
      </c>
    </row>
    <row r="50" spans="1:5" s="15" customFormat="1" x14ac:dyDescent="0.35">
      <c r="A50" s="291"/>
      <c r="B50" s="259" t="s">
        <v>446</v>
      </c>
      <c r="C50" s="352"/>
      <c r="D50" s="291"/>
      <c r="E50" s="291"/>
    </row>
    <row r="51" spans="1:5" s="15" customFormat="1" x14ac:dyDescent="0.35">
      <c r="A51" s="259">
        <v>542</v>
      </c>
      <c r="B51" s="259" t="s">
        <v>142</v>
      </c>
      <c r="C51" s="266">
        <v>1</v>
      </c>
      <c r="D51" s="259" t="s">
        <v>72</v>
      </c>
      <c r="E51" s="259" t="s">
        <v>395</v>
      </c>
    </row>
    <row r="52" spans="1:5" s="15" customFormat="1" x14ac:dyDescent="0.35">
      <c r="A52" s="259">
        <v>545</v>
      </c>
      <c r="B52" s="259" t="s">
        <v>447</v>
      </c>
      <c r="C52" s="266">
        <v>1</v>
      </c>
      <c r="D52" s="259" t="s">
        <v>72</v>
      </c>
      <c r="E52" s="259" t="s">
        <v>448</v>
      </c>
    </row>
    <row r="53" spans="1:5" s="15" customFormat="1" x14ac:dyDescent="0.35">
      <c r="A53" s="259">
        <v>548</v>
      </c>
      <c r="B53" s="259" t="s">
        <v>449</v>
      </c>
      <c r="C53" s="266">
        <v>1</v>
      </c>
      <c r="D53" s="259" t="s">
        <v>72</v>
      </c>
      <c r="E53" s="259" t="s">
        <v>395</v>
      </c>
    </row>
    <row r="54" spans="1:5" s="15" customFormat="1" x14ac:dyDescent="0.35">
      <c r="A54" s="259">
        <v>549</v>
      </c>
      <c r="B54" s="259" t="s">
        <v>450</v>
      </c>
      <c r="C54" s="266">
        <v>1</v>
      </c>
      <c r="D54" s="259" t="s">
        <v>72</v>
      </c>
      <c r="E54" s="259" t="s">
        <v>395</v>
      </c>
    </row>
    <row r="55" spans="1:5" s="15" customFormat="1" x14ac:dyDescent="0.35">
      <c r="A55" s="259">
        <v>550</v>
      </c>
      <c r="B55" s="259" t="s">
        <v>243</v>
      </c>
      <c r="C55" s="266">
        <v>14</v>
      </c>
      <c r="D55" s="269" t="s">
        <v>426</v>
      </c>
      <c r="E55" s="259" t="s">
        <v>424</v>
      </c>
    </row>
    <row r="56" spans="1:5" s="15" customFormat="1" x14ac:dyDescent="0.35">
      <c r="A56" s="259">
        <v>562</v>
      </c>
      <c r="B56" s="259" t="s">
        <v>47</v>
      </c>
      <c r="C56" s="169">
        <v>1</v>
      </c>
      <c r="D56" s="259" t="s">
        <v>72</v>
      </c>
      <c r="E56" s="259" t="s">
        <v>395</v>
      </c>
    </row>
    <row r="57" spans="1:5" s="15" customFormat="1" x14ac:dyDescent="0.35">
      <c r="A57" s="259">
        <v>564</v>
      </c>
      <c r="B57" s="259" t="s">
        <v>451</v>
      </c>
      <c r="C57" s="266">
        <v>1</v>
      </c>
      <c r="D57" s="259" t="s">
        <v>72</v>
      </c>
      <c r="E57" s="259" t="s">
        <v>395</v>
      </c>
    </row>
    <row r="58" spans="1:5" s="15" customFormat="1" x14ac:dyDescent="0.35">
      <c r="A58" s="259">
        <v>568</v>
      </c>
      <c r="B58" s="259" t="s">
        <v>452</v>
      </c>
      <c r="C58" s="169">
        <v>1</v>
      </c>
      <c r="D58" s="259" t="s">
        <v>72</v>
      </c>
      <c r="E58" s="259" t="s">
        <v>423</v>
      </c>
    </row>
    <row r="59" spans="1:5" s="15" customFormat="1" x14ac:dyDescent="0.35">
      <c r="A59" s="259">
        <v>580</v>
      </c>
      <c r="B59" s="259" t="s">
        <v>155</v>
      </c>
      <c r="C59" s="266">
        <v>1</v>
      </c>
      <c r="D59" s="259" t="s">
        <v>72</v>
      </c>
      <c r="E59" s="259" t="s">
        <v>395</v>
      </c>
    </row>
    <row r="60" spans="1:5" s="15" customFormat="1" x14ac:dyDescent="0.35">
      <c r="A60" s="259">
        <v>585</v>
      </c>
      <c r="B60" s="259" t="s">
        <v>156</v>
      </c>
      <c r="C60" s="266">
        <v>2</v>
      </c>
      <c r="D60" s="259" t="s">
        <v>444</v>
      </c>
      <c r="E60" s="259" t="s">
        <v>395</v>
      </c>
    </row>
    <row r="61" spans="1:5" s="15" customFormat="1" x14ac:dyDescent="0.35">
      <c r="A61" s="259">
        <v>606</v>
      </c>
      <c r="B61" s="259" t="s">
        <v>79</v>
      </c>
      <c r="C61" s="352">
        <v>2</v>
      </c>
      <c r="D61" s="291" t="s">
        <v>444</v>
      </c>
      <c r="E61" s="291" t="s">
        <v>395</v>
      </c>
    </row>
    <row r="62" spans="1:5" s="15" customFormat="1" x14ac:dyDescent="0.35">
      <c r="A62" s="259">
        <v>606</v>
      </c>
      <c r="B62" s="259" t="s">
        <v>158</v>
      </c>
      <c r="C62" s="352"/>
      <c r="D62" s="291"/>
      <c r="E62" s="291"/>
    </row>
    <row r="63" spans="1:5" s="15" customFormat="1" x14ac:dyDescent="0.35">
      <c r="A63" s="269">
        <v>618</v>
      </c>
      <c r="B63" s="269" t="s">
        <v>161</v>
      </c>
      <c r="C63" s="170">
        <v>2</v>
      </c>
      <c r="D63" s="259" t="s">
        <v>453</v>
      </c>
      <c r="E63" s="259" t="s">
        <v>395</v>
      </c>
    </row>
    <row r="64" spans="1:5" s="15" customFormat="1" x14ac:dyDescent="0.35">
      <c r="A64" s="269">
        <v>618</v>
      </c>
      <c r="B64" s="269" t="s">
        <v>454</v>
      </c>
      <c r="C64" s="170">
        <v>2</v>
      </c>
      <c r="D64" s="259" t="s">
        <v>453</v>
      </c>
      <c r="E64" s="259" t="s">
        <v>395</v>
      </c>
    </row>
    <row r="65" spans="1:5" s="15" customFormat="1" x14ac:dyDescent="0.35">
      <c r="A65" s="269">
        <v>618</v>
      </c>
      <c r="B65" s="269" t="s">
        <v>163</v>
      </c>
      <c r="C65" s="170">
        <v>2</v>
      </c>
      <c r="D65" s="259" t="s">
        <v>72</v>
      </c>
      <c r="E65" s="259" t="s">
        <v>395</v>
      </c>
    </row>
    <row r="66" spans="1:5" s="15" customFormat="1" x14ac:dyDescent="0.35">
      <c r="A66" s="259">
        <v>622</v>
      </c>
      <c r="B66" s="259" t="s">
        <v>167</v>
      </c>
      <c r="C66" s="266">
        <v>1</v>
      </c>
      <c r="D66" s="259" t="s">
        <v>72</v>
      </c>
      <c r="E66" s="259" t="s">
        <v>395</v>
      </c>
    </row>
    <row r="67" spans="1:5" s="15" customFormat="1" x14ac:dyDescent="0.35">
      <c r="A67" s="259">
        <v>623</v>
      </c>
      <c r="B67" s="259" t="s">
        <v>47</v>
      </c>
      <c r="C67" s="169">
        <v>1</v>
      </c>
      <c r="D67" s="259" t="s">
        <v>72</v>
      </c>
      <c r="E67" s="259" t="s">
        <v>395</v>
      </c>
    </row>
    <row r="68" spans="1:5" s="15" customFormat="1" x14ac:dyDescent="0.35">
      <c r="A68" s="259">
        <v>628</v>
      </c>
      <c r="B68" s="259" t="s">
        <v>169</v>
      </c>
      <c r="C68" s="266">
        <v>1</v>
      </c>
      <c r="D68" s="259" t="s">
        <v>431</v>
      </c>
      <c r="E68" s="259" t="s">
        <v>395</v>
      </c>
    </row>
    <row r="69" spans="1:5" s="15" customFormat="1" x14ac:dyDescent="0.35">
      <c r="A69" s="259">
        <v>630</v>
      </c>
      <c r="B69" s="259" t="s">
        <v>455</v>
      </c>
      <c r="C69" s="266">
        <v>1</v>
      </c>
      <c r="D69" s="259" t="s">
        <v>456</v>
      </c>
      <c r="E69" s="259" t="s">
        <v>395</v>
      </c>
    </row>
    <row r="70" spans="1:5" s="15" customFormat="1" x14ac:dyDescent="0.35">
      <c r="A70" s="259">
        <v>633</v>
      </c>
      <c r="B70" s="259" t="s">
        <v>457</v>
      </c>
      <c r="C70" s="266">
        <v>1</v>
      </c>
      <c r="D70" s="259" t="s">
        <v>456</v>
      </c>
      <c r="E70" s="259" t="s">
        <v>395</v>
      </c>
    </row>
    <row r="71" spans="1:5" s="15" customFormat="1" x14ac:dyDescent="0.35">
      <c r="A71" s="259">
        <v>639</v>
      </c>
      <c r="B71" s="259" t="s">
        <v>458</v>
      </c>
      <c r="C71" s="266">
        <v>2</v>
      </c>
      <c r="D71" s="259" t="s">
        <v>429</v>
      </c>
      <c r="E71" s="259" t="s">
        <v>395</v>
      </c>
    </row>
    <row r="72" spans="1:5" s="15" customFormat="1" x14ac:dyDescent="0.35">
      <c r="A72" s="259">
        <v>720</v>
      </c>
      <c r="B72" s="259" t="s">
        <v>459</v>
      </c>
      <c r="C72" s="352">
        <v>3</v>
      </c>
      <c r="D72" s="291" t="s">
        <v>456</v>
      </c>
      <c r="E72" s="291" t="s">
        <v>395</v>
      </c>
    </row>
    <row r="73" spans="1:5" s="15" customFormat="1" x14ac:dyDescent="0.35">
      <c r="A73" s="259">
        <v>720</v>
      </c>
      <c r="B73" s="259" t="s">
        <v>460</v>
      </c>
      <c r="C73" s="352"/>
      <c r="D73" s="291"/>
      <c r="E73" s="291"/>
    </row>
    <row r="74" spans="1:5" s="15" customFormat="1" x14ac:dyDescent="0.35">
      <c r="A74" s="259">
        <v>724</v>
      </c>
      <c r="B74" s="259" t="s">
        <v>461</v>
      </c>
      <c r="C74" s="266">
        <v>2</v>
      </c>
      <c r="D74" s="259" t="s">
        <v>456</v>
      </c>
      <c r="E74" s="259" t="s">
        <v>395</v>
      </c>
    </row>
    <row r="75" spans="1:5" s="15" customFormat="1" x14ac:dyDescent="0.35">
      <c r="A75" s="269">
        <v>742</v>
      </c>
      <c r="B75" s="269" t="s">
        <v>176</v>
      </c>
      <c r="C75" s="169">
        <v>1</v>
      </c>
      <c r="D75" s="259" t="s">
        <v>431</v>
      </c>
      <c r="E75" s="259" t="s">
        <v>395</v>
      </c>
    </row>
    <row r="76" spans="1:5" s="15" customFormat="1" ht="25.8" x14ac:dyDescent="0.35">
      <c r="A76" s="259">
        <v>1020</v>
      </c>
      <c r="B76" s="259" t="s">
        <v>181</v>
      </c>
      <c r="C76" s="266">
        <v>1</v>
      </c>
      <c r="D76" s="259" t="s">
        <v>72</v>
      </c>
      <c r="E76" s="259" t="s">
        <v>462</v>
      </c>
    </row>
    <row r="77" spans="1:5" s="15" customFormat="1" ht="38.700000000000003" x14ac:dyDescent="0.35">
      <c r="A77" s="259" t="s">
        <v>463</v>
      </c>
      <c r="B77" s="259" t="s">
        <v>85</v>
      </c>
      <c r="C77" s="259">
        <v>1</v>
      </c>
      <c r="D77" s="269" t="s">
        <v>72</v>
      </c>
      <c r="E77" s="259" t="s">
        <v>464</v>
      </c>
    </row>
    <row r="78" spans="1:5" s="15" customFormat="1" ht="38.700000000000003" x14ac:dyDescent="0.35">
      <c r="A78" s="259" t="s">
        <v>465</v>
      </c>
      <c r="B78" s="259" t="s">
        <v>85</v>
      </c>
      <c r="C78" s="259">
        <v>1</v>
      </c>
      <c r="D78" s="269" t="s">
        <v>72</v>
      </c>
      <c r="E78" s="259" t="s">
        <v>464</v>
      </c>
    </row>
    <row r="79" spans="1:5" s="15" customFormat="1" x14ac:dyDescent="0.35">
      <c r="C79" s="74"/>
      <c r="E79" s="175"/>
    </row>
    <row r="80" spans="1:5" s="15" customFormat="1" x14ac:dyDescent="0.35">
      <c r="A80" s="171" t="s">
        <v>466</v>
      </c>
      <c r="E80" s="175"/>
    </row>
    <row r="81" spans="1:5" s="15" customFormat="1" x14ac:dyDescent="0.35">
      <c r="A81" s="359" t="s">
        <v>467</v>
      </c>
      <c r="B81" s="359"/>
      <c r="C81" s="359"/>
      <c r="D81" s="359"/>
      <c r="E81" s="359"/>
    </row>
    <row r="82" spans="1:5" s="15" customFormat="1" x14ac:dyDescent="0.35">
      <c r="E82" s="175"/>
    </row>
    <row r="83" spans="1:5" s="15" customFormat="1" x14ac:dyDescent="0.35">
      <c r="E83" s="175"/>
    </row>
    <row r="84" spans="1:5" s="15" customFormat="1" x14ac:dyDescent="0.35">
      <c r="E84" s="175"/>
    </row>
    <row r="85" spans="1:5" s="15" customFormat="1" x14ac:dyDescent="0.35">
      <c r="E85" s="175"/>
    </row>
    <row r="86" spans="1:5" s="15" customFormat="1" x14ac:dyDescent="0.35">
      <c r="E86" s="175"/>
    </row>
    <row r="87" spans="1:5" s="15" customFormat="1" x14ac:dyDescent="0.35">
      <c r="E87" s="175"/>
    </row>
    <row r="88" spans="1:5" s="15" customFormat="1" x14ac:dyDescent="0.35">
      <c r="E88" s="175"/>
    </row>
    <row r="89" spans="1:5" s="15" customFormat="1" x14ac:dyDescent="0.35">
      <c r="E89" s="175"/>
    </row>
    <row r="90" spans="1:5" s="15" customFormat="1" x14ac:dyDescent="0.35">
      <c r="E90" s="175"/>
    </row>
    <row r="91" spans="1:5" s="15" customFormat="1" x14ac:dyDescent="0.35">
      <c r="E91" s="175"/>
    </row>
    <row r="92" spans="1:5" s="15" customFormat="1" x14ac:dyDescent="0.35">
      <c r="E92" s="175"/>
    </row>
    <row r="93" spans="1:5" s="15" customFormat="1" x14ac:dyDescent="0.35">
      <c r="E93" s="175"/>
    </row>
    <row r="94" spans="1:5" s="15" customFormat="1" x14ac:dyDescent="0.35">
      <c r="E94" s="175"/>
    </row>
    <row r="95" spans="1:5" s="15" customFormat="1" x14ac:dyDescent="0.35">
      <c r="E95" s="175"/>
    </row>
    <row r="96" spans="1:5" s="15" customFormat="1" x14ac:dyDescent="0.35">
      <c r="E96" s="175"/>
    </row>
    <row r="97" spans="5:5" s="15" customFormat="1" x14ac:dyDescent="0.35">
      <c r="E97" s="175"/>
    </row>
    <row r="98" spans="5:5" s="15" customFormat="1" x14ac:dyDescent="0.35">
      <c r="E98" s="175"/>
    </row>
    <row r="99" spans="5:5" s="15" customFormat="1" x14ac:dyDescent="0.35">
      <c r="E99" s="175"/>
    </row>
    <row r="100" spans="5:5" s="15" customFormat="1" x14ac:dyDescent="0.35">
      <c r="E100" s="175"/>
    </row>
    <row r="101" spans="5:5" s="15" customFormat="1" x14ac:dyDescent="0.35">
      <c r="E101" s="175"/>
    </row>
    <row r="102" spans="5:5" s="15" customFormat="1" x14ac:dyDescent="0.35">
      <c r="E102" s="175"/>
    </row>
    <row r="103" spans="5:5" s="15" customFormat="1" x14ac:dyDescent="0.35">
      <c r="E103" s="175"/>
    </row>
    <row r="104" spans="5:5" s="15" customFormat="1" x14ac:dyDescent="0.35">
      <c r="E104" s="175"/>
    </row>
    <row r="105" spans="5:5" s="15" customFormat="1" x14ac:dyDescent="0.35">
      <c r="E105" s="175"/>
    </row>
  </sheetData>
  <mergeCells count="38">
    <mergeCell ref="C72:C73"/>
    <mergeCell ref="D72:D73"/>
    <mergeCell ref="E72:E73"/>
    <mergeCell ref="A81:E81"/>
    <mergeCell ref="A47:A48"/>
    <mergeCell ref="A49:A50"/>
    <mergeCell ref="E49:E50"/>
    <mergeCell ref="C61:C62"/>
    <mergeCell ref="D61:D62"/>
    <mergeCell ref="E61:E62"/>
    <mergeCell ref="C49:C50"/>
    <mergeCell ref="D49:D50"/>
    <mergeCell ref="C42:C43"/>
    <mergeCell ref="D42:D43"/>
    <mergeCell ref="E42:E43"/>
    <mergeCell ref="E8:E9"/>
    <mergeCell ref="A19:A25"/>
    <mergeCell ref="C19:C20"/>
    <mergeCell ref="D19:D20"/>
    <mergeCell ref="E19:E25"/>
    <mergeCell ref="A26:A33"/>
    <mergeCell ref="C26:C29"/>
    <mergeCell ref="D26:D29"/>
    <mergeCell ref="E26:E29"/>
    <mergeCell ref="C30:C33"/>
    <mergeCell ref="A1:E1"/>
    <mergeCell ref="A2:E2"/>
    <mergeCell ref="A35:E35"/>
    <mergeCell ref="A6:A7"/>
    <mergeCell ref="C6:C7"/>
    <mergeCell ref="D6:D7"/>
    <mergeCell ref="E6:E7"/>
    <mergeCell ref="A8:A9"/>
    <mergeCell ref="C8:C9"/>
    <mergeCell ref="D8:D9"/>
    <mergeCell ref="D30:D33"/>
    <mergeCell ref="E30:E33"/>
    <mergeCell ref="A5:E5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79998168889431442"/>
  </sheetPr>
  <dimension ref="A1:E21"/>
  <sheetViews>
    <sheetView workbookViewId="0">
      <selection activeCell="A4" sqref="A4"/>
    </sheetView>
  </sheetViews>
  <sheetFormatPr defaultColWidth="8.69140625" defaultRowHeight="12.9" x14ac:dyDescent="0.35"/>
  <cols>
    <col min="1" max="1" width="10.53515625" style="164" customWidth="1"/>
    <col min="2" max="2" width="23.3046875" style="164" customWidth="1"/>
    <col min="3" max="3" width="11.3046875" style="164" customWidth="1"/>
    <col min="4" max="4" width="20.69140625" style="164" customWidth="1"/>
    <col min="5" max="5" width="16.69140625" style="164" customWidth="1"/>
    <col min="6" max="16384" width="8.69140625" style="164"/>
  </cols>
  <sheetData>
    <row r="1" spans="1:5" x14ac:dyDescent="0.35">
      <c r="A1" s="361" t="s">
        <v>468</v>
      </c>
      <c r="B1" s="361"/>
      <c r="C1" s="361"/>
      <c r="D1" s="361"/>
      <c r="E1" s="361"/>
    </row>
    <row r="2" spans="1:5" x14ac:dyDescent="0.35">
      <c r="A2" s="362" t="s">
        <v>469</v>
      </c>
      <c r="B2" s="362"/>
      <c r="C2" s="362"/>
      <c r="D2" s="362"/>
      <c r="E2" s="362"/>
    </row>
    <row r="3" spans="1:5" x14ac:dyDescent="0.35">
      <c r="A3" s="165"/>
      <c r="B3" s="165"/>
      <c r="C3" s="165"/>
      <c r="D3" s="165"/>
      <c r="E3" s="165"/>
    </row>
    <row r="4" spans="1:5" s="15" customFormat="1" ht="27.05" customHeight="1" x14ac:dyDescent="0.35">
      <c r="A4" s="261" t="s">
        <v>218</v>
      </c>
      <c r="B4" s="261" t="s">
        <v>392</v>
      </c>
      <c r="C4" s="261" t="s">
        <v>412</v>
      </c>
      <c r="D4" s="261" t="s">
        <v>413</v>
      </c>
      <c r="E4" s="174" t="s">
        <v>394</v>
      </c>
    </row>
    <row r="5" spans="1:5" s="15" customFormat="1" x14ac:dyDescent="0.35">
      <c r="A5" s="349" t="s">
        <v>36</v>
      </c>
      <c r="B5" s="350"/>
      <c r="C5" s="350"/>
      <c r="D5" s="350"/>
      <c r="E5" s="351"/>
    </row>
    <row r="6" spans="1:5" s="15" customFormat="1" ht="25.8" x14ac:dyDescent="0.35">
      <c r="A6" s="259">
        <v>175</v>
      </c>
      <c r="B6" s="259" t="s">
        <v>397</v>
      </c>
      <c r="C6" s="259" t="s">
        <v>470</v>
      </c>
      <c r="D6" s="259" t="s">
        <v>236</v>
      </c>
      <c r="E6" s="259" t="s">
        <v>423</v>
      </c>
    </row>
    <row r="7" spans="1:5" s="15" customFormat="1" x14ac:dyDescent="0.35">
      <c r="A7" s="259">
        <v>211</v>
      </c>
      <c r="B7" s="259" t="s">
        <v>471</v>
      </c>
      <c r="C7" s="259" t="s">
        <v>472</v>
      </c>
      <c r="D7" s="259" t="s">
        <v>473</v>
      </c>
      <c r="E7" s="259" t="s">
        <v>474</v>
      </c>
    </row>
    <row r="8" spans="1:5" s="15" customFormat="1" x14ac:dyDescent="0.35">
      <c r="A8" s="259">
        <v>216</v>
      </c>
      <c r="B8" s="259" t="s">
        <v>475</v>
      </c>
      <c r="C8" s="259" t="s">
        <v>472</v>
      </c>
      <c r="D8" s="259" t="s">
        <v>473</v>
      </c>
      <c r="E8" s="259" t="s">
        <v>474</v>
      </c>
    </row>
    <row r="9" spans="1:5" s="15" customFormat="1" x14ac:dyDescent="0.35">
      <c r="A9" s="259">
        <v>225</v>
      </c>
      <c r="B9" s="259" t="s">
        <v>476</v>
      </c>
      <c r="C9" s="259" t="s">
        <v>470</v>
      </c>
      <c r="D9" s="259" t="s">
        <v>477</v>
      </c>
      <c r="E9" s="259" t="s">
        <v>395</v>
      </c>
    </row>
    <row r="10" spans="1:5" s="15" customFormat="1" x14ac:dyDescent="0.35">
      <c r="A10" s="346" t="s">
        <v>107</v>
      </c>
      <c r="B10" s="347"/>
      <c r="C10" s="347"/>
      <c r="D10" s="347"/>
      <c r="E10" s="348"/>
    </row>
    <row r="11" spans="1:5" s="15" customFormat="1" x14ac:dyDescent="0.35">
      <c r="A11" s="259">
        <v>436</v>
      </c>
      <c r="B11" s="259" t="s">
        <v>478</v>
      </c>
      <c r="C11" s="259" t="s">
        <v>470</v>
      </c>
      <c r="D11" s="259" t="s">
        <v>236</v>
      </c>
      <c r="E11" s="259" t="s">
        <v>395</v>
      </c>
    </row>
    <row r="12" spans="1:5" s="15" customFormat="1" x14ac:dyDescent="0.35">
      <c r="A12" s="259">
        <v>562</v>
      </c>
      <c r="B12" s="259" t="s">
        <v>149</v>
      </c>
      <c r="C12" s="259" t="s">
        <v>479</v>
      </c>
      <c r="D12" s="259" t="s">
        <v>431</v>
      </c>
      <c r="E12" s="259" t="s">
        <v>395</v>
      </c>
    </row>
    <row r="13" spans="1:5" s="15" customFormat="1" ht="25.8" x14ac:dyDescent="0.35">
      <c r="A13" s="259">
        <v>568</v>
      </c>
      <c r="B13" s="259" t="s">
        <v>246</v>
      </c>
      <c r="C13" s="259" t="s">
        <v>480</v>
      </c>
      <c r="D13" s="259" t="s">
        <v>431</v>
      </c>
      <c r="E13" s="259" t="s">
        <v>423</v>
      </c>
    </row>
    <row r="14" spans="1:5" s="15" customFormat="1" x14ac:dyDescent="0.35">
      <c r="A14" s="172"/>
      <c r="B14" s="172"/>
      <c r="C14" s="172"/>
      <c r="D14" s="172"/>
      <c r="E14" s="172"/>
    </row>
    <row r="15" spans="1:5" s="15" customFormat="1" ht="18" customHeight="1" x14ac:dyDescent="0.35">
      <c r="A15" s="173" t="s">
        <v>466</v>
      </c>
      <c r="B15" s="172"/>
      <c r="C15" s="172"/>
      <c r="D15" s="172"/>
      <c r="E15" s="172"/>
    </row>
    <row r="16" spans="1:5" s="15" customFormat="1" ht="31.15" customHeight="1" x14ac:dyDescent="0.35">
      <c r="A16" s="360" t="s">
        <v>481</v>
      </c>
      <c r="B16" s="360"/>
      <c r="C16" s="360"/>
      <c r="D16" s="360"/>
      <c r="E16" s="360"/>
    </row>
    <row r="17" spans="1:5" s="15" customFormat="1" x14ac:dyDescent="0.35">
      <c r="A17" s="172"/>
      <c r="B17" s="172"/>
      <c r="C17" s="172"/>
      <c r="D17" s="172"/>
      <c r="E17" s="172"/>
    </row>
    <row r="18" spans="1:5" s="15" customFormat="1" x14ac:dyDescent="0.35">
      <c r="A18" s="172"/>
      <c r="B18" s="172"/>
      <c r="C18" s="172"/>
      <c r="D18" s="172"/>
      <c r="E18" s="172"/>
    </row>
    <row r="19" spans="1:5" s="15" customFormat="1" x14ac:dyDescent="0.35">
      <c r="A19" s="172"/>
      <c r="B19" s="172"/>
      <c r="C19" s="172"/>
      <c r="D19" s="172"/>
      <c r="E19" s="172"/>
    </row>
    <row r="20" spans="1:5" s="15" customFormat="1" x14ac:dyDescent="0.35"/>
    <row r="21" spans="1:5" s="15" customFormat="1" x14ac:dyDescent="0.35"/>
  </sheetData>
  <mergeCells count="5">
    <mergeCell ref="A16:E16"/>
    <mergeCell ref="A5:E5"/>
    <mergeCell ref="A10:E10"/>
    <mergeCell ref="A1:E1"/>
    <mergeCell ref="A2:E2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6" tint="0.79998168889431442"/>
  </sheetPr>
  <dimension ref="A1:F21"/>
  <sheetViews>
    <sheetView workbookViewId="0">
      <selection activeCell="A4" sqref="A4"/>
    </sheetView>
  </sheetViews>
  <sheetFormatPr defaultColWidth="9.3046875" defaultRowHeight="12.9" x14ac:dyDescent="0.35"/>
  <cols>
    <col min="1" max="1" width="11.15234375" style="4" customWidth="1"/>
    <col min="2" max="2" width="8.15234375" style="4" customWidth="1"/>
    <col min="3" max="3" width="19.53515625" style="4" customWidth="1"/>
    <col min="4" max="4" width="24.69140625" style="4" customWidth="1"/>
    <col min="5" max="5" width="27.69140625" style="4" customWidth="1"/>
    <col min="6" max="6" width="12.3828125" style="4" customWidth="1"/>
    <col min="7" max="16384" width="9.3046875" style="4"/>
  </cols>
  <sheetData>
    <row r="1" spans="1:6" x14ac:dyDescent="0.35">
      <c r="A1" s="342" t="s">
        <v>482</v>
      </c>
      <c r="B1" s="342"/>
      <c r="C1" s="342"/>
      <c r="D1" s="342"/>
      <c r="E1" s="342"/>
      <c r="F1" s="342"/>
    </row>
    <row r="2" spans="1:6" x14ac:dyDescent="0.35">
      <c r="A2" s="343" t="s">
        <v>483</v>
      </c>
      <c r="B2" s="343"/>
      <c r="C2" s="343"/>
      <c r="D2" s="342"/>
      <c r="E2" s="342"/>
      <c r="F2" s="342"/>
    </row>
    <row r="3" spans="1:6" x14ac:dyDescent="0.35">
      <c r="A3" s="344"/>
      <c r="B3" s="344"/>
      <c r="C3" s="344"/>
      <c r="D3" s="345"/>
      <c r="E3" s="345"/>
      <c r="F3" s="345"/>
    </row>
    <row r="4" spans="1:6" s="15" customFormat="1" ht="25" x14ac:dyDescent="0.35">
      <c r="A4" s="31" t="s">
        <v>218</v>
      </c>
      <c r="B4" s="261" t="s">
        <v>484</v>
      </c>
      <c r="C4" s="261" t="s">
        <v>485</v>
      </c>
      <c r="D4" s="31" t="s">
        <v>413</v>
      </c>
      <c r="E4" s="31" t="s">
        <v>486</v>
      </c>
      <c r="F4" s="174" t="s">
        <v>394</v>
      </c>
    </row>
    <row r="5" spans="1:6" s="15" customFormat="1" x14ac:dyDescent="0.35">
      <c r="A5" s="363">
        <v>170</v>
      </c>
      <c r="B5" s="266">
        <v>3</v>
      </c>
      <c r="C5" s="266" t="s">
        <v>487</v>
      </c>
      <c r="D5" s="266" t="s">
        <v>488</v>
      </c>
      <c r="E5" s="266" t="s">
        <v>489</v>
      </c>
      <c r="F5" s="365" t="s">
        <v>490</v>
      </c>
    </row>
    <row r="6" spans="1:6" s="15" customFormat="1" x14ac:dyDescent="0.35">
      <c r="A6" s="341"/>
      <c r="B6" s="266">
        <v>3</v>
      </c>
      <c r="C6" s="266" t="s">
        <v>491</v>
      </c>
      <c r="D6" s="266" t="s">
        <v>492</v>
      </c>
      <c r="E6" s="266" t="s">
        <v>493</v>
      </c>
      <c r="F6" s="366"/>
    </row>
    <row r="7" spans="1:6" s="15" customFormat="1" ht="14.7" customHeight="1" x14ac:dyDescent="0.35">
      <c r="A7" s="341"/>
      <c r="B7" s="266">
        <v>1</v>
      </c>
      <c r="C7" s="266" t="s">
        <v>494</v>
      </c>
      <c r="D7" s="74" t="s">
        <v>495</v>
      </c>
      <c r="E7" s="266" t="s">
        <v>489</v>
      </c>
      <c r="F7" s="366"/>
    </row>
    <row r="8" spans="1:6" s="15" customFormat="1" x14ac:dyDescent="0.35">
      <c r="A8" s="341"/>
      <c r="B8" s="266">
        <v>2</v>
      </c>
      <c r="C8" s="266" t="s">
        <v>496</v>
      </c>
      <c r="D8" s="266" t="s">
        <v>497</v>
      </c>
      <c r="E8" s="266" t="s">
        <v>498</v>
      </c>
      <c r="F8" s="366"/>
    </row>
    <row r="9" spans="1:6" s="15" customFormat="1" ht="14.7" customHeight="1" x14ac:dyDescent="0.35">
      <c r="A9" s="341"/>
      <c r="B9" s="266">
        <v>2</v>
      </c>
      <c r="C9" s="266" t="s">
        <v>496</v>
      </c>
      <c r="D9" s="266" t="s">
        <v>499</v>
      </c>
      <c r="E9" s="266" t="s">
        <v>500</v>
      </c>
      <c r="F9" s="366"/>
    </row>
    <row r="10" spans="1:6" s="15" customFormat="1" ht="14.7" customHeight="1" x14ac:dyDescent="0.35">
      <c r="A10" s="341"/>
      <c r="B10" s="266">
        <v>2</v>
      </c>
      <c r="C10" s="266" t="s">
        <v>496</v>
      </c>
      <c r="D10" s="266" t="s">
        <v>501</v>
      </c>
      <c r="E10" s="266" t="s">
        <v>502</v>
      </c>
      <c r="F10" s="366"/>
    </row>
    <row r="11" spans="1:6" s="15" customFormat="1" x14ac:dyDescent="0.35">
      <c r="A11" s="364"/>
      <c r="B11" s="266">
        <v>1</v>
      </c>
      <c r="C11" s="266" t="s">
        <v>503</v>
      </c>
      <c r="D11" s="266" t="s">
        <v>504</v>
      </c>
      <c r="E11" s="266" t="s">
        <v>505</v>
      </c>
      <c r="F11" s="366"/>
    </row>
    <row r="12" spans="1:6" s="15" customFormat="1" x14ac:dyDescent="0.35">
      <c r="A12" s="363">
        <v>623</v>
      </c>
      <c r="B12" s="266">
        <v>2</v>
      </c>
      <c r="C12" s="266" t="s">
        <v>487</v>
      </c>
      <c r="D12" s="266" t="s">
        <v>506</v>
      </c>
      <c r="E12" s="266" t="s">
        <v>507</v>
      </c>
      <c r="F12" s="366"/>
    </row>
    <row r="13" spans="1:6" s="15" customFormat="1" ht="25.8" x14ac:dyDescent="0.35">
      <c r="A13" s="341"/>
      <c r="B13" s="266">
        <v>2</v>
      </c>
      <c r="C13" s="266" t="s">
        <v>491</v>
      </c>
      <c r="D13" s="259" t="s">
        <v>508</v>
      </c>
      <c r="E13" s="266" t="s">
        <v>493</v>
      </c>
      <c r="F13" s="366"/>
    </row>
    <row r="14" spans="1:6" s="15" customFormat="1" x14ac:dyDescent="0.35">
      <c r="A14" s="341"/>
      <c r="B14" s="266">
        <v>1</v>
      </c>
      <c r="C14" s="266" t="s">
        <v>494</v>
      </c>
      <c r="D14" s="266" t="s">
        <v>509</v>
      </c>
      <c r="E14" s="266" t="s">
        <v>510</v>
      </c>
      <c r="F14" s="366"/>
    </row>
    <row r="15" spans="1:6" s="15" customFormat="1" ht="14.7" customHeight="1" x14ac:dyDescent="0.35">
      <c r="A15" s="341"/>
      <c r="B15" s="266">
        <v>2</v>
      </c>
      <c r="C15" s="266" t="s">
        <v>496</v>
      </c>
      <c r="D15" s="266" t="s">
        <v>511</v>
      </c>
      <c r="E15" s="266" t="s">
        <v>500</v>
      </c>
      <c r="F15" s="366"/>
    </row>
    <row r="16" spans="1:6" s="15" customFormat="1" x14ac:dyDescent="0.35">
      <c r="A16" s="364"/>
      <c r="B16" s="266">
        <v>1</v>
      </c>
      <c r="C16" s="266" t="s">
        <v>496</v>
      </c>
      <c r="D16" s="266" t="s">
        <v>512</v>
      </c>
      <c r="E16" s="266" t="s">
        <v>513</v>
      </c>
      <c r="F16" s="367"/>
    </row>
    <row r="17" spans="1:6" s="15" customFormat="1" x14ac:dyDescent="0.35">
      <c r="A17" s="184">
        <v>314</v>
      </c>
      <c r="B17" s="266">
        <v>41</v>
      </c>
      <c r="C17" s="266" t="s">
        <v>514</v>
      </c>
      <c r="D17" s="266" t="s">
        <v>399</v>
      </c>
      <c r="E17" s="266" t="s">
        <v>515</v>
      </c>
      <c r="F17" s="363" t="s">
        <v>395</v>
      </c>
    </row>
    <row r="18" spans="1:6" s="175" customFormat="1" x14ac:dyDescent="0.35">
      <c r="A18" s="185">
        <v>2569</v>
      </c>
      <c r="B18" s="259">
        <v>11</v>
      </c>
      <c r="C18" s="266" t="s">
        <v>514</v>
      </c>
      <c r="D18" s="259" t="s">
        <v>516</v>
      </c>
      <c r="E18" s="266" t="s">
        <v>517</v>
      </c>
      <c r="F18" s="364"/>
    </row>
    <row r="20" spans="1:6" s="15" customFormat="1" x14ac:dyDescent="0.35">
      <c r="A20" s="16" t="s">
        <v>255</v>
      </c>
      <c r="B20" s="15" t="s">
        <v>518</v>
      </c>
    </row>
    <row r="21" spans="1:6" x14ac:dyDescent="0.35">
      <c r="C21" s="183"/>
    </row>
  </sheetData>
  <mergeCells count="7">
    <mergeCell ref="F17:F18"/>
    <mergeCell ref="A5:A11"/>
    <mergeCell ref="A12:A16"/>
    <mergeCell ref="A1:F1"/>
    <mergeCell ref="A2:F2"/>
    <mergeCell ref="A3:F3"/>
    <mergeCell ref="F5:F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451896-4562-4D82-838F-692524B53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1DCCE3-D169-4CB0-9C7E-244D3FD7DD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CF7D3D-7CE4-45A0-ACA8-66C952C429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 1 - Custodial Inventory</vt:lpstr>
      <vt:lpstr>Tab 2 - Custodial Frequencies</vt:lpstr>
      <vt:lpstr>Tab 3-DeskSide Waste Containers</vt:lpstr>
      <vt:lpstr>Tab 4-Int Recycling Containers</vt:lpstr>
      <vt:lpstr>Tab 5-Food Recycling Containers</vt:lpstr>
      <vt:lpstr>Tab 6-Rugs and Mats Inv</vt:lpstr>
      <vt:lpstr>'Tab 1 - Custodial Inventory'!Print_Area</vt:lpstr>
      <vt:lpstr>'Tab 1 - Custodial Inventory'!Print_Titles</vt:lpstr>
      <vt:lpstr>'Tab 2 - Custodial Frequencies'!Print_Titles</vt:lpstr>
      <vt:lpstr>'Tab 3-DeskSide Waste Containers'!Print_Titles</vt:lpstr>
      <vt:lpstr>'Tab 4-Int Recycling Containers'!Print_Titles</vt:lpstr>
      <vt:lpstr>'Tab 5-Food Recycling Containers'!Print_Titles</vt:lpstr>
    </vt:vector>
  </TitlesOfParts>
  <Manager/>
  <Company>NAVFAC Atlantic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GahaganTB</dc:creator>
  <cp:keywords/>
  <dc:description/>
  <cp:lastModifiedBy>Bellinger, Emma C CIV USN NAVFAC LANT NOR VA (USA)</cp:lastModifiedBy>
  <cp:revision/>
  <dcterms:created xsi:type="dcterms:W3CDTF">2005-02-28T19:48:53Z</dcterms:created>
  <dcterms:modified xsi:type="dcterms:W3CDTF">2025-08-05T18:56:37Z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</Properties>
</file>