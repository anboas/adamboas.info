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obert_m_parvin_civ_army_mil/Documents/Desktop/"/>
    </mc:Choice>
  </mc:AlternateContent>
  <xr:revisionPtr revIDLastSave="12" documentId="13_ncr:1_{E9C63482-1F0D-4B71-84D5-2CA3F7430D0D}" xr6:coauthVersionLast="47" xr6:coauthVersionMax="47" xr10:uidLastSave="{6A3EE51D-1208-4314-812F-B72BE5DF0C53}"/>
  <bookViews>
    <workbookView xWindow="28680" yWindow="150" windowWidth="29040" windowHeight="15450" xr2:uid="{00000000-000D-0000-FFFF-FFFF00000000}"/>
  </bookViews>
  <sheets>
    <sheet name="Sheet1 (2)" sheetId="4" r:id="rId1"/>
  </sheets>
  <definedNames>
    <definedName name="_xlnm.Print_Area" localSheetId="0">'Sheet1 (2)'!$A$1:$H$75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4" l="1"/>
  <c r="E62" i="4" s="1"/>
  <c r="E64" i="4" s="1"/>
  <c r="H33" i="4"/>
  <c r="E33" i="4"/>
  <c r="H31" i="4" l="1"/>
  <c r="E31" i="4"/>
  <c r="G40" i="4" l="1"/>
  <c r="G39" i="4"/>
  <c r="G38" i="4"/>
  <c r="G37" i="4"/>
  <c r="G36" i="4"/>
  <c r="H36" i="4" l="1"/>
  <c r="E65" i="4" l="1"/>
  <c r="H27" i="4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E27" i="4"/>
  <c r="H40" i="4"/>
  <c r="H39" i="4"/>
  <c r="H38" i="4"/>
  <c r="H37" i="4"/>
  <c r="E28" i="4"/>
  <c r="H30" i="4"/>
  <c r="E30" i="4"/>
  <c r="H59" i="4" l="1"/>
  <c r="H60" i="4" s="1"/>
  <c r="H54" i="4"/>
  <c r="E66" i="4"/>
  <c r="H61" i="4" s="1"/>
  <c r="H28" i="4"/>
  <c r="H29" i="4"/>
  <c r="H32" i="4"/>
  <c r="E29" i="4"/>
  <c r="E32" i="4"/>
  <c r="H63" i="4" l="1"/>
  <c r="H62" i="4"/>
  <c r="H56" i="4"/>
  <c r="H57" i="4"/>
  <c r="H55" i="4"/>
  <c r="H58" i="4" s="1"/>
  <c r="H64" i="4" l="1"/>
  <c r="H66" i="4" s="1"/>
  <c r="F6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Bailey</author>
  </authors>
  <commentList>
    <comment ref="A4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Consult the KO or SOA for guidance for Micro-Purchase Threshold (MPT) requirements. Single items over $10,000 require 3 competitive quotes or proprietary justification. </t>
        </r>
      </text>
    </comment>
    <comment ref="A5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Consult the KO or SOA for guidance for Micro-Purchase Threshold (MPT) requirements. Subcontractor quotes over $2,500 require 3 competitive quotes or Sole Source Justification. </t>
        </r>
      </text>
    </comment>
    <comment ref="H64" authorId="0" shapeId="0" xr:uid="{00000000-0006-0000-0000-000003000000}">
      <text>
        <r>
          <rPr>
            <sz val="9"/>
            <color indexed="81"/>
            <rFont val="Tahoma"/>
            <family val="2"/>
          </rPr>
          <t>Doesn't include profit on Subcontractor.</t>
        </r>
      </text>
    </comment>
  </commentList>
</comments>
</file>

<file path=xl/sharedStrings.xml><?xml version="1.0" encoding="utf-8"?>
<sst xmlns="http://schemas.openxmlformats.org/spreadsheetml/2006/main" count="96" uniqueCount="84">
  <si>
    <t xml:space="preserve"> SERVICE ORDER FORM</t>
  </si>
  <si>
    <t>PART I - SERVICE ORDER INFORMATION</t>
  </si>
  <si>
    <t xml:space="preserve">CONTRACTOR &amp; AUTHOR:                       </t>
  </si>
  <si>
    <t xml:space="preserve">CONTRACT NO.:     </t>
  </si>
  <si>
    <t xml:space="preserve">FACILITY NAME:                  </t>
  </si>
  <si>
    <t xml:space="preserve">TASK ORDER NO.:   </t>
  </si>
  <si>
    <t xml:space="preserve">FACILITY LOC.(Building #, Room #):           </t>
  </si>
  <si>
    <t>CLIN NO.:</t>
  </si>
  <si>
    <t xml:space="preserve">SO REQUEST NO:                  </t>
  </si>
  <si>
    <r>
      <t>SERVICE CALL DATE:</t>
    </r>
    <r>
      <rPr>
        <b/>
        <sz val="8"/>
        <rFont val="Arial"/>
        <family val="2"/>
      </rPr>
      <t xml:space="preserve">(DDMMMYY) </t>
    </r>
  </si>
  <si>
    <r>
      <t xml:space="preserve">SERVICE ORDER DATE: </t>
    </r>
    <r>
      <rPr>
        <b/>
        <sz val="8"/>
        <rFont val="Arial"/>
        <family val="2"/>
      </rPr>
      <t xml:space="preserve">(DDMMMYY)  </t>
    </r>
    <r>
      <rPr>
        <b/>
        <sz val="9"/>
        <rFont val="Arial"/>
        <family val="2"/>
      </rPr>
      <t xml:space="preserve">                               </t>
    </r>
  </si>
  <si>
    <r>
      <t xml:space="preserve">SERVICE TICKET NO.: </t>
    </r>
    <r>
      <rPr>
        <sz val="9"/>
        <rFont val="Arial"/>
        <family val="2"/>
      </rPr>
      <t>if different</t>
    </r>
  </si>
  <si>
    <t xml:space="preserve">INITIATOR:                                </t>
  </si>
  <si>
    <r>
      <t xml:space="preserve">TYPE: </t>
    </r>
    <r>
      <rPr>
        <sz val="8"/>
        <rFont val="Arial"/>
        <family val="2"/>
      </rPr>
      <t>Routine, Emergency, Inspection.</t>
    </r>
  </si>
  <si>
    <r>
      <t>SOW</t>
    </r>
    <r>
      <rPr>
        <sz val="9"/>
        <rFont val="Arial"/>
        <family val="2"/>
      </rPr>
      <t xml:space="preserve"> (</t>
    </r>
    <r>
      <rPr>
        <sz val="8"/>
        <rFont val="Arial"/>
        <family val="2"/>
      </rPr>
      <t>include location; attach additional sheets as required):</t>
    </r>
  </si>
  <si>
    <t>SCHEDULE OF COMPLETION (DDMMYY)</t>
  </si>
  <si>
    <t>Safety Verification to be completed by Contractor</t>
  </si>
  <si>
    <t>CEHNC Safety Initial</t>
  </si>
  <si>
    <t>One of these boxes must be checked:</t>
  </si>
  <si>
    <t>Contractor confirms there is an AHA associated with the work being performed in this SO included in the Accident Prevention Plan (APP)</t>
  </si>
  <si>
    <t>NA</t>
  </si>
  <si>
    <t>Contractor acknowledges there is NOT an AHA associated with the work being performed in this SO included in the APP. AHA is attached for review with the SO.</t>
  </si>
  <si>
    <t>Check if applicable:</t>
  </si>
  <si>
    <t>Contractor acknowledges there is an activity associated with the SO that requires an additional plan or program that will be included in an APP addendum.</t>
  </si>
  <si>
    <t>PART II - COST SUMMARY</t>
  </si>
  <si>
    <t xml:space="preserve"> LABOR UTILIZED</t>
  </si>
  <si>
    <t>Labor Classification</t>
  </si>
  <si>
    <t>Reg Labor Hours</t>
  </si>
  <si>
    <t>Reg Labor Rate</t>
  </si>
  <si>
    <t>Reg Labor Amount</t>
  </si>
  <si>
    <t>OT Hours</t>
  </si>
  <si>
    <t>OT Rate</t>
  </si>
  <si>
    <t>OT Amount</t>
  </si>
  <si>
    <t>Project Manager</t>
  </si>
  <si>
    <t>Sr. Security System Engineer</t>
  </si>
  <si>
    <t>Security System Engineer</t>
  </si>
  <si>
    <t>Maintenance Supervisor</t>
  </si>
  <si>
    <t>Sr. Electronic Technician</t>
  </si>
  <si>
    <t>CAD Operator</t>
  </si>
  <si>
    <t>Travel to/from site</t>
  </si>
  <si>
    <t>TRAVEL</t>
  </si>
  <si>
    <t>Traveler</t>
  </si>
  <si>
    <t>Flight Total</t>
  </si>
  <si>
    <t>Days</t>
  </si>
  <si>
    <t>Per Diem / Day</t>
  </si>
  <si>
    <t>Rental Car Total</t>
  </si>
  <si>
    <t>Extended Total</t>
  </si>
  <si>
    <t>Total</t>
  </si>
  <si>
    <t>Technician</t>
  </si>
  <si>
    <t>Other</t>
  </si>
  <si>
    <t>PARTS/MATERIALS/SUPPLIES</t>
  </si>
  <si>
    <t>Description</t>
  </si>
  <si>
    <t>Qty</t>
  </si>
  <si>
    <t>Unit</t>
  </si>
  <si>
    <t>Unit Price</t>
  </si>
  <si>
    <t>Amount</t>
  </si>
  <si>
    <t>SUBCONTRACTS</t>
  </si>
  <si>
    <t>Sub Total Parts/Materials/Supplies</t>
  </si>
  <si>
    <t>Material Shipping Cost</t>
  </si>
  <si>
    <t xml:space="preserve">  </t>
  </si>
  <si>
    <t>Tax</t>
  </si>
  <si>
    <t>Material Handling</t>
  </si>
  <si>
    <t>Total Parts/Materials/Supplies Cost</t>
  </si>
  <si>
    <t>Travel G&amp;A</t>
  </si>
  <si>
    <t>Total Travel Cost</t>
  </si>
  <si>
    <t>Total Subcontractor Cost</t>
  </si>
  <si>
    <t>Total Overtime Labor</t>
  </si>
  <si>
    <r>
      <t>T</t>
    </r>
    <r>
      <rPr>
        <b/>
        <sz val="8"/>
        <rFont val="Arial"/>
        <family val="2"/>
      </rPr>
      <t xml:space="preserve">otal Non-Reimbursable Labor  </t>
    </r>
  </si>
  <si>
    <t>Profit (not on Travel)</t>
  </si>
  <si>
    <t>Subtotal Subcontracts</t>
  </si>
  <si>
    <r>
      <t xml:space="preserve">Bond </t>
    </r>
    <r>
      <rPr>
        <i/>
        <sz val="9"/>
        <rFont val="Arial"/>
        <family val="2"/>
      </rPr>
      <t>(DBA only</t>
    </r>
    <r>
      <rPr>
        <sz val="9"/>
        <rFont val="Arial"/>
        <family val="2"/>
      </rPr>
      <t>)</t>
    </r>
  </si>
  <si>
    <t>Subcontractor Handling Charge</t>
  </si>
  <si>
    <t>Total Service Order Cost</t>
  </si>
  <si>
    <t>TOTAL TO BE INVOICED</t>
  </si>
  <si>
    <t>PART III - AUTHORIZATION</t>
  </si>
  <si>
    <r>
      <t xml:space="preserve">On Site Representative (OSR) Concurrence: 
</t>
    </r>
    <r>
      <rPr>
        <sz val="9"/>
        <rFont val="Arial"/>
        <family val="2"/>
      </rPr>
      <t>If the OSR is not the SOA, concurrence of the SOW</t>
    </r>
  </si>
  <si>
    <t xml:space="preserve"> </t>
  </si>
  <si>
    <t>DATE</t>
  </si>
  <si>
    <t>PART IV - CERTIFICATION OF SERVICES</t>
  </si>
  <si>
    <t>I certify that the services under the above Service Order have been satisfactorily completed.</t>
  </si>
  <si>
    <t>Contractor Signature &amp; Printed Name:</t>
  </si>
  <si>
    <t>Government Quality Assurance Evaluator Signature &amp; Printed Name:</t>
  </si>
  <si>
    <t xml:space="preserve">Engineering Concurrence:
</t>
  </si>
  <si>
    <t>Contracting Officer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</si>
</sst>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d\-mmm\-yy;@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8"/>
      <name val="Arial"/>
      <family val="2"/>
    </font>
    <font>
      <b/>
      <u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Times New Roman"/>
      <family val="1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4"/>
      <color indexed="57"/>
      <name val="Arial"/>
      <family val="2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9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8" fillId="5" borderId="0" applyNumberFormat="0" applyBorder="0" applyAlignment="0" applyProtection="0"/>
    <xf numFmtId="9" fontId="20" fillId="0" borderId="0" applyFont="0" applyFill="0" applyBorder="0" applyAlignment="0" applyProtection="0"/>
  </cellStyleXfs>
  <cellXfs count="2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13" fillId="0" borderId="4" xfId="0" applyFont="1" applyBorder="1" applyProtection="1">
      <protection locked="0"/>
    </xf>
    <xf numFmtId="0" fontId="13" fillId="0" borderId="5" xfId="0" applyFont="1" applyBorder="1" applyProtection="1">
      <protection locked="0"/>
    </xf>
    <xf numFmtId="0" fontId="9" fillId="0" borderId="0" xfId="0" applyFont="1" applyAlignment="1">
      <alignment horizontal="center" vertical="center" wrapText="1"/>
    </xf>
    <xf numFmtId="0" fontId="1" fillId="0" borderId="0" xfId="0" applyFont="1"/>
    <xf numFmtId="0" fontId="5" fillId="2" borderId="0" xfId="0" applyFont="1" applyFill="1" applyBorder="1" applyAlignment="1" applyProtection="1">
      <protection locked="0"/>
    </xf>
    <xf numFmtId="0" fontId="0" fillId="0" borderId="0" xfId="0" applyAlignment="1">
      <alignment vertical="center"/>
    </xf>
    <xf numFmtId="0" fontId="3" fillId="0" borderId="0" xfId="0" applyFont="1" applyFill="1"/>
    <xf numFmtId="0" fontId="11" fillId="0" borderId="1" xfId="0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13" fillId="0" borderId="26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left"/>
    </xf>
    <xf numFmtId="0" fontId="0" fillId="0" borderId="0" xfId="0" applyAlignment="1"/>
    <xf numFmtId="0" fontId="5" fillId="0" borderId="19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left" vertical="center" wrapText="1"/>
      <protection locked="0"/>
    </xf>
    <xf numFmtId="0" fontId="9" fillId="0" borderId="19" xfId="0" applyFont="1" applyBorder="1" applyAlignment="1" applyProtection="1">
      <alignment horizontal="left" vertical="center" wrapText="1"/>
      <protection locked="0"/>
    </xf>
    <xf numFmtId="0" fontId="13" fillId="4" borderId="23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5" fontId="6" fillId="0" borderId="19" xfId="0" applyNumberFormat="1" applyFont="1" applyBorder="1" applyAlignment="1" applyProtection="1">
      <alignment horizontal="center" vertical="center"/>
      <protection locked="0"/>
    </xf>
    <xf numFmtId="0" fontId="5" fillId="0" borderId="21" xfId="0" applyFont="1" applyFill="1" applyBorder="1" applyAlignment="1" applyProtection="1">
      <protection locked="0"/>
    </xf>
    <xf numFmtId="0" fontId="1" fillId="6" borderId="19" xfId="2" applyFont="1" applyFill="1" applyBorder="1" applyProtection="1">
      <protection locked="0"/>
    </xf>
    <xf numFmtId="44" fontId="1" fillId="6" borderId="19" xfId="1" applyFont="1" applyFill="1" applyBorder="1" applyProtection="1">
      <protection locked="0"/>
    </xf>
    <xf numFmtId="0" fontId="23" fillId="0" borderId="0" xfId="0" applyFont="1"/>
    <xf numFmtId="10" fontId="6" fillId="6" borderId="19" xfId="3" applyNumberFormat="1" applyFont="1" applyFill="1" applyBorder="1" applyAlignment="1" applyProtection="1">
      <alignment horizontal="center" vertical="center"/>
      <protection locked="0"/>
    </xf>
    <xf numFmtId="10" fontId="1" fillId="6" borderId="30" xfId="3" applyNumberFormat="1" applyFont="1" applyFill="1" applyBorder="1" applyAlignment="1" applyProtection="1">
      <alignment horizontal="center" vertical="center"/>
      <protection locked="0"/>
    </xf>
    <xf numFmtId="44" fontId="1" fillId="0" borderId="19" xfId="1" applyFont="1" applyFill="1" applyBorder="1" applyProtection="1">
      <protection locked="0"/>
    </xf>
    <xf numFmtId="0" fontId="5" fillId="4" borderId="19" xfId="0" applyFont="1" applyFill="1" applyBorder="1" applyAlignment="1">
      <alignment horizontal="center"/>
    </xf>
    <xf numFmtId="44" fontId="1" fillId="0" borderId="40" xfId="1" applyFont="1" applyFill="1" applyBorder="1" applyProtection="1">
      <protection locked="0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4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" fillId="0" borderId="19" xfId="0" applyNumberFormat="1" applyFont="1" applyBorder="1" applyAlignment="1" applyProtection="1">
      <alignment horizontal="center"/>
      <protection locked="0"/>
    </xf>
    <xf numFmtId="44" fontId="1" fillId="0" borderId="19" xfId="1" applyNumberFormat="1" applyFont="1" applyBorder="1" applyAlignment="1" applyProtection="1">
      <alignment horizontal="right"/>
    </xf>
    <xf numFmtId="164" fontId="1" fillId="0" borderId="19" xfId="0" applyNumberFormat="1" applyFont="1" applyBorder="1" applyAlignment="1" applyProtection="1">
      <alignment horizontal="center"/>
      <protection locked="0"/>
    </xf>
    <xf numFmtId="0" fontId="21" fillId="6" borderId="19" xfId="2" applyNumberFormat="1" applyFont="1" applyFill="1" applyBorder="1" applyAlignment="1" applyProtection="1">
      <alignment horizontal="center"/>
      <protection locked="0"/>
    </xf>
    <xf numFmtId="44" fontId="21" fillId="6" borderId="19" xfId="1" applyFont="1" applyFill="1" applyBorder="1" applyAlignment="1" applyProtection="1">
      <alignment horizontal="center"/>
      <protection locked="0"/>
    </xf>
    <xf numFmtId="0" fontId="5" fillId="0" borderId="19" xfId="0" applyFont="1" applyFill="1" applyBorder="1" applyAlignment="1" applyProtection="1">
      <protection locked="0"/>
    </xf>
    <xf numFmtId="0" fontId="5" fillId="0" borderId="39" xfId="0" applyFont="1" applyFill="1" applyBorder="1" applyAlignment="1" applyProtection="1">
      <alignment horizontal="left"/>
      <protection locked="0"/>
    </xf>
    <xf numFmtId="0" fontId="5" fillId="0" borderId="39" xfId="0" applyFont="1" applyBorder="1" applyAlignment="1" applyProtection="1">
      <alignment horizontal="left"/>
      <protection locked="0"/>
    </xf>
    <xf numFmtId="165" fontId="19" fillId="6" borderId="40" xfId="2" applyNumberFormat="1" applyFont="1" applyFill="1" applyBorder="1" applyAlignment="1" applyProtection="1">
      <alignment horizontal="left"/>
      <protection locked="0"/>
    </xf>
    <xf numFmtId="0" fontId="19" fillId="6" borderId="40" xfId="2" applyFont="1" applyFill="1" applyBorder="1" applyAlignment="1" applyProtection="1">
      <alignment horizontal="left"/>
      <protection locked="0"/>
    </xf>
    <xf numFmtId="0" fontId="19" fillId="6" borderId="42" xfId="2" applyFont="1" applyFill="1" applyBorder="1" applyAlignment="1" applyProtection="1">
      <alignment horizontal="left"/>
      <protection locked="0"/>
    </xf>
    <xf numFmtId="165" fontId="19" fillId="6" borderId="42" xfId="2" applyNumberFormat="1" applyFont="1" applyFill="1" applyBorder="1" applyAlignment="1"/>
    <xf numFmtId="0" fontId="13" fillId="0" borderId="42" xfId="0" applyFont="1" applyBorder="1" applyAlignment="1" applyProtection="1">
      <alignment horizontal="left"/>
      <protection locked="0"/>
    </xf>
    <xf numFmtId="0" fontId="9" fillId="0" borderId="48" xfId="0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left" vertical="center"/>
      <protection locked="0"/>
    </xf>
    <xf numFmtId="0" fontId="9" fillId="0" borderId="50" xfId="0" applyFont="1" applyBorder="1" applyAlignment="1" applyProtection="1">
      <alignment horizontal="left" vertical="center"/>
      <protection locked="0"/>
    </xf>
    <xf numFmtId="8" fontId="1" fillId="0" borderId="40" xfId="1" applyNumberFormat="1" applyFont="1" applyBorder="1" applyAlignment="1" applyProtection="1">
      <alignment horizontal="right"/>
    </xf>
    <xf numFmtId="44" fontId="1" fillId="0" borderId="40" xfId="1" applyNumberFormat="1" applyFont="1" applyBorder="1" applyAlignment="1" applyProtection="1">
      <alignment horizontal="right"/>
    </xf>
    <xf numFmtId="0" fontId="5" fillId="4" borderId="40" xfId="0" applyFont="1" applyFill="1" applyBorder="1" applyAlignment="1">
      <alignment horizontal="center"/>
    </xf>
    <xf numFmtId="0" fontId="1" fillId="6" borderId="30" xfId="2" applyFont="1" applyFill="1" applyBorder="1" applyProtection="1">
      <protection locked="0"/>
    </xf>
    <xf numFmtId="44" fontId="1" fillId="6" borderId="30" xfId="1" applyFont="1" applyFill="1" applyBorder="1" applyProtection="1">
      <protection locked="0"/>
    </xf>
    <xf numFmtId="0" fontId="1" fillId="0" borderId="30" xfId="0" applyNumberFormat="1" applyFont="1" applyBorder="1" applyAlignment="1" applyProtection="1">
      <alignment horizontal="center"/>
      <protection locked="0"/>
    </xf>
    <xf numFmtId="44" fontId="1" fillId="0" borderId="31" xfId="1" applyNumberFormat="1" applyFont="1" applyBorder="1" applyAlignment="1" applyProtection="1">
      <alignment horizontal="right"/>
    </xf>
    <xf numFmtId="0" fontId="13" fillId="4" borderId="38" xfId="0" applyFont="1" applyFill="1" applyBorder="1" applyAlignment="1">
      <alignment horizontal="center" vertical="center" wrapText="1"/>
    </xf>
    <xf numFmtId="0" fontId="21" fillId="6" borderId="30" xfId="2" applyNumberFormat="1" applyFont="1" applyFill="1" applyBorder="1" applyAlignment="1" applyProtection="1">
      <alignment horizontal="center"/>
      <protection locked="0"/>
    </xf>
    <xf numFmtId="165" fontId="6" fillId="0" borderId="24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>
      <alignment horizontal="right" vertical="center"/>
    </xf>
    <xf numFmtId="164" fontId="5" fillId="0" borderId="40" xfId="0" applyNumberFormat="1" applyFont="1" applyBorder="1" applyAlignment="1">
      <alignment horizontal="right" vertical="center"/>
    </xf>
    <xf numFmtId="44" fontId="21" fillId="6" borderId="20" xfId="1" applyFont="1" applyFill="1" applyBorder="1" applyAlignment="1" applyProtection="1">
      <alignment horizontal="center"/>
      <protection locked="0"/>
    </xf>
    <xf numFmtId="44" fontId="1" fillId="0" borderId="20" xfId="1" applyFont="1" applyFill="1" applyBorder="1" applyProtection="1">
      <protection locked="0"/>
    </xf>
    <xf numFmtId="44" fontId="1" fillId="0" borderId="42" xfId="1" applyFont="1" applyFill="1" applyBorder="1" applyProtection="1">
      <protection locked="0"/>
    </xf>
    <xf numFmtId="164" fontId="1" fillId="0" borderId="21" xfId="2" applyNumberFormat="1" applyFont="1" applyFill="1" applyBorder="1"/>
    <xf numFmtId="164" fontId="1" fillId="0" borderId="53" xfId="2" applyNumberFormat="1" applyFont="1" applyFill="1" applyBorder="1"/>
    <xf numFmtId="0" fontId="5" fillId="0" borderId="19" xfId="0" applyFont="1" applyBorder="1" applyAlignment="1" applyProtection="1">
      <alignment horizontal="left" vertical="center"/>
      <protection locked="0"/>
    </xf>
    <xf numFmtId="164" fontId="5" fillId="0" borderId="28" xfId="0" applyNumberFormat="1" applyFont="1" applyBorder="1" applyAlignment="1">
      <alignment horizontal="right" vertical="center"/>
    </xf>
    <xf numFmtId="0" fontId="6" fillId="0" borderId="39" xfId="0" applyFont="1" applyBorder="1" applyAlignment="1" applyProtection="1">
      <alignment horizontal="left" vertical="center"/>
      <protection locked="0"/>
    </xf>
    <xf numFmtId="164" fontId="5" fillId="0" borderId="31" xfId="0" applyNumberFormat="1" applyFont="1" applyBorder="1" applyAlignment="1">
      <alignment horizontal="right" vertical="center"/>
    </xf>
    <xf numFmtId="10" fontId="6" fillId="6" borderId="27" xfId="3" applyNumberFormat="1" applyFont="1" applyFill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vertical="center"/>
      <protection locked="0"/>
    </xf>
    <xf numFmtId="0" fontId="1" fillId="0" borderId="20" xfId="0" applyFont="1" applyBorder="1" applyAlignment="1">
      <alignment vertical="center"/>
    </xf>
    <xf numFmtId="0" fontId="1" fillId="6" borderId="20" xfId="2" applyFont="1" applyFill="1" applyBorder="1" applyProtection="1">
      <protection locked="0"/>
    </xf>
    <xf numFmtId="164" fontId="1" fillId="0" borderId="20" xfId="0" applyNumberFormat="1" applyFont="1" applyBorder="1" applyAlignment="1" applyProtection="1">
      <alignment horizontal="center"/>
      <protection locked="0"/>
    </xf>
    <xf numFmtId="8" fontId="1" fillId="0" borderId="42" xfId="1" applyNumberFormat="1" applyFont="1" applyBorder="1" applyAlignment="1" applyProtection="1">
      <alignment horizontal="right"/>
    </xf>
    <xf numFmtId="0" fontId="24" fillId="0" borderId="54" xfId="0" applyFont="1" applyBorder="1" applyAlignment="1"/>
    <xf numFmtId="0" fontId="6" fillId="0" borderId="55" xfId="0" applyFont="1" applyBorder="1" applyAlignment="1" applyProtection="1">
      <protection locked="0"/>
    </xf>
    <xf numFmtId="164" fontId="1" fillId="0" borderId="19" xfId="0" applyNumberFormat="1" applyFont="1" applyBorder="1" applyAlignment="1" applyProtection="1">
      <alignment horizontal="center"/>
    </xf>
    <xf numFmtId="164" fontId="1" fillId="0" borderId="20" xfId="0" applyNumberFormat="1" applyFont="1" applyBorder="1" applyAlignment="1" applyProtection="1">
      <alignment horizont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3" fillId="4" borderId="2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6" fillId="0" borderId="56" xfId="0" applyFont="1" applyBorder="1" applyAlignment="1">
      <alignment horizontal="left" vertical="center"/>
    </xf>
    <xf numFmtId="44" fontId="19" fillId="6" borderId="19" xfId="2" applyNumberFormat="1" applyFont="1" applyFill="1" applyBorder="1" applyProtection="1">
      <protection locked="0"/>
    </xf>
    <xf numFmtId="44" fontId="27" fillId="6" borderId="19" xfId="2" applyNumberFormat="1" applyFont="1" applyFill="1" applyBorder="1"/>
    <xf numFmtId="0" fontId="6" fillId="0" borderId="0" xfId="0" applyFont="1"/>
    <xf numFmtId="0" fontId="6" fillId="0" borderId="0" xfId="0" applyFont="1" applyAlignment="1"/>
    <xf numFmtId="0" fontId="5" fillId="0" borderId="24" xfId="0" applyFont="1" applyBorder="1" applyAlignment="1" applyProtection="1">
      <alignment horizontal="right" vertical="center" wrapText="1"/>
      <protection locked="0"/>
    </xf>
    <xf numFmtId="0" fontId="16" fillId="0" borderId="24" xfId="0" applyFont="1" applyBorder="1" applyAlignment="1">
      <alignment horizontal="right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>
      <alignment vertical="center"/>
    </xf>
    <xf numFmtId="165" fontId="19" fillId="6" borderId="19" xfId="2" applyNumberFormat="1" applyFont="1" applyFill="1" applyBorder="1" applyAlignment="1" applyProtection="1">
      <alignment horizontal="center"/>
      <protection locked="0"/>
    </xf>
    <xf numFmtId="165" fontId="19" fillId="6" borderId="40" xfId="2" applyNumberFormat="1" applyFont="1" applyFill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left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22" xfId="0" applyFont="1" applyBorder="1" applyAlignment="1" applyProtection="1">
      <alignment horizontal="left"/>
      <protection locked="0"/>
    </xf>
    <xf numFmtId="0" fontId="13" fillId="4" borderId="5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 applyProtection="1">
      <alignment horizontal="left"/>
      <protection locked="0"/>
    </xf>
    <xf numFmtId="0" fontId="0" fillId="6" borderId="9" xfId="0" applyFill="1" applyBorder="1" applyAlignment="1"/>
    <xf numFmtId="0" fontId="0" fillId="6" borderId="22" xfId="0" applyFill="1" applyBorder="1" applyAlignment="1"/>
    <xf numFmtId="0" fontId="5" fillId="0" borderId="19" xfId="0" applyFont="1" applyFill="1" applyBorder="1" applyAlignment="1" applyProtection="1">
      <alignment horizontal="left"/>
      <protection locked="0"/>
    </xf>
    <xf numFmtId="0" fontId="5" fillId="0" borderId="19" xfId="0" applyFont="1" applyBorder="1" applyAlignment="1" applyProtection="1">
      <alignment horizontal="left"/>
      <protection locked="0"/>
    </xf>
    <xf numFmtId="0" fontId="5" fillId="0" borderId="21" xfId="0" applyFont="1" applyBorder="1" applyAlignment="1" applyProtection="1">
      <alignment horizontal="left"/>
      <protection locked="0"/>
    </xf>
    <xf numFmtId="0" fontId="5" fillId="4" borderId="3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21" fillId="6" borderId="39" xfId="2" applyFont="1" applyFill="1" applyBorder="1" applyAlignment="1" applyProtection="1">
      <alignment horizontal="left"/>
      <protection locked="0"/>
    </xf>
    <xf numFmtId="0" fontId="21" fillId="6" borderId="19" xfId="2" applyFont="1" applyFill="1" applyBorder="1" applyAlignment="1" applyProtection="1">
      <alignment horizontal="left"/>
      <protection locked="0"/>
    </xf>
    <xf numFmtId="0" fontId="21" fillId="6" borderId="19" xfId="2" applyFont="1" applyFill="1" applyBorder="1" applyAlignment="1">
      <alignment horizontal="left"/>
    </xf>
    <xf numFmtId="0" fontId="6" fillId="0" borderId="39" xfId="0" applyFont="1" applyBorder="1" applyAlignment="1" applyProtection="1">
      <alignment vertical="center"/>
      <protection locked="0"/>
    </xf>
    <xf numFmtId="0" fontId="1" fillId="0" borderId="19" xfId="0" applyFont="1" applyBorder="1" applyAlignment="1">
      <alignment vertical="center"/>
    </xf>
    <xf numFmtId="0" fontId="5" fillId="0" borderId="19" xfId="0" applyFont="1" applyBorder="1" applyAlignment="1" applyProtection="1">
      <alignment horizontal="right" vertical="center" wrapText="1"/>
      <protection locked="0"/>
    </xf>
    <xf numFmtId="0" fontId="1" fillId="0" borderId="19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3" borderId="8" xfId="0" applyFont="1" applyFill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6" fillId="0" borderId="19" xfId="0" applyFont="1" applyBorder="1" applyAlignment="1">
      <alignment horizontal="right" vertical="center"/>
    </xf>
    <xf numFmtId="0" fontId="1" fillId="0" borderId="19" xfId="0" applyFont="1" applyBorder="1" applyAlignment="1"/>
    <xf numFmtId="0" fontId="5" fillId="0" borderId="19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protection locked="0"/>
    </xf>
    <xf numFmtId="0" fontId="1" fillId="0" borderId="30" xfId="0" applyFont="1" applyBorder="1" applyAlignment="1"/>
    <xf numFmtId="0" fontId="16" fillId="0" borderId="5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6" fillId="0" borderId="43" xfId="0" applyFont="1" applyBorder="1" applyAlignment="1" applyProtection="1">
      <protection locked="0"/>
    </xf>
    <xf numFmtId="0" fontId="24" fillId="0" borderId="20" xfId="0" applyFont="1" applyBorder="1" applyAlignment="1"/>
    <xf numFmtId="0" fontId="13" fillId="4" borderId="37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9" fillId="6" borderId="19" xfId="2" applyFont="1" applyFill="1" applyBorder="1" applyAlignment="1" applyProtection="1">
      <alignment horizontal="left"/>
      <protection locked="0"/>
    </xf>
    <xf numFmtId="0" fontId="19" fillId="6" borderId="19" xfId="2" applyFont="1" applyFill="1" applyBorder="1" applyAlignment="1"/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5" xfId="0" applyFont="1" applyBorder="1" applyAlignment="1" applyProtection="1">
      <alignment horizontal="left"/>
      <protection locked="0"/>
    </xf>
    <xf numFmtId="0" fontId="14" fillId="0" borderId="12" xfId="0" applyFont="1" applyBorder="1" applyAlignment="1" applyProtection="1">
      <alignment horizontal="left"/>
      <protection locked="0"/>
    </xf>
    <xf numFmtId="0" fontId="14" fillId="0" borderId="13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 applyProtection="1">
      <alignment horizontal="left"/>
      <protection locked="0"/>
    </xf>
    <xf numFmtId="0" fontId="19" fillId="6" borderId="36" xfId="2" applyFont="1" applyFill="1" applyBorder="1" applyAlignment="1" applyProtection="1">
      <alignment horizontal="left" vertical="top"/>
      <protection locked="0"/>
    </xf>
    <xf numFmtId="0" fontId="19" fillId="6" borderId="6" xfId="2" applyFont="1" applyFill="1" applyBorder="1" applyAlignment="1" applyProtection="1">
      <alignment horizontal="left" vertical="top"/>
      <protection locked="0"/>
    </xf>
    <xf numFmtId="0" fontId="19" fillId="6" borderId="47" xfId="2" applyFont="1" applyFill="1" applyBorder="1" applyAlignment="1" applyProtection="1">
      <alignment horizontal="left" vertical="top"/>
      <protection locked="0"/>
    </xf>
    <xf numFmtId="0" fontId="19" fillId="6" borderId="1" xfId="2" applyFont="1" applyFill="1" applyBorder="1" applyAlignment="1" applyProtection="1">
      <alignment horizontal="left" vertical="top"/>
      <protection locked="0"/>
    </xf>
    <xf numFmtId="0" fontId="19" fillId="6" borderId="0" xfId="2" applyFont="1" applyFill="1" applyBorder="1" applyAlignment="1" applyProtection="1">
      <alignment horizontal="left" vertical="top"/>
      <protection locked="0"/>
    </xf>
    <xf numFmtId="0" fontId="19" fillId="6" borderId="7" xfId="2" applyFont="1" applyFill="1" applyBorder="1" applyAlignment="1" applyProtection="1">
      <alignment horizontal="left" vertical="top"/>
      <protection locked="0"/>
    </xf>
    <xf numFmtId="0" fontId="19" fillId="6" borderId="14" xfId="2" applyFont="1" applyFill="1" applyBorder="1" applyAlignment="1" applyProtection="1">
      <alignment horizontal="left" vertical="top"/>
      <protection locked="0"/>
    </xf>
    <xf numFmtId="0" fontId="19" fillId="6" borderId="10" xfId="2" applyFont="1" applyFill="1" applyBorder="1" applyAlignment="1" applyProtection="1">
      <alignment horizontal="left" vertical="top"/>
      <protection locked="0"/>
    </xf>
    <xf numFmtId="0" fontId="19" fillId="6" borderId="11" xfId="2" applyFont="1" applyFill="1" applyBorder="1" applyAlignment="1" applyProtection="1">
      <alignment horizontal="left" vertical="top"/>
      <protection locked="0"/>
    </xf>
    <xf numFmtId="0" fontId="9" fillId="0" borderId="27" xfId="0" applyFont="1" applyBorder="1" applyAlignment="1" applyProtection="1">
      <alignment horizontal="left" wrapText="1"/>
      <protection locked="0"/>
    </xf>
    <xf numFmtId="0" fontId="9" fillId="0" borderId="27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 applyProtection="1">
      <alignment horizontal="left" wrapText="1"/>
      <protection locked="0"/>
    </xf>
    <xf numFmtId="0" fontId="9" fillId="0" borderId="30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49" xfId="0" applyFont="1" applyBorder="1" applyAlignment="1" applyProtection="1">
      <alignment horizontal="left" wrapText="1"/>
      <protection locked="0"/>
    </xf>
    <xf numFmtId="0" fontId="9" fillId="0" borderId="49" xfId="0" applyFont="1" applyBorder="1" applyAlignment="1">
      <alignment wrapText="1"/>
    </xf>
    <xf numFmtId="0" fontId="21" fillId="6" borderId="29" xfId="2" applyFont="1" applyFill="1" applyBorder="1" applyAlignment="1" applyProtection="1">
      <alignment horizontal="left"/>
      <protection locked="0"/>
    </xf>
    <xf numFmtId="0" fontId="21" fillId="6" borderId="30" xfId="2" applyFont="1" applyFill="1" applyBorder="1" applyAlignment="1" applyProtection="1">
      <alignment horizontal="left"/>
      <protection locked="0"/>
    </xf>
    <xf numFmtId="0" fontId="21" fillId="6" borderId="30" xfId="2" applyFont="1" applyFill="1" applyBorder="1" applyAlignment="1">
      <alignment horizontal="left"/>
    </xf>
    <xf numFmtId="0" fontId="1" fillId="0" borderId="39" xfId="2" applyFont="1" applyFill="1" applyBorder="1" applyAlignment="1">
      <alignment horizontal="right"/>
    </xf>
    <xf numFmtId="0" fontId="1" fillId="0" borderId="19" xfId="2" applyFont="1" applyFill="1" applyBorder="1" applyAlignment="1">
      <alignment horizontal="right"/>
    </xf>
    <xf numFmtId="0" fontId="6" fillId="0" borderId="19" xfId="0" applyFont="1" applyBorder="1" applyAlignment="1" applyProtection="1">
      <alignment horizontal="left" vertical="center"/>
      <protection locked="0"/>
    </xf>
    <xf numFmtId="0" fontId="16" fillId="0" borderId="19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5" fillId="0" borderId="29" xfId="0" applyFont="1" applyBorder="1" applyAlignment="1" applyProtection="1">
      <alignment horizontal="left"/>
      <protection locked="0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2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" fillId="0" borderId="29" xfId="2" applyFont="1" applyFill="1" applyBorder="1" applyAlignment="1">
      <alignment horizontal="right"/>
    </xf>
    <xf numFmtId="0" fontId="1" fillId="0" borderId="30" xfId="2" applyFont="1" applyFill="1" applyBorder="1" applyAlignment="1">
      <alignment horizontal="right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22" fillId="6" borderId="39" xfId="2" applyFont="1" applyFill="1" applyBorder="1" applyAlignment="1" applyProtection="1">
      <alignment horizontal="left"/>
      <protection locked="0"/>
    </xf>
    <xf numFmtId="0" fontId="22" fillId="6" borderId="19" xfId="2" applyFont="1" applyFill="1" applyBorder="1" applyAlignment="1" applyProtection="1">
      <alignment horizontal="left"/>
      <protection locked="0"/>
    </xf>
    <xf numFmtId="0" fontId="22" fillId="6" borderId="19" xfId="2" applyFont="1" applyFill="1" applyBorder="1" applyAlignment="1">
      <alignment horizontal="left"/>
    </xf>
    <xf numFmtId="0" fontId="17" fillId="0" borderId="2" xfId="0" applyFont="1" applyBorder="1" applyAlignment="1" applyProtection="1">
      <alignment horizontal="right" vertical="center"/>
    </xf>
    <xf numFmtId="0" fontId="17" fillId="0" borderId="3" xfId="0" applyFont="1" applyBorder="1" applyAlignment="1" applyProtection="1">
      <alignment horizontal="right" vertical="center"/>
    </xf>
    <xf numFmtId="164" fontId="17" fillId="0" borderId="3" xfId="0" applyNumberFormat="1" applyFont="1" applyBorder="1" applyAlignment="1" applyProtection="1">
      <alignment horizontal="center" vertical="center"/>
    </xf>
    <xf numFmtId="164" fontId="17" fillId="0" borderId="8" xfId="0" applyNumberFormat="1" applyFont="1" applyBorder="1" applyAlignment="1" applyProtection="1">
      <alignment horizontal="center" vertical="center"/>
    </xf>
    <xf numFmtId="0" fontId="27" fillId="6" borderId="19" xfId="2" applyFont="1" applyFill="1" applyBorder="1" applyAlignment="1">
      <alignment horizontal="left"/>
    </xf>
    <xf numFmtId="0" fontId="27" fillId="6" borderId="19" xfId="2" applyFont="1" applyFill="1" applyBorder="1" applyAlignment="1"/>
    <xf numFmtId="0" fontId="5" fillId="0" borderId="57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27" fillId="6" borderId="21" xfId="2" applyFont="1" applyFill="1" applyBorder="1" applyAlignment="1">
      <alignment horizontal="center"/>
    </xf>
    <xf numFmtId="0" fontId="27" fillId="6" borderId="9" xfId="2" applyFont="1" applyFill="1" applyBorder="1" applyAlignment="1">
      <alignment horizontal="center"/>
    </xf>
    <xf numFmtId="0" fontId="27" fillId="6" borderId="22" xfId="2" applyFont="1" applyFill="1" applyBorder="1" applyAlignment="1">
      <alignment horizontal="center"/>
    </xf>
    <xf numFmtId="0" fontId="5" fillId="0" borderId="54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19" fillId="6" borderId="19" xfId="2" applyFont="1" applyFill="1" applyBorder="1" applyAlignment="1" applyProtection="1">
      <protection locked="0"/>
    </xf>
  </cellXfs>
  <cellStyles count="4">
    <cellStyle name="Currency" xfId="1" builtinId="4"/>
    <cellStyle name="Neutral" xfId="2" builtinId="28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15</xdr:row>
          <xdr:rowOff>47625</xdr:rowOff>
        </xdr:from>
        <xdr:to>
          <xdr:col>1</xdr:col>
          <xdr:colOff>247650</xdr:colOff>
          <xdr:row>15</xdr:row>
          <xdr:rowOff>219075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16</xdr:row>
          <xdr:rowOff>47625</xdr:rowOff>
        </xdr:from>
        <xdr:to>
          <xdr:col>1</xdr:col>
          <xdr:colOff>247650</xdr:colOff>
          <xdr:row>16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17</xdr:row>
          <xdr:rowOff>47625</xdr:rowOff>
        </xdr:from>
        <xdr:to>
          <xdr:col>1</xdr:col>
          <xdr:colOff>247650</xdr:colOff>
          <xdr:row>17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7"/>
  <sheetViews>
    <sheetView tabSelected="1" topLeftCell="A44" zoomScaleNormal="100" zoomScaleSheetLayoutView="100" workbookViewId="0">
      <selection activeCell="A71" sqref="A71:B71"/>
    </sheetView>
  </sheetViews>
  <sheetFormatPr defaultRowHeight="12.75" x14ac:dyDescent="0.2"/>
  <cols>
    <col min="1" max="1" width="33.42578125" customWidth="1"/>
    <col min="2" max="2" width="7.5703125" customWidth="1"/>
    <col min="3" max="3" width="10.7109375" customWidth="1"/>
    <col min="4" max="4" width="11.5703125" customWidth="1"/>
    <col min="5" max="5" width="14.42578125" customWidth="1"/>
    <col min="6" max="6" width="17.85546875" customWidth="1"/>
    <col min="7" max="7" width="12.28515625" customWidth="1"/>
    <col min="8" max="8" width="16.140625" customWidth="1"/>
  </cols>
  <sheetData>
    <row r="1" spans="1:8" ht="19.5" customHeight="1" thickBot="1" x14ac:dyDescent="0.25">
      <c r="A1" s="159" t="s">
        <v>0</v>
      </c>
      <c r="B1" s="160"/>
      <c r="C1" s="160"/>
      <c r="D1" s="160"/>
      <c r="E1" s="160"/>
      <c r="F1" s="160"/>
      <c r="G1" s="160"/>
      <c r="H1" s="161"/>
    </row>
    <row r="2" spans="1:8" ht="13.5" customHeight="1" thickBot="1" x14ac:dyDescent="0.25">
      <c r="A2" s="115" t="s">
        <v>1</v>
      </c>
      <c r="B2" s="116"/>
      <c r="C2" s="116"/>
      <c r="D2" s="116"/>
      <c r="E2" s="117"/>
      <c r="F2" s="117"/>
      <c r="G2" s="162"/>
      <c r="H2" s="163"/>
    </row>
    <row r="3" spans="1:8" s="13" customFormat="1" ht="15.75" customHeight="1" x14ac:dyDescent="0.35">
      <c r="A3" s="50" t="s">
        <v>2</v>
      </c>
      <c r="B3" s="119"/>
      <c r="C3" s="120"/>
      <c r="D3" s="120"/>
      <c r="E3" s="121"/>
      <c r="F3" s="32" t="s">
        <v>3</v>
      </c>
      <c r="G3" s="108"/>
      <c r="H3" s="109"/>
    </row>
    <row r="4" spans="1:8" s="13" customFormat="1" ht="13.5" customHeight="1" x14ac:dyDescent="0.35">
      <c r="A4" s="50" t="s">
        <v>4</v>
      </c>
      <c r="B4" s="119"/>
      <c r="C4" s="120"/>
      <c r="D4" s="120"/>
      <c r="E4" s="121"/>
      <c r="F4" s="49" t="s">
        <v>5</v>
      </c>
      <c r="G4" s="108"/>
      <c r="H4" s="109"/>
    </row>
    <row r="5" spans="1:8" s="13" customFormat="1" ht="13.5" customHeight="1" x14ac:dyDescent="0.35">
      <c r="A5" s="50" t="s">
        <v>6</v>
      </c>
      <c r="B5" s="119"/>
      <c r="C5" s="120"/>
      <c r="D5" s="120"/>
      <c r="E5" s="121"/>
      <c r="F5" s="49" t="s">
        <v>7</v>
      </c>
      <c r="G5" s="108"/>
      <c r="H5" s="109"/>
    </row>
    <row r="6" spans="1:8" ht="11.25" customHeight="1" x14ac:dyDescent="0.25">
      <c r="A6" s="51" t="s">
        <v>8</v>
      </c>
      <c r="B6" s="119"/>
      <c r="C6" s="120"/>
      <c r="D6" s="120"/>
      <c r="E6" s="121"/>
      <c r="F6" s="122" t="s">
        <v>9</v>
      </c>
      <c r="G6" s="122"/>
      <c r="H6" s="52"/>
    </row>
    <row r="7" spans="1:8" ht="12" customHeight="1" x14ac:dyDescent="0.25">
      <c r="A7" s="51" t="s">
        <v>10</v>
      </c>
      <c r="B7" s="119"/>
      <c r="C7" s="120"/>
      <c r="D7" s="120"/>
      <c r="E7" s="121"/>
      <c r="F7" s="123" t="s">
        <v>11</v>
      </c>
      <c r="G7" s="123"/>
      <c r="H7" s="53"/>
    </row>
    <row r="8" spans="1:8" ht="12" customHeight="1" x14ac:dyDescent="0.25">
      <c r="A8" s="51" t="s">
        <v>12</v>
      </c>
      <c r="B8" s="119"/>
      <c r="C8" s="120"/>
      <c r="D8" s="120"/>
      <c r="E8" s="121"/>
      <c r="F8" s="170" t="s">
        <v>13</v>
      </c>
      <c r="G8" s="170"/>
      <c r="H8" s="54"/>
    </row>
    <row r="9" spans="1:8" ht="13.5" customHeight="1" x14ac:dyDescent="0.25">
      <c r="A9" s="110" t="s">
        <v>14</v>
      </c>
      <c r="B9" s="111"/>
      <c r="C9" s="111"/>
      <c r="D9" s="112"/>
      <c r="E9" s="124" t="s">
        <v>15</v>
      </c>
      <c r="F9" s="111"/>
      <c r="G9" s="112"/>
      <c r="H9" s="55"/>
    </row>
    <row r="10" spans="1:8" ht="11.25" customHeight="1" x14ac:dyDescent="0.2">
      <c r="A10" s="171"/>
      <c r="B10" s="172"/>
      <c r="C10" s="172"/>
      <c r="D10" s="172"/>
      <c r="E10" s="172"/>
      <c r="F10" s="172"/>
      <c r="G10" s="172"/>
      <c r="H10" s="173"/>
    </row>
    <row r="11" spans="1:8" ht="11.25" customHeight="1" x14ac:dyDescent="0.2">
      <c r="A11" s="174"/>
      <c r="B11" s="175"/>
      <c r="C11" s="175"/>
      <c r="D11" s="175"/>
      <c r="E11" s="175"/>
      <c r="F11" s="175"/>
      <c r="G11" s="175"/>
      <c r="H11" s="176"/>
    </row>
    <row r="12" spans="1:8" ht="11.25" customHeight="1" x14ac:dyDescent="0.2">
      <c r="A12" s="174"/>
      <c r="B12" s="175"/>
      <c r="C12" s="175"/>
      <c r="D12" s="175"/>
      <c r="E12" s="175"/>
      <c r="F12" s="175"/>
      <c r="G12" s="175"/>
      <c r="H12" s="176"/>
    </row>
    <row r="13" spans="1:8" ht="10.5" customHeight="1" x14ac:dyDescent="0.2">
      <c r="A13" s="174"/>
      <c r="B13" s="175"/>
      <c r="C13" s="175"/>
      <c r="D13" s="175"/>
      <c r="E13" s="175"/>
      <c r="F13" s="175"/>
      <c r="G13" s="175"/>
      <c r="H13" s="176"/>
    </row>
    <row r="14" spans="1:8" s="12" customFormat="1" ht="15" customHeight="1" x14ac:dyDescent="0.2">
      <c r="A14" s="177"/>
      <c r="B14" s="178"/>
      <c r="C14" s="178"/>
      <c r="D14" s="178"/>
      <c r="E14" s="178"/>
      <c r="F14" s="178"/>
      <c r="G14" s="178"/>
      <c r="H14" s="179"/>
    </row>
    <row r="15" spans="1:8" ht="15" customHeight="1" thickBot="1" x14ac:dyDescent="0.25">
      <c r="A15" s="183" t="s">
        <v>16</v>
      </c>
      <c r="B15" s="184"/>
      <c r="C15" s="185"/>
      <c r="D15" s="185"/>
      <c r="E15" s="185"/>
      <c r="F15" s="185"/>
      <c r="G15" s="185"/>
      <c r="H15" s="56" t="s">
        <v>17</v>
      </c>
    </row>
    <row r="16" spans="1:8" ht="21" customHeight="1" x14ac:dyDescent="0.2">
      <c r="A16" s="186" t="s">
        <v>18</v>
      </c>
      <c r="B16" s="21"/>
      <c r="C16" s="180" t="s">
        <v>19</v>
      </c>
      <c r="D16" s="181"/>
      <c r="E16" s="181"/>
      <c r="F16" s="181"/>
      <c r="G16" s="182"/>
      <c r="H16" s="23" t="s">
        <v>20</v>
      </c>
    </row>
    <row r="17" spans="1:16" ht="21" customHeight="1" thickBot="1" x14ac:dyDescent="0.25">
      <c r="A17" s="187"/>
      <c r="B17" s="22"/>
      <c r="C17" s="188" t="s">
        <v>21</v>
      </c>
      <c r="D17" s="189"/>
      <c r="E17" s="189"/>
      <c r="F17" s="189"/>
      <c r="G17" s="190"/>
      <c r="H17" s="24"/>
    </row>
    <row r="18" spans="1:16" ht="21" customHeight="1" thickBot="1" x14ac:dyDescent="0.25">
      <c r="A18" s="57" t="s">
        <v>22</v>
      </c>
      <c r="B18" s="58"/>
      <c r="C18" s="191" t="s">
        <v>23</v>
      </c>
      <c r="D18" s="192"/>
      <c r="E18" s="192"/>
      <c r="F18" s="192"/>
      <c r="G18" s="192"/>
      <c r="H18" s="59"/>
    </row>
    <row r="19" spans="1:16" ht="11.25" hidden="1" customHeight="1" x14ac:dyDescent="0.2">
      <c r="A19" s="18"/>
      <c r="B19" s="19"/>
      <c r="C19" s="19"/>
      <c r="D19" s="19"/>
      <c r="E19" s="19"/>
      <c r="F19" s="19"/>
      <c r="G19" s="19"/>
      <c r="H19" s="20"/>
    </row>
    <row r="20" spans="1:16" ht="11.25" hidden="1" customHeight="1" x14ac:dyDescent="0.2">
      <c r="A20" s="14"/>
      <c r="B20" s="15"/>
      <c r="C20" s="15"/>
      <c r="D20" s="15"/>
      <c r="E20" s="16"/>
      <c r="F20" s="16"/>
      <c r="G20" s="16"/>
      <c r="H20" s="17"/>
    </row>
    <row r="21" spans="1:16" ht="15.75" hidden="1" customHeight="1" x14ac:dyDescent="0.2">
      <c r="A21" s="92"/>
      <c r="B21" s="93"/>
      <c r="C21" s="93"/>
      <c r="D21" s="93"/>
      <c r="E21" s="93"/>
      <c r="F21" s="93"/>
      <c r="G21" s="93"/>
      <c r="H21" s="94"/>
    </row>
    <row r="22" spans="1:16" ht="0.75" hidden="1" customHeight="1" thickBot="1" x14ac:dyDescent="0.25">
      <c r="A22" s="167"/>
      <c r="B22" s="168"/>
      <c r="C22" s="168"/>
      <c r="D22" s="168"/>
      <c r="E22" s="168"/>
      <c r="F22" s="168"/>
      <c r="G22" s="168"/>
      <c r="H22" s="169"/>
    </row>
    <row r="23" spans="1:16" ht="13.5" hidden="1" customHeight="1" thickBot="1" x14ac:dyDescent="0.3">
      <c r="A23" s="7"/>
      <c r="B23" s="8"/>
      <c r="C23" s="8"/>
      <c r="D23" s="8"/>
      <c r="E23" s="164"/>
      <c r="F23" s="165"/>
      <c r="G23" s="165"/>
      <c r="H23" s="166"/>
    </row>
    <row r="24" spans="1:16" ht="14.25" customHeight="1" thickBot="1" x14ac:dyDescent="0.25">
      <c r="A24" s="115" t="s">
        <v>24</v>
      </c>
      <c r="B24" s="116"/>
      <c r="C24" s="116"/>
      <c r="D24" s="116"/>
      <c r="E24" s="117"/>
      <c r="F24" s="117"/>
      <c r="G24" s="117"/>
      <c r="H24" s="118"/>
    </row>
    <row r="25" spans="1:16" ht="12" customHeight="1" thickBot="1" x14ac:dyDescent="0.25">
      <c r="A25" s="200" t="s">
        <v>25</v>
      </c>
      <c r="B25" s="201"/>
      <c r="C25" s="201"/>
      <c r="D25" s="201"/>
      <c r="E25" s="201"/>
      <c r="F25" s="201"/>
      <c r="G25" s="201"/>
      <c r="H25" s="202"/>
    </row>
    <row r="26" spans="1:16" s="9" customFormat="1" ht="21" customHeight="1" x14ac:dyDescent="0.2">
      <c r="A26" s="113" t="s">
        <v>26</v>
      </c>
      <c r="B26" s="114"/>
      <c r="C26" s="29" t="s">
        <v>27</v>
      </c>
      <c r="D26" s="41" t="s">
        <v>28</v>
      </c>
      <c r="E26" s="30" t="s">
        <v>29</v>
      </c>
      <c r="F26" s="30" t="s">
        <v>30</v>
      </c>
      <c r="G26" s="42" t="s">
        <v>31</v>
      </c>
      <c r="H26" s="43" t="s">
        <v>32</v>
      </c>
    </row>
    <row r="27" spans="1:16" ht="12.75" customHeight="1" x14ac:dyDescent="0.2">
      <c r="A27" s="131" t="s">
        <v>33</v>
      </c>
      <c r="B27" s="132"/>
      <c r="C27" s="33"/>
      <c r="D27" s="33"/>
      <c r="E27" s="46">
        <f t="shared" ref="E27:E33" si="0">+C27*D27</f>
        <v>0</v>
      </c>
      <c r="F27" s="33"/>
      <c r="G27" s="33"/>
      <c r="H27" s="60">
        <f t="shared" ref="H27:H33" si="1">+F27*G27</f>
        <v>0</v>
      </c>
      <c r="I27" s="102"/>
      <c r="J27" s="102"/>
      <c r="K27" s="102"/>
      <c r="L27" s="102"/>
      <c r="M27" s="102"/>
      <c r="N27" s="102"/>
      <c r="O27" s="102"/>
      <c r="P27" s="102"/>
    </row>
    <row r="28" spans="1:16" ht="12.75" customHeight="1" x14ac:dyDescent="0.2">
      <c r="A28" s="131" t="s">
        <v>34</v>
      </c>
      <c r="B28" s="132"/>
      <c r="C28" s="33"/>
      <c r="D28" s="33"/>
      <c r="E28" s="46">
        <f t="shared" si="0"/>
        <v>0</v>
      </c>
      <c r="F28" s="33"/>
      <c r="G28" s="33"/>
      <c r="H28" s="60">
        <f t="shared" si="1"/>
        <v>0</v>
      </c>
      <c r="I28" s="102"/>
      <c r="J28" s="102"/>
      <c r="K28" s="102"/>
      <c r="L28" s="102"/>
      <c r="M28" s="102"/>
      <c r="N28" s="102"/>
      <c r="O28" s="102"/>
      <c r="P28" s="102"/>
    </row>
    <row r="29" spans="1:16" ht="12.75" customHeight="1" x14ac:dyDescent="0.2">
      <c r="A29" s="131" t="s">
        <v>35</v>
      </c>
      <c r="B29" s="132"/>
      <c r="C29" s="33"/>
      <c r="D29" s="33"/>
      <c r="E29" s="46">
        <f t="shared" si="0"/>
        <v>0</v>
      </c>
      <c r="F29" s="33"/>
      <c r="G29" s="33"/>
      <c r="H29" s="60">
        <f t="shared" si="1"/>
        <v>0</v>
      </c>
      <c r="I29" s="102"/>
      <c r="J29" s="102"/>
      <c r="K29" s="102"/>
      <c r="L29" s="102"/>
      <c r="M29" s="102"/>
      <c r="N29" s="102"/>
      <c r="O29" s="102"/>
      <c r="P29" s="102"/>
    </row>
    <row r="30" spans="1:16" ht="12.75" customHeight="1" x14ac:dyDescent="0.2">
      <c r="A30" s="131" t="s">
        <v>36</v>
      </c>
      <c r="B30" s="132"/>
      <c r="C30" s="33"/>
      <c r="D30" s="33"/>
      <c r="E30" s="46">
        <f t="shared" si="0"/>
        <v>0</v>
      </c>
      <c r="F30" s="33"/>
      <c r="G30" s="33"/>
      <c r="H30" s="60">
        <f t="shared" si="1"/>
        <v>0</v>
      </c>
      <c r="I30" s="102"/>
      <c r="J30" s="102"/>
      <c r="K30" s="102"/>
      <c r="L30" s="102"/>
      <c r="M30" s="102"/>
      <c r="N30" s="102"/>
      <c r="O30" s="102"/>
      <c r="P30" s="102"/>
    </row>
    <row r="31" spans="1:16" ht="12.75" customHeight="1" x14ac:dyDescent="0.2">
      <c r="A31" s="82" t="s">
        <v>37</v>
      </c>
      <c r="B31" s="83"/>
      <c r="C31" s="84"/>
      <c r="D31" s="84"/>
      <c r="E31" s="89">
        <f t="shared" si="0"/>
        <v>0</v>
      </c>
      <c r="F31" s="84"/>
      <c r="G31" s="84"/>
      <c r="H31" s="60">
        <f t="shared" si="1"/>
        <v>0</v>
      </c>
      <c r="I31" s="102"/>
      <c r="J31" s="102"/>
      <c r="K31" s="102"/>
      <c r="L31" s="102"/>
      <c r="M31" s="102"/>
      <c r="N31" s="102"/>
      <c r="O31" s="102"/>
      <c r="P31" s="102"/>
    </row>
    <row r="32" spans="1:16" ht="12.75" customHeight="1" x14ac:dyDescent="0.2">
      <c r="A32" s="153" t="s">
        <v>38</v>
      </c>
      <c r="B32" s="154"/>
      <c r="C32" s="84"/>
      <c r="D32" s="84"/>
      <c r="E32" s="85">
        <f t="shared" si="0"/>
        <v>0</v>
      </c>
      <c r="F32" s="84"/>
      <c r="G32" s="84"/>
      <c r="H32" s="86">
        <f t="shared" si="1"/>
        <v>0</v>
      </c>
      <c r="I32" s="102"/>
      <c r="J32" s="102"/>
      <c r="K32" s="102"/>
      <c r="L32" s="102"/>
      <c r="M32" s="102"/>
      <c r="N32" s="102"/>
      <c r="O32" s="102"/>
      <c r="P32" s="102"/>
    </row>
    <row r="33" spans="1:16" ht="12.75" customHeight="1" thickBot="1" x14ac:dyDescent="0.25">
      <c r="A33" s="88" t="s">
        <v>39</v>
      </c>
      <c r="B33" s="87"/>
      <c r="C33" s="63"/>
      <c r="D33" s="63"/>
      <c r="E33" s="90">
        <f t="shared" si="0"/>
        <v>0</v>
      </c>
      <c r="F33" s="63"/>
      <c r="G33" s="63"/>
      <c r="H33" s="86">
        <f t="shared" si="1"/>
        <v>0</v>
      </c>
      <c r="I33" s="102"/>
      <c r="J33" s="102"/>
      <c r="K33" s="102"/>
      <c r="L33" s="102"/>
      <c r="M33" s="102"/>
      <c r="N33" s="102"/>
      <c r="O33" s="102"/>
      <c r="P33" s="102"/>
    </row>
    <row r="34" spans="1:16" ht="15.75" customHeight="1" x14ac:dyDescent="0.2">
      <c r="A34" s="150" t="s">
        <v>40</v>
      </c>
      <c r="B34" s="151"/>
      <c r="C34" s="151"/>
      <c r="D34" s="151"/>
      <c r="E34" s="151"/>
      <c r="F34" s="151"/>
      <c r="G34" s="151"/>
      <c r="H34" s="152"/>
      <c r="I34" s="102"/>
      <c r="J34" s="102"/>
      <c r="K34" s="102"/>
      <c r="L34" s="102"/>
      <c r="M34" s="102"/>
      <c r="N34" s="102"/>
      <c r="O34" s="102"/>
      <c r="P34" s="102"/>
    </row>
    <row r="35" spans="1:16" ht="13.5" customHeight="1" x14ac:dyDescent="0.2">
      <c r="A35" s="155" t="s">
        <v>41</v>
      </c>
      <c r="B35" s="156"/>
      <c r="C35" s="96" t="s">
        <v>42</v>
      </c>
      <c r="D35" s="96" t="s">
        <v>43</v>
      </c>
      <c r="E35" s="96" t="s">
        <v>44</v>
      </c>
      <c r="F35" s="96" t="s">
        <v>45</v>
      </c>
      <c r="G35" s="96" t="s">
        <v>46</v>
      </c>
      <c r="H35" s="67" t="s">
        <v>47</v>
      </c>
      <c r="I35" s="102"/>
      <c r="J35" s="102"/>
      <c r="K35" s="102"/>
      <c r="L35" s="102"/>
      <c r="M35" s="102"/>
      <c r="N35" s="102"/>
      <c r="O35" s="102"/>
      <c r="P35" s="102"/>
    </row>
    <row r="36" spans="1:16" x14ac:dyDescent="0.2">
      <c r="A36" s="131" t="s">
        <v>48</v>
      </c>
      <c r="B36" s="132"/>
      <c r="C36" s="34">
        <v>0</v>
      </c>
      <c r="D36" s="44">
        <v>0</v>
      </c>
      <c r="E36" s="34">
        <v>0</v>
      </c>
      <c r="F36" s="34">
        <v>0</v>
      </c>
      <c r="G36" s="45">
        <f>IF(D36&lt;3,C36+(D36*E36*0.75)+F36,IF(D36&gt;2,(2*E36*0.75)+(C36+((D36-2)*E36)+F36),))</f>
        <v>0</v>
      </c>
      <c r="H36" s="61">
        <f>G36</f>
        <v>0</v>
      </c>
      <c r="I36" s="102"/>
      <c r="J36" s="102"/>
      <c r="K36" s="102"/>
      <c r="L36" s="102"/>
      <c r="M36" s="102"/>
      <c r="N36" s="102"/>
      <c r="O36" s="102"/>
      <c r="P36" s="102"/>
    </row>
    <row r="37" spans="1:16" x14ac:dyDescent="0.2">
      <c r="A37" s="131" t="s">
        <v>33</v>
      </c>
      <c r="B37" s="132"/>
      <c r="C37" s="34">
        <v>0</v>
      </c>
      <c r="D37" s="44">
        <v>0</v>
      </c>
      <c r="E37" s="34">
        <v>0</v>
      </c>
      <c r="F37" s="34">
        <v>0</v>
      </c>
      <c r="G37" s="45">
        <f t="shared" ref="G37:G40" si="2">IF(D37&lt;3,C37+(D37*E37*0.75)+F37,IF(D37&gt;2,(2*E37*0.75)+(C37+((D37-2)*E37)+F37),))</f>
        <v>0</v>
      </c>
      <c r="H37" s="61">
        <f t="shared" ref="H37:H40" si="3">G37</f>
        <v>0</v>
      </c>
      <c r="I37" s="102"/>
      <c r="J37" s="102"/>
      <c r="K37" s="102"/>
      <c r="L37" s="102"/>
      <c r="M37" s="102"/>
      <c r="N37" s="102"/>
      <c r="O37" s="102"/>
      <c r="P37" s="102"/>
    </row>
    <row r="38" spans="1:16" x14ac:dyDescent="0.2">
      <c r="A38" s="131" t="s">
        <v>49</v>
      </c>
      <c r="B38" s="132"/>
      <c r="C38" s="34">
        <v>0</v>
      </c>
      <c r="D38" s="44">
        <v>0</v>
      </c>
      <c r="E38" s="34">
        <v>0</v>
      </c>
      <c r="F38" s="34">
        <v>0</v>
      </c>
      <c r="G38" s="45">
        <f t="shared" si="2"/>
        <v>0</v>
      </c>
      <c r="H38" s="61">
        <f t="shared" si="3"/>
        <v>0</v>
      </c>
      <c r="I38" s="102"/>
      <c r="J38" s="102"/>
      <c r="K38" s="102"/>
      <c r="L38" s="102"/>
      <c r="M38" s="102"/>
      <c r="N38" s="102"/>
      <c r="O38" s="102"/>
      <c r="P38" s="102"/>
    </row>
    <row r="39" spans="1:16" ht="15.75" customHeight="1" x14ac:dyDescent="0.2">
      <c r="A39" s="131" t="s">
        <v>49</v>
      </c>
      <c r="B39" s="132"/>
      <c r="C39" s="34">
        <v>0</v>
      </c>
      <c r="D39" s="44">
        <v>0</v>
      </c>
      <c r="E39" s="34">
        <v>0</v>
      </c>
      <c r="F39" s="34">
        <v>0</v>
      </c>
      <c r="G39" s="45">
        <f t="shared" si="2"/>
        <v>0</v>
      </c>
      <c r="H39" s="61">
        <f t="shared" si="3"/>
        <v>0</v>
      </c>
      <c r="I39" s="102"/>
      <c r="J39" s="102"/>
      <c r="K39" s="102"/>
      <c r="L39" s="102"/>
      <c r="M39" s="102"/>
      <c r="N39" s="102"/>
      <c r="O39" s="102"/>
      <c r="P39" s="102"/>
    </row>
    <row r="40" spans="1:16" s="10" customFormat="1" ht="15" customHeight="1" thickBot="1" x14ac:dyDescent="0.25">
      <c r="A40" s="145" t="s">
        <v>49</v>
      </c>
      <c r="B40" s="146"/>
      <c r="C40" s="64">
        <v>0</v>
      </c>
      <c r="D40" s="65">
        <v>0</v>
      </c>
      <c r="E40" s="64">
        <v>0</v>
      </c>
      <c r="F40" s="64">
        <v>0</v>
      </c>
      <c r="G40" s="45">
        <f t="shared" si="2"/>
        <v>0</v>
      </c>
      <c r="H40" s="66">
        <f t="shared" si="3"/>
        <v>0</v>
      </c>
      <c r="I40" s="102"/>
      <c r="J40" s="102"/>
      <c r="K40" s="102"/>
      <c r="L40" s="102"/>
      <c r="M40" s="102"/>
      <c r="N40" s="102"/>
      <c r="O40" s="102"/>
      <c r="P40" s="102"/>
    </row>
    <row r="41" spans="1:16" x14ac:dyDescent="0.2">
      <c r="A41" s="147" t="s">
        <v>50</v>
      </c>
      <c r="B41" s="148"/>
      <c r="C41" s="148"/>
      <c r="D41" s="148"/>
      <c r="E41" s="148"/>
      <c r="F41" s="148"/>
      <c r="G41" s="148"/>
      <c r="H41" s="149"/>
      <c r="I41" s="102"/>
      <c r="J41" s="102"/>
      <c r="K41" s="102"/>
      <c r="L41" s="102"/>
      <c r="M41" s="102"/>
      <c r="N41" s="102"/>
      <c r="O41" s="102"/>
      <c r="P41" s="102"/>
    </row>
    <row r="42" spans="1:16" ht="11.25" customHeight="1" x14ac:dyDescent="0.2">
      <c r="A42" s="125" t="s">
        <v>51</v>
      </c>
      <c r="B42" s="126"/>
      <c r="C42" s="127"/>
      <c r="D42" s="127"/>
      <c r="E42" s="39" t="s">
        <v>52</v>
      </c>
      <c r="F42" s="39" t="s">
        <v>53</v>
      </c>
      <c r="G42" s="39" t="s">
        <v>54</v>
      </c>
      <c r="H42" s="62" t="s">
        <v>55</v>
      </c>
      <c r="I42" s="102"/>
      <c r="J42" s="102"/>
      <c r="K42" s="102"/>
      <c r="L42" s="102"/>
      <c r="M42" s="102"/>
      <c r="N42" s="102"/>
      <c r="O42" s="102"/>
      <c r="P42" s="102"/>
    </row>
    <row r="43" spans="1:16" ht="12.75" customHeight="1" x14ac:dyDescent="0.2">
      <c r="A43" s="128"/>
      <c r="B43" s="129"/>
      <c r="C43" s="130"/>
      <c r="D43" s="130"/>
      <c r="E43" s="47"/>
      <c r="F43" s="48">
        <v>0</v>
      </c>
      <c r="G43" s="38">
        <f>E43*F43</f>
        <v>0</v>
      </c>
      <c r="H43" s="40">
        <f>G43</f>
        <v>0</v>
      </c>
      <c r="I43" s="102"/>
      <c r="J43" s="102"/>
      <c r="K43" s="102"/>
      <c r="L43" s="102"/>
      <c r="M43" s="102"/>
      <c r="N43" s="102"/>
      <c r="O43" s="102"/>
      <c r="P43" s="102"/>
    </row>
    <row r="44" spans="1:16" ht="12.75" customHeight="1" x14ac:dyDescent="0.2">
      <c r="A44" s="128"/>
      <c r="B44" s="129"/>
      <c r="C44" s="130"/>
      <c r="D44" s="130"/>
      <c r="E44" s="47"/>
      <c r="F44" s="48"/>
      <c r="G44" s="38">
        <f t="shared" ref="G44:G53" si="4">E44*F44</f>
        <v>0</v>
      </c>
      <c r="H44" s="40">
        <f t="shared" ref="H44:H53" si="5">G44</f>
        <v>0</v>
      </c>
      <c r="I44" s="102"/>
      <c r="J44" s="102"/>
      <c r="K44" s="102"/>
      <c r="L44" s="102"/>
      <c r="M44" s="102"/>
      <c r="N44" s="102"/>
      <c r="O44" s="102"/>
      <c r="P44" s="102"/>
    </row>
    <row r="45" spans="1:16" ht="12.75" customHeight="1" x14ac:dyDescent="0.2">
      <c r="A45" s="212"/>
      <c r="B45" s="213"/>
      <c r="C45" s="214"/>
      <c r="D45" s="214"/>
      <c r="E45" s="47"/>
      <c r="F45" s="48"/>
      <c r="G45" s="38">
        <f t="shared" si="4"/>
        <v>0</v>
      </c>
      <c r="H45" s="40">
        <f t="shared" si="5"/>
        <v>0</v>
      </c>
      <c r="I45" s="102"/>
      <c r="J45" s="102"/>
      <c r="K45" s="102"/>
      <c r="L45" s="102"/>
      <c r="M45" s="102"/>
      <c r="N45" s="102"/>
      <c r="O45" s="102"/>
      <c r="P45" s="102"/>
    </row>
    <row r="46" spans="1:16" ht="12.75" customHeight="1" x14ac:dyDescent="0.2">
      <c r="A46" s="128"/>
      <c r="B46" s="129"/>
      <c r="C46" s="130"/>
      <c r="D46" s="130"/>
      <c r="E46" s="47"/>
      <c r="F46" s="48"/>
      <c r="G46" s="38">
        <f t="shared" si="4"/>
        <v>0</v>
      </c>
      <c r="H46" s="40">
        <f t="shared" si="5"/>
        <v>0</v>
      </c>
      <c r="I46" s="102"/>
      <c r="J46" s="102"/>
      <c r="K46" s="102"/>
      <c r="L46" s="102"/>
      <c r="M46" s="102"/>
      <c r="N46" s="102"/>
      <c r="O46" s="102"/>
      <c r="P46" s="102"/>
    </row>
    <row r="47" spans="1:16" ht="12.75" customHeight="1" x14ac:dyDescent="0.2">
      <c r="A47" s="128"/>
      <c r="B47" s="129"/>
      <c r="C47" s="130"/>
      <c r="D47" s="130"/>
      <c r="E47" s="47"/>
      <c r="F47" s="48"/>
      <c r="G47" s="38">
        <f t="shared" si="4"/>
        <v>0</v>
      </c>
      <c r="H47" s="40">
        <f t="shared" si="5"/>
        <v>0</v>
      </c>
      <c r="I47" s="102"/>
      <c r="J47" s="102"/>
      <c r="K47" s="102"/>
      <c r="L47" s="102"/>
      <c r="M47" s="102"/>
      <c r="N47" s="102"/>
      <c r="O47" s="102"/>
      <c r="P47" s="102"/>
    </row>
    <row r="48" spans="1:16" ht="12.75" customHeight="1" x14ac:dyDescent="0.2">
      <c r="A48" s="128"/>
      <c r="B48" s="129"/>
      <c r="C48" s="130"/>
      <c r="D48" s="130"/>
      <c r="E48" s="47"/>
      <c r="F48" s="48"/>
      <c r="G48" s="38">
        <f t="shared" si="4"/>
        <v>0</v>
      </c>
      <c r="H48" s="40">
        <f t="shared" si="5"/>
        <v>0</v>
      </c>
      <c r="I48" s="102"/>
      <c r="J48" s="102"/>
      <c r="K48" s="102"/>
      <c r="L48" s="102"/>
      <c r="M48" s="102"/>
      <c r="N48" s="102"/>
      <c r="O48" s="102"/>
      <c r="P48" s="102"/>
    </row>
    <row r="49" spans="1:16" ht="12.75" customHeight="1" x14ac:dyDescent="0.2">
      <c r="A49" s="128"/>
      <c r="B49" s="129"/>
      <c r="C49" s="130"/>
      <c r="D49" s="130"/>
      <c r="E49" s="47"/>
      <c r="F49" s="48"/>
      <c r="G49" s="38">
        <f t="shared" si="4"/>
        <v>0</v>
      </c>
      <c r="H49" s="40">
        <f t="shared" si="5"/>
        <v>0</v>
      </c>
      <c r="I49" s="102"/>
      <c r="J49" s="102"/>
      <c r="K49" s="102"/>
      <c r="L49" s="102"/>
      <c r="M49" s="102"/>
      <c r="N49" s="102"/>
      <c r="O49" s="102"/>
      <c r="P49" s="102"/>
    </row>
    <row r="50" spans="1:16" ht="12.75" customHeight="1" x14ac:dyDescent="0.2">
      <c r="A50" s="128"/>
      <c r="B50" s="129"/>
      <c r="C50" s="130"/>
      <c r="D50" s="130"/>
      <c r="E50" s="47"/>
      <c r="F50" s="48"/>
      <c r="G50" s="38">
        <f t="shared" si="4"/>
        <v>0</v>
      </c>
      <c r="H50" s="40">
        <f t="shared" si="5"/>
        <v>0</v>
      </c>
      <c r="I50" s="102"/>
      <c r="J50" s="102"/>
      <c r="K50" s="102"/>
      <c r="L50" s="102"/>
      <c r="M50" s="102"/>
      <c r="N50" s="102"/>
      <c r="O50" s="102"/>
      <c r="P50" s="102"/>
    </row>
    <row r="51" spans="1:16" ht="12.75" customHeight="1" x14ac:dyDescent="0.2">
      <c r="A51" s="128"/>
      <c r="B51" s="129"/>
      <c r="C51" s="130"/>
      <c r="D51" s="130"/>
      <c r="E51" s="47"/>
      <c r="F51" s="48"/>
      <c r="G51" s="38">
        <f t="shared" si="4"/>
        <v>0</v>
      </c>
      <c r="H51" s="40">
        <f t="shared" si="5"/>
        <v>0</v>
      </c>
      <c r="I51" s="102"/>
      <c r="J51" s="102"/>
      <c r="K51" s="102"/>
      <c r="L51" s="102"/>
      <c r="M51" s="102"/>
      <c r="N51" s="102"/>
      <c r="O51" s="102"/>
      <c r="P51" s="102"/>
    </row>
    <row r="52" spans="1:16" ht="12.75" customHeight="1" x14ac:dyDescent="0.2">
      <c r="A52" s="128"/>
      <c r="B52" s="129"/>
      <c r="C52" s="130"/>
      <c r="D52" s="130"/>
      <c r="E52" s="47"/>
      <c r="F52" s="48"/>
      <c r="G52" s="38">
        <f t="shared" si="4"/>
        <v>0</v>
      </c>
      <c r="H52" s="40">
        <f t="shared" si="5"/>
        <v>0</v>
      </c>
      <c r="I52" s="102"/>
      <c r="J52" s="102"/>
      <c r="K52" s="102"/>
      <c r="L52" s="102"/>
      <c r="M52" s="102"/>
      <c r="N52" s="102"/>
      <c r="O52" s="102"/>
      <c r="P52" s="102"/>
    </row>
    <row r="53" spans="1:16" ht="12.75" customHeight="1" thickBot="1" x14ac:dyDescent="0.25">
      <c r="A53" s="193"/>
      <c r="B53" s="194"/>
      <c r="C53" s="195"/>
      <c r="D53" s="195"/>
      <c r="E53" s="68"/>
      <c r="F53" s="72"/>
      <c r="G53" s="73">
        <f t="shared" si="4"/>
        <v>0</v>
      </c>
      <c r="H53" s="74">
        <f t="shared" si="5"/>
        <v>0</v>
      </c>
      <c r="I53" s="102"/>
      <c r="J53" s="102"/>
      <c r="K53" s="102"/>
      <c r="L53" s="102"/>
      <c r="M53" s="102"/>
      <c r="N53" s="102"/>
      <c r="O53" s="102"/>
      <c r="P53" s="102"/>
    </row>
    <row r="54" spans="1:16" ht="15" customHeight="1" x14ac:dyDescent="0.2">
      <c r="A54" s="211" t="s">
        <v>56</v>
      </c>
      <c r="B54" s="148"/>
      <c r="C54" s="148"/>
      <c r="D54" s="148"/>
      <c r="E54" s="148"/>
      <c r="F54" s="209" t="s">
        <v>57</v>
      </c>
      <c r="G54" s="210"/>
      <c r="H54" s="78">
        <f>SUM(H43:H53)</f>
        <v>0</v>
      </c>
      <c r="I54" s="35"/>
      <c r="J54" s="102"/>
      <c r="K54" s="102"/>
      <c r="L54" s="102"/>
      <c r="M54" s="102"/>
      <c r="N54" s="102"/>
      <c r="O54" s="102"/>
      <c r="P54" s="102"/>
    </row>
    <row r="55" spans="1:16" ht="12.75" customHeight="1" x14ac:dyDescent="0.2">
      <c r="A55" s="126" t="s">
        <v>51</v>
      </c>
      <c r="B55" s="126"/>
      <c r="C55" s="127"/>
      <c r="D55" s="127"/>
      <c r="E55" s="39" t="s">
        <v>54</v>
      </c>
      <c r="F55" s="97" t="s">
        <v>58</v>
      </c>
      <c r="G55" s="36">
        <v>0</v>
      </c>
      <c r="H55" s="71">
        <f>H54*G55</f>
        <v>0</v>
      </c>
      <c r="I55" s="102"/>
      <c r="J55" s="102"/>
      <c r="K55" s="102"/>
      <c r="L55" s="102"/>
      <c r="M55" s="102"/>
      <c r="N55" s="102"/>
      <c r="O55" s="102"/>
      <c r="P55" s="102"/>
    </row>
    <row r="56" spans="1:16" ht="12.75" customHeight="1" x14ac:dyDescent="0.25">
      <c r="A56" s="157" t="s">
        <v>59</v>
      </c>
      <c r="B56" s="157"/>
      <c r="C56" s="157"/>
      <c r="D56" s="158"/>
      <c r="E56" s="100">
        <v>0</v>
      </c>
      <c r="F56" s="98" t="s">
        <v>60</v>
      </c>
      <c r="G56" s="36">
        <v>0</v>
      </c>
      <c r="H56" s="71">
        <f>H54*G56</f>
        <v>0</v>
      </c>
      <c r="I56" s="102"/>
      <c r="J56" s="102"/>
      <c r="K56" s="102"/>
      <c r="L56" s="102"/>
      <c r="M56" s="102"/>
      <c r="N56" s="102"/>
      <c r="O56" s="102"/>
      <c r="P56" s="102"/>
    </row>
    <row r="57" spans="1:16" ht="15" x14ac:dyDescent="0.25">
      <c r="A57" s="157" t="s">
        <v>59</v>
      </c>
      <c r="B57" s="157"/>
      <c r="C57" s="157"/>
      <c r="D57" s="158"/>
      <c r="E57" s="100">
        <v>0</v>
      </c>
      <c r="F57" s="98" t="s">
        <v>61</v>
      </c>
      <c r="G57" s="36">
        <v>0</v>
      </c>
      <c r="H57" s="71">
        <f>H54*G57</f>
        <v>0</v>
      </c>
      <c r="I57" s="102"/>
      <c r="J57" s="102"/>
      <c r="K57" s="102"/>
      <c r="L57" s="102"/>
      <c r="M57" s="102"/>
      <c r="N57" s="102"/>
      <c r="O57" s="102"/>
      <c r="P57" s="102"/>
    </row>
    <row r="58" spans="1:16" ht="15.75" thickBot="1" x14ac:dyDescent="0.3">
      <c r="A58" s="157"/>
      <c r="B58" s="157"/>
      <c r="C58" s="157"/>
      <c r="D58" s="158"/>
      <c r="E58" s="100">
        <v>0</v>
      </c>
      <c r="F58" s="226" t="s">
        <v>62</v>
      </c>
      <c r="G58" s="227"/>
      <c r="H58" s="80">
        <f>SUM(H54:H57)</f>
        <v>0</v>
      </c>
      <c r="I58" s="102"/>
      <c r="J58" s="102"/>
      <c r="K58" s="102"/>
      <c r="L58" s="102"/>
      <c r="M58" s="102"/>
      <c r="N58" s="102"/>
      <c r="O58" s="102"/>
      <c r="P58" s="102"/>
    </row>
    <row r="59" spans="1:16" ht="15" x14ac:dyDescent="0.25">
      <c r="A59" s="157"/>
      <c r="B59" s="157"/>
      <c r="C59" s="157"/>
      <c r="D59" s="158"/>
      <c r="E59" s="100">
        <v>0</v>
      </c>
      <c r="F59" s="99" t="s">
        <v>63</v>
      </c>
      <c r="G59" s="81">
        <v>0</v>
      </c>
      <c r="H59" s="78">
        <f>SUM(H36:H40)*G59</f>
        <v>0</v>
      </c>
      <c r="I59" s="102"/>
      <c r="J59" s="102"/>
      <c r="K59" s="102"/>
      <c r="L59" s="102"/>
      <c r="M59" s="102"/>
      <c r="N59" s="102"/>
      <c r="O59" s="102"/>
      <c r="P59" s="102"/>
    </row>
    <row r="60" spans="1:16" ht="15.75" thickBot="1" x14ac:dyDescent="0.3">
      <c r="A60" s="228"/>
      <c r="B60" s="228"/>
      <c r="C60" s="228"/>
      <c r="D60" s="158"/>
      <c r="E60" s="100">
        <v>0</v>
      </c>
      <c r="F60" s="226" t="s">
        <v>64</v>
      </c>
      <c r="G60" s="227"/>
      <c r="H60" s="80">
        <f>H59+SUM(H36:H40)</f>
        <v>0</v>
      </c>
      <c r="I60" s="102"/>
      <c r="J60" s="102"/>
      <c r="K60" s="102"/>
      <c r="L60" s="102"/>
      <c r="M60" s="102"/>
      <c r="N60" s="102"/>
      <c r="O60" s="102"/>
      <c r="P60" s="102"/>
    </row>
    <row r="61" spans="1:16" ht="15" x14ac:dyDescent="0.25">
      <c r="A61" s="219"/>
      <c r="B61" s="219"/>
      <c r="C61" s="219"/>
      <c r="D61" s="220"/>
      <c r="E61" s="101">
        <f>SUM(E56:E60)</f>
        <v>0</v>
      </c>
      <c r="F61" s="221" t="s">
        <v>65</v>
      </c>
      <c r="G61" s="222"/>
      <c r="H61" s="70">
        <f>E65+E66</f>
        <v>0</v>
      </c>
      <c r="I61" s="102"/>
      <c r="J61" s="102"/>
      <c r="K61" s="102"/>
      <c r="L61" s="102"/>
      <c r="M61" s="102"/>
      <c r="N61" s="102"/>
      <c r="O61" s="102"/>
      <c r="P61" s="102"/>
    </row>
    <row r="62" spans="1:16" ht="15" x14ac:dyDescent="0.25">
      <c r="A62" s="223"/>
      <c r="B62" s="224"/>
      <c r="C62" s="224"/>
      <c r="D62" s="225"/>
      <c r="E62" s="101">
        <f>E61*D62</f>
        <v>0</v>
      </c>
      <c r="F62" s="205" t="s">
        <v>66</v>
      </c>
      <c r="G62" s="206"/>
      <c r="H62" s="71">
        <f>SUM(H27:H32)</f>
        <v>0</v>
      </c>
      <c r="I62" s="102"/>
      <c r="J62" s="102"/>
      <c r="K62" s="102"/>
      <c r="L62" s="102"/>
      <c r="M62" s="102"/>
      <c r="N62" s="102"/>
      <c r="O62" s="102"/>
      <c r="P62" s="102"/>
    </row>
    <row r="63" spans="1:16" ht="12" customHeight="1" x14ac:dyDescent="0.25">
      <c r="A63" s="223"/>
      <c r="B63" s="224"/>
      <c r="C63" s="224"/>
      <c r="D63" s="225"/>
      <c r="E63" s="101">
        <v>0</v>
      </c>
      <c r="F63" s="205" t="s">
        <v>67</v>
      </c>
      <c r="G63" s="206"/>
      <c r="H63" s="71">
        <f>SUM(E27:E32)</f>
        <v>0</v>
      </c>
      <c r="I63" s="4"/>
      <c r="J63" s="4"/>
      <c r="K63" s="4"/>
      <c r="L63" s="4"/>
      <c r="M63" s="4"/>
      <c r="N63" s="102"/>
      <c r="O63" s="102"/>
      <c r="P63" s="102"/>
    </row>
    <row r="64" spans="1:16" ht="15" x14ac:dyDescent="0.25">
      <c r="A64" s="220"/>
      <c r="B64" s="220"/>
      <c r="C64" s="220"/>
      <c r="D64" s="220"/>
      <c r="E64" s="101">
        <f>E62+E61</f>
        <v>0</v>
      </c>
      <c r="F64" s="98" t="s">
        <v>68</v>
      </c>
      <c r="G64" s="36">
        <v>0</v>
      </c>
      <c r="H64" s="71">
        <f>G64*(H58+H62+H63)</f>
        <v>0</v>
      </c>
      <c r="I64" s="4"/>
      <c r="J64" s="4"/>
      <c r="N64" s="102"/>
      <c r="O64" s="102"/>
      <c r="P64" s="102"/>
    </row>
    <row r="65" spans="1:16" x14ac:dyDescent="0.2">
      <c r="A65" s="196" t="s">
        <v>69</v>
      </c>
      <c r="B65" s="197"/>
      <c r="C65" s="197"/>
      <c r="D65" s="197"/>
      <c r="E65" s="75">
        <f>SUM(E56:E64)</f>
        <v>0</v>
      </c>
      <c r="F65" s="79" t="s">
        <v>70</v>
      </c>
      <c r="G65" s="77"/>
      <c r="H65" s="71">
        <v>0</v>
      </c>
      <c r="I65" s="4"/>
      <c r="J65" s="4"/>
      <c r="K65" s="4"/>
      <c r="L65" s="4"/>
      <c r="M65" s="4"/>
      <c r="N65" s="102"/>
      <c r="O65" s="102"/>
      <c r="P65" s="102"/>
    </row>
    <row r="66" spans="1:16" ht="13.5" thickBot="1" x14ac:dyDescent="0.25">
      <c r="A66" s="207" t="s">
        <v>71</v>
      </c>
      <c r="B66" s="208"/>
      <c r="C66" s="208"/>
      <c r="D66" s="37">
        <v>0</v>
      </c>
      <c r="E66" s="76">
        <f>E65*D66</f>
        <v>0</v>
      </c>
      <c r="F66" s="203" t="s">
        <v>72</v>
      </c>
      <c r="G66" s="204"/>
      <c r="H66" s="80">
        <f>H58+SUM(H60:H65)</f>
        <v>0</v>
      </c>
      <c r="I66" s="4"/>
      <c r="J66" s="4"/>
      <c r="K66" s="4"/>
      <c r="L66" s="4"/>
      <c r="M66" s="4"/>
      <c r="N66" s="102"/>
      <c r="O66" s="102"/>
      <c r="P66" s="102"/>
    </row>
    <row r="67" spans="1:16" ht="18.75" thickBot="1" x14ac:dyDescent="0.25">
      <c r="A67" s="215" t="s">
        <v>73</v>
      </c>
      <c r="B67" s="216"/>
      <c r="C67" s="216"/>
      <c r="D67" s="216"/>
      <c r="E67" s="216"/>
      <c r="F67" s="217">
        <f>H66</f>
        <v>0</v>
      </c>
      <c r="G67" s="217"/>
      <c r="H67" s="218"/>
      <c r="I67" s="4"/>
      <c r="J67" s="4"/>
      <c r="K67" s="4"/>
      <c r="L67" s="4"/>
      <c r="M67" s="4"/>
      <c r="N67" s="102"/>
      <c r="O67" s="102"/>
      <c r="P67" s="102"/>
    </row>
    <row r="68" spans="1:16" ht="18.75" customHeight="1" thickBot="1" x14ac:dyDescent="0.25">
      <c r="A68" s="115" t="s">
        <v>74</v>
      </c>
      <c r="B68" s="116"/>
      <c r="C68" s="116"/>
      <c r="D68" s="116"/>
      <c r="E68" s="117"/>
      <c r="F68" s="117"/>
      <c r="G68" s="117"/>
      <c r="H68" s="118"/>
      <c r="I68" s="4"/>
      <c r="J68" s="4"/>
      <c r="K68" s="4"/>
      <c r="L68" s="4"/>
      <c r="M68" s="4"/>
      <c r="N68" s="102"/>
      <c r="O68" s="102"/>
      <c r="P68" s="102"/>
    </row>
    <row r="69" spans="1:16" ht="24.95" customHeight="1" x14ac:dyDescent="0.2">
      <c r="A69" s="133" t="s">
        <v>75</v>
      </c>
      <c r="B69" s="199"/>
      <c r="C69" s="198" t="s">
        <v>76</v>
      </c>
      <c r="D69" s="132"/>
      <c r="E69" s="132"/>
      <c r="F69" s="132"/>
      <c r="G69" s="95" t="s">
        <v>77</v>
      </c>
      <c r="H69" s="28"/>
      <c r="I69" s="102"/>
      <c r="J69" s="102"/>
      <c r="K69" s="102"/>
      <c r="L69" s="102"/>
      <c r="M69" s="102"/>
      <c r="N69" s="102"/>
      <c r="O69" s="102"/>
      <c r="P69" s="102"/>
    </row>
    <row r="70" spans="1:16" ht="24.95" customHeight="1" x14ac:dyDescent="0.2">
      <c r="A70" s="104" t="s">
        <v>82</v>
      </c>
      <c r="B70" s="105"/>
      <c r="C70" s="106"/>
      <c r="D70" s="107"/>
      <c r="E70" s="107"/>
      <c r="F70" s="107"/>
      <c r="G70" s="91" t="s">
        <v>77</v>
      </c>
      <c r="H70" s="69"/>
      <c r="I70" s="4"/>
      <c r="J70" s="11"/>
      <c r="K70" s="11"/>
      <c r="L70" s="11"/>
      <c r="M70" s="11"/>
      <c r="N70" s="11"/>
      <c r="O70" s="11"/>
      <c r="P70" s="11"/>
    </row>
    <row r="71" spans="1:16" ht="39.6" customHeight="1" x14ac:dyDescent="0.2">
      <c r="A71" s="133" t="s">
        <v>83</v>
      </c>
      <c r="B71" s="142"/>
      <c r="C71" s="141"/>
      <c r="D71" s="132"/>
      <c r="E71" s="132"/>
      <c r="F71" s="132"/>
      <c r="G71" s="95" t="s">
        <v>77</v>
      </c>
      <c r="H71" s="31"/>
      <c r="I71" s="4"/>
      <c r="J71" s="11"/>
      <c r="K71" s="11"/>
      <c r="L71" s="11"/>
      <c r="M71" s="11"/>
      <c r="N71" s="11"/>
      <c r="O71" s="11"/>
      <c r="P71" s="11"/>
    </row>
    <row r="72" spans="1:16" ht="14.25" customHeight="1" thickBot="1" x14ac:dyDescent="0.25">
      <c r="A72" s="138" t="s">
        <v>78</v>
      </c>
      <c r="B72" s="139"/>
      <c r="C72" s="139"/>
      <c r="D72" s="139"/>
      <c r="E72" s="139"/>
      <c r="F72" s="139"/>
      <c r="G72" s="139"/>
      <c r="H72" s="140"/>
      <c r="I72" s="4"/>
      <c r="J72" s="4"/>
      <c r="K72" s="4"/>
      <c r="L72" s="4"/>
      <c r="M72" s="4"/>
      <c r="N72" s="102"/>
      <c r="O72" s="102"/>
      <c r="P72" s="102"/>
    </row>
    <row r="73" spans="1:16" s="3" customFormat="1" x14ac:dyDescent="0.2">
      <c r="A73" s="135" t="s">
        <v>79</v>
      </c>
      <c r="B73" s="136"/>
      <c r="C73" s="136"/>
      <c r="D73" s="136"/>
      <c r="E73" s="136"/>
      <c r="F73" s="136"/>
      <c r="G73" s="136"/>
      <c r="H73" s="137"/>
      <c r="I73" s="5"/>
      <c r="J73" s="5"/>
      <c r="K73" s="5"/>
      <c r="L73" s="5"/>
      <c r="M73" s="5"/>
      <c r="N73" s="103"/>
      <c r="O73" s="103"/>
      <c r="P73" s="103"/>
    </row>
    <row r="74" spans="1:16" s="25" customFormat="1" ht="24.95" customHeight="1" x14ac:dyDescent="0.2">
      <c r="A74" s="144" t="s">
        <v>80</v>
      </c>
      <c r="B74" s="134"/>
      <c r="C74" s="123" t="s">
        <v>76</v>
      </c>
      <c r="D74" s="143"/>
      <c r="E74" s="143"/>
      <c r="F74" s="143"/>
      <c r="G74" s="26" t="s">
        <v>77</v>
      </c>
      <c r="H74" s="27"/>
      <c r="I74" s="5"/>
      <c r="J74" s="5"/>
      <c r="K74" s="5"/>
      <c r="L74" s="5"/>
      <c r="M74" s="5"/>
      <c r="N74" s="103"/>
      <c r="O74" s="103"/>
      <c r="P74" s="103"/>
    </row>
    <row r="75" spans="1:16" ht="24.95" customHeight="1" x14ac:dyDescent="0.2">
      <c r="A75" s="133" t="s">
        <v>81</v>
      </c>
      <c r="B75" s="134"/>
      <c r="C75" s="123" t="s">
        <v>76</v>
      </c>
      <c r="D75" s="143"/>
      <c r="E75" s="143"/>
      <c r="F75" s="143"/>
      <c r="G75" s="26" t="s">
        <v>77</v>
      </c>
      <c r="H75" s="27"/>
      <c r="J75" s="4"/>
      <c r="K75" s="4"/>
      <c r="L75" s="4"/>
      <c r="M75" s="4"/>
      <c r="N75" s="102"/>
      <c r="O75" s="102"/>
      <c r="P75" s="102"/>
    </row>
    <row r="76" spans="1:16" x14ac:dyDescent="0.2">
      <c r="A76" s="102"/>
      <c r="B76" s="102"/>
      <c r="C76" s="102"/>
      <c r="D76" s="102"/>
      <c r="E76" s="102"/>
      <c r="F76" s="102"/>
      <c r="G76" s="102"/>
      <c r="H76" s="102"/>
      <c r="I76" s="4"/>
      <c r="J76" s="4"/>
      <c r="K76" s="4"/>
      <c r="L76" s="4"/>
      <c r="M76" s="4"/>
      <c r="N76" s="102"/>
      <c r="O76" s="102"/>
      <c r="P76" s="102"/>
    </row>
    <row r="77" spans="1:16" s="2" customFormat="1" ht="15.75" x14ac:dyDescent="0.25">
      <c r="A77" s="102"/>
      <c r="B77" s="102"/>
      <c r="C77" s="102"/>
      <c r="D77" s="102"/>
      <c r="E77" s="102"/>
      <c r="F77" s="102"/>
      <c r="G77" s="102"/>
      <c r="H77" s="102"/>
      <c r="I77" s="6"/>
      <c r="J77" s="6"/>
      <c r="K77" s="6"/>
      <c r="L77" s="6"/>
      <c r="M77" s="6"/>
      <c r="N77" s="6"/>
      <c r="O77" s="6"/>
      <c r="P77" s="6"/>
    </row>
    <row r="78" spans="1:16" x14ac:dyDescent="0.2">
      <c r="A78" s="102"/>
      <c r="B78" s="102"/>
      <c r="C78" s="102"/>
      <c r="D78" s="102"/>
      <c r="E78" s="102"/>
      <c r="F78" s="102"/>
      <c r="G78" s="102"/>
      <c r="H78" s="102"/>
      <c r="I78" s="4"/>
      <c r="J78" s="4"/>
      <c r="K78" s="4"/>
      <c r="L78" s="4"/>
      <c r="M78" s="4"/>
      <c r="N78" s="102"/>
      <c r="O78" s="102"/>
      <c r="P78" s="102"/>
    </row>
    <row r="79" spans="1:16" x14ac:dyDescent="0.2">
      <c r="A79" s="102"/>
      <c r="B79" s="102"/>
      <c r="C79" s="102"/>
      <c r="D79" s="102"/>
      <c r="E79" s="102"/>
      <c r="F79" s="102"/>
      <c r="G79" s="102"/>
      <c r="H79" s="102"/>
      <c r="I79" s="4"/>
      <c r="J79" s="4"/>
      <c r="K79" s="4"/>
      <c r="L79" s="4"/>
      <c r="M79" s="4"/>
      <c r="N79" s="102"/>
      <c r="O79" s="102"/>
      <c r="P79" s="102"/>
    </row>
    <row r="80" spans="1:16" ht="15.75" x14ac:dyDescent="0.25">
      <c r="I80" s="1"/>
      <c r="J80" s="1"/>
      <c r="K80" s="1"/>
      <c r="L80" s="1"/>
      <c r="M80" s="1"/>
    </row>
    <row r="81" spans="9:13" ht="15.75" x14ac:dyDescent="0.25">
      <c r="I81" s="1"/>
      <c r="J81" s="1"/>
      <c r="K81" s="1"/>
      <c r="L81" s="1"/>
      <c r="M81" s="1"/>
    </row>
    <row r="82" spans="9:13" ht="15.75" x14ac:dyDescent="0.25">
      <c r="I82" s="1"/>
      <c r="J82" s="1"/>
      <c r="K82" s="1"/>
      <c r="L82" s="1"/>
      <c r="M82" s="1"/>
    </row>
    <row r="83" spans="9:13" ht="15.75" x14ac:dyDescent="0.25">
      <c r="I83" s="1"/>
      <c r="J83" s="1"/>
      <c r="K83" s="1"/>
      <c r="L83" s="1"/>
      <c r="M83" s="1"/>
    </row>
    <row r="84" spans="9:13" ht="15.75" x14ac:dyDescent="0.25">
      <c r="I84" s="1"/>
      <c r="J84" s="1"/>
      <c r="K84" s="1"/>
      <c r="L84" s="1"/>
      <c r="M84" s="1"/>
    </row>
    <row r="87" spans="9:13" ht="15.75" x14ac:dyDescent="0.25">
      <c r="I87" s="1"/>
      <c r="J87" s="1"/>
      <c r="K87" s="1"/>
      <c r="L87" s="1"/>
      <c r="M87" s="1"/>
    </row>
    <row r="88" spans="9:13" ht="15.75" x14ac:dyDescent="0.25">
      <c r="I88" s="1"/>
      <c r="J88" s="1"/>
      <c r="K88" s="1"/>
      <c r="L88" s="1"/>
      <c r="M88" s="1"/>
    </row>
    <row r="89" spans="9:13" ht="15.75" x14ac:dyDescent="0.25">
      <c r="I89" s="1"/>
      <c r="J89" s="1"/>
      <c r="K89" s="1"/>
      <c r="L89" s="1"/>
      <c r="M89" s="1"/>
    </row>
    <row r="90" spans="9:13" ht="15.75" x14ac:dyDescent="0.25">
      <c r="I90" s="1"/>
      <c r="J90" s="1"/>
      <c r="K90" s="1"/>
      <c r="L90" s="1"/>
      <c r="M90" s="1"/>
    </row>
    <row r="91" spans="9:13" ht="15.75" x14ac:dyDescent="0.25">
      <c r="I91" s="1"/>
      <c r="J91" s="1"/>
      <c r="K91" s="1"/>
      <c r="L91" s="1"/>
      <c r="M91" s="1"/>
    </row>
    <row r="92" spans="9:13" ht="15.75" x14ac:dyDescent="0.25">
      <c r="I92" s="1"/>
      <c r="J92" s="1"/>
      <c r="K92" s="1"/>
      <c r="L92" s="1"/>
      <c r="M92" s="1"/>
    </row>
    <row r="98" spans="9:13" ht="15.75" x14ac:dyDescent="0.25">
      <c r="I98" s="2"/>
      <c r="J98" s="2"/>
    </row>
    <row r="99" spans="9:13" ht="15.75" x14ac:dyDescent="0.25">
      <c r="I99" s="2"/>
      <c r="J99" s="2"/>
    </row>
    <row r="100" spans="9:13" ht="15.75" x14ac:dyDescent="0.25">
      <c r="I100" s="2"/>
      <c r="J100" s="2"/>
      <c r="K100" s="1"/>
      <c r="L100" s="1"/>
      <c r="M100" s="1"/>
    </row>
    <row r="101" spans="9:13" ht="15.75" x14ac:dyDescent="0.25">
      <c r="I101" s="2"/>
      <c r="J101" s="2"/>
      <c r="K101" s="1"/>
      <c r="L101" s="1"/>
      <c r="M101" s="1"/>
    </row>
    <row r="102" spans="9:13" ht="15.75" x14ac:dyDescent="0.25">
      <c r="I102" s="2"/>
      <c r="J102" s="2"/>
      <c r="K102" s="1"/>
      <c r="L102" s="1"/>
      <c r="M102" s="1"/>
    </row>
    <row r="103" spans="9:13" ht="15.75" x14ac:dyDescent="0.25">
      <c r="I103" s="1"/>
      <c r="J103" s="1"/>
      <c r="K103" s="1"/>
      <c r="L103" s="1"/>
      <c r="M103" s="1"/>
    </row>
    <row r="104" spans="9:13" ht="15.75" x14ac:dyDescent="0.25">
      <c r="I104" s="1"/>
      <c r="J104" s="1"/>
      <c r="K104" s="1"/>
      <c r="L104" s="1"/>
      <c r="M104" s="1"/>
    </row>
    <row r="105" spans="9:13" ht="15.75" x14ac:dyDescent="0.25">
      <c r="I105" s="1"/>
      <c r="J105" s="1"/>
      <c r="K105" s="1"/>
      <c r="L105" s="1"/>
      <c r="M105" s="1"/>
    </row>
    <row r="106" spans="9:13" ht="15.75" x14ac:dyDescent="0.25">
      <c r="I106" s="1"/>
      <c r="J106" s="1"/>
      <c r="K106" s="1"/>
      <c r="L106" s="1"/>
      <c r="M106" s="1"/>
    </row>
    <row r="107" spans="9:13" ht="15.75" x14ac:dyDescent="0.25">
      <c r="I107" s="1"/>
      <c r="J107" s="1"/>
      <c r="K107" s="1"/>
      <c r="L107" s="1"/>
      <c r="M107" s="1"/>
    </row>
  </sheetData>
  <mergeCells count="87">
    <mergeCell ref="F58:G58"/>
    <mergeCell ref="F60:G60"/>
    <mergeCell ref="F62:G62"/>
    <mergeCell ref="A60:D60"/>
    <mergeCell ref="A62:D62"/>
    <mergeCell ref="A59:D59"/>
    <mergeCell ref="A68:H68"/>
    <mergeCell ref="A67:E67"/>
    <mergeCell ref="F67:H67"/>
    <mergeCell ref="A61:D61"/>
    <mergeCell ref="A64:D64"/>
    <mergeCell ref="F61:G61"/>
    <mergeCell ref="A63:D63"/>
    <mergeCell ref="A53:D53"/>
    <mergeCell ref="A65:D65"/>
    <mergeCell ref="C69:F69"/>
    <mergeCell ref="A69:B69"/>
    <mergeCell ref="B7:E7"/>
    <mergeCell ref="A25:H25"/>
    <mergeCell ref="F66:G66"/>
    <mergeCell ref="F63:G63"/>
    <mergeCell ref="A66:C66"/>
    <mergeCell ref="F54:G54"/>
    <mergeCell ref="A54:E54"/>
    <mergeCell ref="A55:D55"/>
    <mergeCell ref="A57:D57"/>
    <mergeCell ref="A45:D45"/>
    <mergeCell ref="A46:D46"/>
    <mergeCell ref="A56:D56"/>
    <mergeCell ref="A51:D51"/>
    <mergeCell ref="A52:D52"/>
    <mergeCell ref="A58:D58"/>
    <mergeCell ref="A1:H1"/>
    <mergeCell ref="A2:H2"/>
    <mergeCell ref="E23:H23"/>
    <mergeCell ref="A22:H22"/>
    <mergeCell ref="F8:G8"/>
    <mergeCell ref="A10:H14"/>
    <mergeCell ref="C16:G16"/>
    <mergeCell ref="A15:G15"/>
    <mergeCell ref="A16:A17"/>
    <mergeCell ref="C17:G17"/>
    <mergeCell ref="C18:G18"/>
    <mergeCell ref="B3:E3"/>
    <mergeCell ref="B4:E4"/>
    <mergeCell ref="B5:E5"/>
    <mergeCell ref="B6:E6"/>
    <mergeCell ref="A41:H41"/>
    <mergeCell ref="A47:D47"/>
    <mergeCell ref="A48:D48"/>
    <mergeCell ref="A34:H34"/>
    <mergeCell ref="A44:D44"/>
    <mergeCell ref="A27:B27"/>
    <mergeCell ref="A28:B28"/>
    <mergeCell ref="A29:B29"/>
    <mergeCell ref="A32:B32"/>
    <mergeCell ref="A35:B35"/>
    <mergeCell ref="A50:D50"/>
    <mergeCell ref="A36:B36"/>
    <mergeCell ref="A37:B37"/>
    <mergeCell ref="A38:B38"/>
    <mergeCell ref="A39:B39"/>
    <mergeCell ref="A40:B40"/>
    <mergeCell ref="A75:B75"/>
    <mergeCell ref="A73:H73"/>
    <mergeCell ref="A72:H72"/>
    <mergeCell ref="C71:F71"/>
    <mergeCell ref="A71:B71"/>
    <mergeCell ref="C75:F75"/>
    <mergeCell ref="A74:B74"/>
    <mergeCell ref="C74:F74"/>
    <mergeCell ref="A70:B70"/>
    <mergeCell ref="C70:F70"/>
    <mergeCell ref="G3:H3"/>
    <mergeCell ref="G4:H4"/>
    <mergeCell ref="G5:H5"/>
    <mergeCell ref="A9:D9"/>
    <mergeCell ref="A26:B26"/>
    <mergeCell ref="A24:H24"/>
    <mergeCell ref="B8:E8"/>
    <mergeCell ref="F6:G6"/>
    <mergeCell ref="F7:G7"/>
    <mergeCell ref="E9:G9"/>
    <mergeCell ref="A42:D42"/>
    <mergeCell ref="A43:D43"/>
    <mergeCell ref="A30:B30"/>
    <mergeCell ref="A49:D49"/>
  </mergeCells>
  <phoneticPr fontId="0" type="noConversion"/>
  <printOptions horizontalCentered="1" verticalCentered="1" gridLines="1"/>
  <pageMargins left="0" right="0" top="0" bottom="0" header="0" footer="0"/>
  <pageSetup scale="80" orientation="portrait" r:id="rId1"/>
  <headerFooter alignWithMargins="0"/>
  <rowBreaks count="1" manualBreakCount="1">
    <brk id="71" max="7" man="1"/>
  </rowBreaks>
  <colBreaks count="1" manualBreakCount="1">
    <brk id="8" max="1048575" man="1"/>
  </colBreaks>
  <ignoredErrors>
    <ignoredError sqref="E32 E27:E30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</xdr:col>
                    <xdr:colOff>57150</xdr:colOff>
                    <xdr:row>15</xdr:row>
                    <xdr:rowOff>47625</xdr:rowOff>
                  </from>
                  <to>
                    <xdr:col>1</xdr:col>
                    <xdr:colOff>247650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1</xdr:col>
                    <xdr:colOff>57150</xdr:colOff>
                    <xdr:row>16</xdr:row>
                    <xdr:rowOff>47625</xdr:rowOff>
                  </from>
                  <to>
                    <xdr:col>1</xdr:col>
                    <xdr:colOff>247650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</xdr:col>
                    <xdr:colOff>57150</xdr:colOff>
                    <xdr:row>17</xdr:row>
                    <xdr:rowOff>47625</xdr:rowOff>
                  </from>
                  <to>
                    <xdr:col>1</xdr:col>
                    <xdr:colOff>247650</xdr:colOff>
                    <xdr:row>17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CA6DDFF826A4A98C7F259192758CC" ma:contentTypeVersion="4" ma:contentTypeDescription="Create a new document." ma:contentTypeScope="" ma:versionID="85224ea998e3a198372e3a43b5d0ed03">
  <xsd:schema xmlns:xsd="http://www.w3.org/2001/XMLSchema" xmlns:xs="http://www.w3.org/2001/XMLSchema" xmlns:p="http://schemas.microsoft.com/office/2006/metadata/properties" xmlns:ns2="6a49e206-f4f3-495f-b3ef-87de811cb9d6" targetNamespace="http://schemas.microsoft.com/office/2006/metadata/properties" ma:root="true" ma:fieldsID="e6445aa581834a988541fb0f881dd946" ns2:_="">
    <xsd:import namespace="6a49e206-f4f3-495f-b3ef-87de811cb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9e206-f4f3-495f-b3ef-87de811cb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9A83B6-D4A6-4D77-87E7-A618E864D0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0EE244-ADAA-4B7A-BDAC-848959E46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9e206-f4f3-495f-b3ef-87de811cb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45421E-E895-47E7-AE4E-CA5889361FB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Annabelle P CIV USARMY CEHNC (USA)</dc:creator>
  <cp:keywords/>
  <dc:description/>
  <cp:lastModifiedBy>Parvin, Robert M CIV USARMY ACC MICC (USA)</cp:lastModifiedBy>
  <cp:revision/>
  <dcterms:created xsi:type="dcterms:W3CDTF">1998-11-25T12:08:41Z</dcterms:created>
  <dcterms:modified xsi:type="dcterms:W3CDTF">2025-12-22T21:50:09Z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0x0101002E5CA6DDFF826A4A98C7F259192758CC</vt:lpwstr>
  </property>
</Properties>
</file>