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bpgov-my.sharepoint.com/personal/0249960644_cbp_dhs_gov/Documents/_FD/@ OLDFiles/@ Completed/"/>
    </mc:Choice>
  </mc:AlternateContent>
  <xr:revisionPtr revIDLastSave="14" documentId="14_{57675745-C3EA-4AA8-BE2E-9E3FCE7ECB01}" xr6:coauthVersionLast="47" xr6:coauthVersionMax="47" xr10:uidLastSave="{21E822D6-DF27-4691-9CEB-3C61D99F7568}"/>
  <bookViews>
    <workbookView xWindow="28680" yWindow="315" windowWidth="25440" windowHeight="15270" activeTab="1" xr2:uid="{00000000-000D-0000-FFFF-FFFF00000000}"/>
  </bookViews>
  <sheets>
    <sheet name="All Combined" sheetId="6" r:id="rId1"/>
    <sheet name="Fingerprints - HC" sheetId="1" r:id="rId2"/>
    <sheet name="Fingerprints  - OIT_MGD" sheetId="3" r:id="rId3"/>
    <sheet name="Fingerprints  - OP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6" l="1"/>
  <c r="C32" i="6"/>
  <c r="E32" i="6" s="1"/>
  <c r="C24" i="6"/>
  <c r="E24" i="6" s="1"/>
  <c r="C16" i="6"/>
  <c r="E16" i="6" s="1"/>
  <c r="C8" i="6"/>
  <c r="E8" i="6" s="1"/>
  <c r="C39" i="6"/>
  <c r="E39" i="6" s="1"/>
  <c r="C31" i="6"/>
  <c r="E31" i="6" s="1"/>
  <c r="C23" i="6"/>
  <c r="E23" i="6" s="1"/>
  <c r="C15" i="6"/>
  <c r="E15" i="6" s="1"/>
  <c r="C7" i="6"/>
  <c r="E7" i="6" s="1"/>
  <c r="C38" i="6"/>
  <c r="E38" i="6" s="1"/>
  <c r="C30" i="6"/>
  <c r="E30" i="6" s="1"/>
  <c r="C22" i="6"/>
  <c r="E22" i="6" s="1"/>
  <c r="C6" i="6"/>
  <c r="E6" i="6" s="1"/>
  <c r="C14" i="6"/>
  <c r="E14" i="6" s="1"/>
  <c r="E40" i="6"/>
  <c r="E9" i="6" l="1"/>
  <c r="E41" i="6"/>
  <c r="E33" i="6"/>
  <c r="E17" i="6"/>
  <c r="E25" i="6"/>
  <c r="E32" i="4"/>
  <c r="E33" i="4" s="1"/>
  <c r="E26" i="4"/>
  <c r="E27" i="4" s="1"/>
  <c r="E20" i="4"/>
  <c r="E21" i="4" s="1"/>
  <c r="E14" i="4"/>
  <c r="E15" i="4" s="1"/>
  <c r="E8" i="4"/>
  <c r="E9" i="4" s="1"/>
  <c r="E38" i="3"/>
  <c r="E39" i="3" s="1"/>
  <c r="E32" i="3"/>
  <c r="E33" i="3" s="1"/>
  <c r="E26" i="3"/>
  <c r="E27" i="3" s="1"/>
  <c r="E20" i="3"/>
  <c r="E21" i="3" s="1"/>
  <c r="E14" i="3"/>
  <c r="E15" i="3" s="1"/>
  <c r="E38" i="1"/>
  <c r="E39" i="1" s="1"/>
  <c r="E32" i="1"/>
  <c r="E33" i="1" s="1"/>
  <c r="E26" i="1"/>
  <c r="E27" i="1" s="1"/>
  <c r="E42" i="3" l="1"/>
  <c r="H4" i="6"/>
  <c r="E36" i="4"/>
  <c r="E20" i="1"/>
  <c r="E21" i="1" s="1"/>
  <c r="E14" i="1" l="1"/>
  <c r="E15" i="1" s="1"/>
  <c r="E42" i="1" s="1"/>
</calcChain>
</file>

<file path=xl/sharedStrings.xml><?xml version="1.0" encoding="utf-8"?>
<sst xmlns="http://schemas.openxmlformats.org/spreadsheetml/2006/main" count="179" uniqueCount="25">
  <si>
    <t>Base Year</t>
  </si>
  <si>
    <t>CLIN</t>
  </si>
  <si>
    <t>CATEGORY/CONTRACTOR</t>
  </si>
  <si>
    <t>RATE</t>
  </si>
  <si>
    <t>QTY</t>
  </si>
  <si>
    <t>TOTAL</t>
  </si>
  <si>
    <t>eFingerprint Collection - HC</t>
  </si>
  <si>
    <t xml:space="preserve">eFingerprint Collection - OIT </t>
  </si>
  <si>
    <t>eFingerprint Collection - OPR</t>
  </si>
  <si>
    <t xml:space="preserve">Total Price:    </t>
  </si>
  <si>
    <t>Option Year One</t>
  </si>
  <si>
    <t>eFingerprint Collection - OIT/MGD</t>
  </si>
  <si>
    <t>Option Year Two</t>
  </si>
  <si>
    <t>Option Year Three</t>
  </si>
  <si>
    <t>Option Year Four</t>
  </si>
  <si>
    <t>U.S. Customs and Border Protection</t>
  </si>
  <si>
    <t>Office of Human Resources Management</t>
  </si>
  <si>
    <t>Total:</t>
  </si>
  <si>
    <t>Total</t>
  </si>
  <si>
    <t>Ordering Period One</t>
  </si>
  <si>
    <t>Ordering Period Two</t>
  </si>
  <si>
    <t>Ordering Period Three</t>
  </si>
  <si>
    <t>Ordering Period Four</t>
  </si>
  <si>
    <t>Ordering Period  Five</t>
  </si>
  <si>
    <t>Ordering Period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</si>
</sst>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;[Red]&quot;$&quot;#,##0.00"/>
    <numFmt numFmtId="165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2" xfId="0" quotePrefix="1" applyFont="1" applyBorder="1"/>
    <xf numFmtId="164" fontId="5" fillId="0" borderId="3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8" fillId="0" borderId="0" xfId="0" applyFont="1"/>
    <xf numFmtId="165" fontId="5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quotePrefix="1" applyFont="1" applyAlignment="1">
      <alignment horizontal="right"/>
    </xf>
    <xf numFmtId="164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1" fillId="0" borderId="0" xfId="2" applyAlignment="1">
      <alignment horizontal="center" vertical="center"/>
    </xf>
    <xf numFmtId="0" fontId="1" fillId="0" borderId="0" xfId="2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64" fontId="6" fillId="2" borderId="12" xfId="0" applyNumberFormat="1" applyFont="1" applyFill="1" applyBorder="1" applyAlignment="1">
      <alignment vertical="center"/>
    </xf>
    <xf numFmtId="0" fontId="4" fillId="0" borderId="1" xfId="0" quotePrefix="1" applyFont="1" applyBorder="1"/>
    <xf numFmtId="0" fontId="2" fillId="0" borderId="0" xfId="0" applyFont="1" applyAlignment="1">
      <alignment horizontal="right"/>
    </xf>
    <xf numFmtId="0" fontId="1" fillId="0" borderId="0" xfId="2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right"/>
    </xf>
    <xf numFmtId="0" fontId="7" fillId="2" borderId="11" xfId="0" quotePrefix="1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5" xfId="0" quotePrefix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2F74B732-51C6-4D8D-B910-5ADEB0A85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7629-C40C-4B46-8979-B04AD0E19437}">
  <dimension ref="A1:I44"/>
  <sheetViews>
    <sheetView zoomScaleNormal="100" workbookViewId="0">
      <selection activeCell="G4" sqref="G4"/>
    </sheetView>
  </sheetViews>
  <sheetFormatPr defaultColWidth="8.6640625" defaultRowHeight="14.4" x14ac:dyDescent="0.25"/>
  <cols>
    <col min="1" max="1" width="24.6640625" style="25" customWidth="1"/>
    <col min="2" max="2" width="33" style="25" bestFit="1" customWidth="1"/>
    <col min="3" max="3" width="23.109375" style="25" bestFit="1" customWidth="1"/>
    <col min="4" max="4" width="20.88671875" style="25" bestFit="1" customWidth="1"/>
    <col min="5" max="5" width="29.88671875" style="25" bestFit="1" customWidth="1"/>
    <col min="6" max="6" width="30.109375" style="25" bestFit="1" customWidth="1"/>
    <col min="7" max="7" width="44.33203125" style="25" bestFit="1" customWidth="1"/>
    <col min="8" max="8" width="28.6640625" style="25" bestFit="1" customWidth="1"/>
    <col min="9" max="9" width="37.6640625" style="25" customWidth="1"/>
    <col min="10" max="10" width="23.109375" style="25" customWidth="1"/>
    <col min="11" max="11" width="13.5546875" style="25" bestFit="1" customWidth="1"/>
    <col min="12" max="16384" width="8.6640625" style="25"/>
  </cols>
  <sheetData>
    <row r="1" spans="1:9" ht="18.600000000000001" customHeight="1" x14ac:dyDescent="0.25"/>
    <row r="2" spans="1:9" x14ac:dyDescent="0.25">
      <c r="H2" s="26"/>
    </row>
    <row r="4" spans="1:9" customFormat="1" ht="15" thickBot="1" x14ac:dyDescent="0.3">
      <c r="A4" s="39" t="s">
        <v>0</v>
      </c>
      <c r="B4" s="39"/>
      <c r="C4" s="39"/>
      <c r="D4" s="39"/>
      <c r="E4" s="39"/>
      <c r="H4" s="24">
        <f>SUM(E41,E33,E25,E17,E9)</f>
        <v>0</v>
      </c>
      <c r="I4" s="25"/>
    </row>
    <row r="5" spans="1:9" s="8" customFormat="1" ht="13.2" x14ac:dyDescent="0.25">
      <c r="A5" s="28" t="s">
        <v>1</v>
      </c>
      <c r="B5" s="29" t="s">
        <v>2</v>
      </c>
      <c r="C5" s="30" t="s">
        <v>3</v>
      </c>
      <c r="D5" s="30" t="s">
        <v>4</v>
      </c>
      <c r="E5" s="31" t="s">
        <v>5</v>
      </c>
    </row>
    <row r="6" spans="1:9" customFormat="1" ht="15" x14ac:dyDescent="0.25">
      <c r="A6" s="33">
        <v>10</v>
      </c>
      <c r="B6" s="2" t="s">
        <v>6</v>
      </c>
      <c r="C6" s="3">
        <f>'Fingerprints - HC'!C14</f>
        <v>0</v>
      </c>
      <c r="D6" s="27">
        <v>65000</v>
      </c>
      <c r="E6" s="3">
        <f>C6*D6</f>
        <v>0</v>
      </c>
      <c r="H6" s="16"/>
      <c r="I6" s="23"/>
    </row>
    <row r="7" spans="1:9" customFormat="1" ht="15" x14ac:dyDescent="0.25">
      <c r="A7" s="33">
        <v>10</v>
      </c>
      <c r="B7" s="2" t="s">
        <v>7</v>
      </c>
      <c r="C7" s="3">
        <f>'Fingerprints  - OIT_MGD'!C14</f>
        <v>0</v>
      </c>
      <c r="D7" s="27">
        <v>14150</v>
      </c>
      <c r="E7" s="3">
        <f>C7*D7</f>
        <v>0</v>
      </c>
      <c r="H7" s="35"/>
      <c r="I7" s="23"/>
    </row>
    <row r="8" spans="1:9" customFormat="1" ht="15" x14ac:dyDescent="0.25">
      <c r="A8" s="33">
        <v>10</v>
      </c>
      <c r="B8" s="2" t="s">
        <v>8</v>
      </c>
      <c r="C8" s="3">
        <f>'Fingerprints  - OPR'!C8</f>
        <v>0</v>
      </c>
      <c r="D8" s="27">
        <v>19100</v>
      </c>
      <c r="E8" s="3">
        <f>C8*D8</f>
        <v>0</v>
      </c>
      <c r="I8" s="23"/>
    </row>
    <row r="9" spans="1:9" customFormat="1" ht="16.2" thickBot="1" x14ac:dyDescent="0.35">
      <c r="A9" s="40" t="s">
        <v>9</v>
      </c>
      <c r="B9" s="41"/>
      <c r="C9" s="41"/>
      <c r="D9" s="41"/>
      <c r="E9" s="32">
        <f>SUM(E6:E8)</f>
        <v>0</v>
      </c>
    </row>
    <row r="10" spans="1:9" customFormat="1" ht="15.6" x14ac:dyDescent="0.3">
      <c r="A10" s="20"/>
      <c r="B10" s="21"/>
      <c r="C10" s="21"/>
      <c r="D10" s="21"/>
      <c r="E10" s="22"/>
    </row>
    <row r="11" spans="1:9" customFormat="1" ht="15.6" x14ac:dyDescent="0.3">
      <c r="A11" s="20"/>
      <c r="B11" s="21"/>
      <c r="C11" s="21"/>
      <c r="D11" s="21"/>
      <c r="E11" s="22"/>
    </row>
    <row r="12" spans="1:9" customFormat="1" ht="13.8" thickBot="1" x14ac:dyDescent="0.3">
      <c r="A12" s="39" t="s">
        <v>10</v>
      </c>
      <c r="B12" s="39"/>
      <c r="C12" s="39"/>
      <c r="D12" s="39"/>
      <c r="E12" s="39"/>
    </row>
    <row r="13" spans="1:9" s="8" customFormat="1" ht="13.2" x14ac:dyDescent="0.25">
      <c r="A13" s="28" t="s">
        <v>1</v>
      </c>
      <c r="B13" s="29" t="s">
        <v>2</v>
      </c>
      <c r="C13" s="30" t="s">
        <v>3</v>
      </c>
      <c r="D13" s="30" t="s">
        <v>4</v>
      </c>
      <c r="E13" s="31" t="s">
        <v>5</v>
      </c>
    </row>
    <row r="14" spans="1:9" customFormat="1" ht="15" x14ac:dyDescent="0.25">
      <c r="A14" s="33">
        <v>10</v>
      </c>
      <c r="B14" s="2" t="s">
        <v>6</v>
      </c>
      <c r="C14" s="3">
        <f>'Fingerprints - HC'!C20</f>
        <v>0</v>
      </c>
      <c r="D14" s="27">
        <v>65000</v>
      </c>
      <c r="E14" s="3">
        <f>C14*D14</f>
        <v>0</v>
      </c>
    </row>
    <row r="15" spans="1:9" customFormat="1" ht="15" x14ac:dyDescent="0.25">
      <c r="A15" s="33">
        <v>10</v>
      </c>
      <c r="B15" s="2" t="s">
        <v>11</v>
      </c>
      <c r="C15" s="3">
        <f>'Fingerprints  - OIT_MGD'!C20</f>
        <v>0</v>
      </c>
      <c r="D15" s="18">
        <v>15000</v>
      </c>
      <c r="E15" s="3">
        <f>C15*D15</f>
        <v>0</v>
      </c>
      <c r="I15" s="23"/>
    </row>
    <row r="16" spans="1:9" customFormat="1" ht="15" x14ac:dyDescent="0.25">
      <c r="A16" s="33">
        <v>10</v>
      </c>
      <c r="B16" s="2" t="s">
        <v>8</v>
      </c>
      <c r="C16" s="3">
        <f>'Fingerprints  - OPR'!C14</f>
        <v>0</v>
      </c>
      <c r="D16" s="27">
        <v>19100</v>
      </c>
      <c r="E16" s="3">
        <f>C16*D16</f>
        <v>0</v>
      </c>
      <c r="I16" s="23"/>
    </row>
    <row r="17" spans="1:9" customFormat="1" ht="16.2" thickBot="1" x14ac:dyDescent="0.35">
      <c r="A17" s="40" t="s">
        <v>9</v>
      </c>
      <c r="B17" s="41"/>
      <c r="C17" s="41"/>
      <c r="D17" s="41"/>
      <c r="E17" s="32">
        <f>SUM(E14:E16)</f>
        <v>0</v>
      </c>
    </row>
    <row r="18" spans="1:9" customFormat="1" ht="15.6" x14ac:dyDescent="0.3">
      <c r="A18" s="20"/>
      <c r="B18" s="21"/>
      <c r="C18" s="21"/>
      <c r="D18" s="21"/>
      <c r="E18" s="22"/>
    </row>
    <row r="19" spans="1:9" customFormat="1" ht="15.6" x14ac:dyDescent="0.3">
      <c r="A19" s="20"/>
      <c r="B19" s="21"/>
      <c r="C19" s="21"/>
      <c r="D19" s="21"/>
      <c r="E19" s="22"/>
      <c r="I19">
        <v>719074.5</v>
      </c>
    </row>
    <row r="20" spans="1:9" customFormat="1" ht="13.8" thickBot="1" x14ac:dyDescent="0.3">
      <c r="A20" s="39" t="s">
        <v>12</v>
      </c>
      <c r="B20" s="39"/>
      <c r="C20" s="39"/>
      <c r="D20" s="39"/>
      <c r="E20" s="39"/>
    </row>
    <row r="21" spans="1:9" s="8" customFormat="1" ht="13.8" thickBot="1" x14ac:dyDescent="0.3">
      <c r="A21" s="9" t="s">
        <v>1</v>
      </c>
      <c r="B21" s="10" t="s">
        <v>2</v>
      </c>
      <c r="C21" s="11" t="s">
        <v>3</v>
      </c>
      <c r="D21" s="11" t="s">
        <v>4</v>
      </c>
      <c r="E21" s="12" t="s">
        <v>5</v>
      </c>
    </row>
    <row r="22" spans="1:9" customFormat="1" ht="15" x14ac:dyDescent="0.25">
      <c r="A22" s="6">
        <v>10</v>
      </c>
      <c r="B22" s="2" t="s">
        <v>6</v>
      </c>
      <c r="C22" s="3">
        <f>'Fingerprints - HC'!C26</f>
        <v>0</v>
      </c>
      <c r="D22" s="27">
        <v>65000</v>
      </c>
      <c r="E22" s="7">
        <f>C22*D22</f>
        <v>0</v>
      </c>
    </row>
    <row r="23" spans="1:9" customFormat="1" ht="15" x14ac:dyDescent="0.25">
      <c r="A23" s="33">
        <v>10</v>
      </c>
      <c r="B23" s="2" t="s">
        <v>7</v>
      </c>
      <c r="C23" s="3">
        <f>'Fingerprints  - OIT_MGD'!C26</f>
        <v>0</v>
      </c>
      <c r="D23" s="18">
        <v>15500</v>
      </c>
      <c r="E23" s="3">
        <f>C23*D23</f>
        <v>0</v>
      </c>
      <c r="I23" s="23"/>
    </row>
    <row r="24" spans="1:9" customFormat="1" ht="15.6" thickBot="1" x14ac:dyDescent="0.3">
      <c r="A24" s="33">
        <v>10</v>
      </c>
      <c r="B24" s="2" t="s">
        <v>8</v>
      </c>
      <c r="C24" s="3">
        <f>'Fingerprints  - OPR'!C20</f>
        <v>0</v>
      </c>
      <c r="D24" s="27">
        <v>19100</v>
      </c>
      <c r="E24" s="3">
        <f>C24*D24</f>
        <v>0</v>
      </c>
      <c r="I24" s="23"/>
    </row>
    <row r="25" spans="1:9" customFormat="1" ht="16.2" thickBot="1" x14ac:dyDescent="0.35">
      <c r="A25" s="42" t="s">
        <v>9</v>
      </c>
      <c r="B25" s="43"/>
      <c r="C25" s="43"/>
      <c r="D25" s="43"/>
      <c r="E25" s="32">
        <f>SUM(E22:E24)</f>
        <v>0</v>
      </c>
    </row>
    <row r="26" spans="1:9" customFormat="1" ht="15.6" x14ac:dyDescent="0.3">
      <c r="A26" s="20"/>
      <c r="B26" s="21"/>
      <c r="C26" s="21"/>
      <c r="D26" s="21"/>
      <c r="E26" s="22"/>
    </row>
    <row r="27" spans="1:9" customFormat="1" ht="15.6" x14ac:dyDescent="0.3">
      <c r="A27" s="20"/>
      <c r="B27" s="21"/>
      <c r="C27" s="21"/>
      <c r="D27" s="21"/>
      <c r="E27" s="22"/>
    </row>
    <row r="28" spans="1:9" customFormat="1" ht="13.8" thickBot="1" x14ac:dyDescent="0.3">
      <c r="A28" s="39" t="s">
        <v>13</v>
      </c>
      <c r="B28" s="39"/>
      <c r="C28" s="39"/>
      <c r="D28" s="39"/>
      <c r="E28" s="39"/>
    </row>
    <row r="29" spans="1:9" s="8" customFormat="1" ht="13.8" thickBot="1" x14ac:dyDescent="0.3">
      <c r="A29" s="9" t="s">
        <v>1</v>
      </c>
      <c r="B29" s="10" t="s">
        <v>2</v>
      </c>
      <c r="C29" s="11" t="s">
        <v>3</v>
      </c>
      <c r="D29" s="11" t="s">
        <v>4</v>
      </c>
      <c r="E29" s="12" t="s">
        <v>5</v>
      </c>
    </row>
    <row r="30" spans="1:9" customFormat="1" ht="15" x14ac:dyDescent="0.25">
      <c r="A30" s="6">
        <v>10</v>
      </c>
      <c r="B30" s="2" t="s">
        <v>6</v>
      </c>
      <c r="C30" s="3">
        <f>'Fingerprints - HC'!C32</f>
        <v>0</v>
      </c>
      <c r="D30" s="27">
        <v>65000</v>
      </c>
      <c r="E30" s="7">
        <f>C30*D30</f>
        <v>0</v>
      </c>
    </row>
    <row r="31" spans="1:9" customFormat="1" ht="15" x14ac:dyDescent="0.25">
      <c r="A31" s="33">
        <v>10</v>
      </c>
      <c r="B31" s="2" t="s">
        <v>7</v>
      </c>
      <c r="C31" s="3">
        <f>'Fingerprints  - OIT_MGD'!C32</f>
        <v>0</v>
      </c>
      <c r="D31" s="18">
        <v>16000</v>
      </c>
      <c r="E31" s="3">
        <f>C31*D31</f>
        <v>0</v>
      </c>
      <c r="I31" s="23"/>
    </row>
    <row r="32" spans="1:9" customFormat="1" ht="15.6" thickBot="1" x14ac:dyDescent="0.3">
      <c r="A32" s="33">
        <v>10</v>
      </c>
      <c r="B32" s="2" t="s">
        <v>8</v>
      </c>
      <c r="C32" s="3">
        <f>'Fingerprints  - OPR'!C26</f>
        <v>0</v>
      </c>
      <c r="D32" s="27">
        <v>19100</v>
      </c>
      <c r="E32" s="3">
        <f>C32*D32</f>
        <v>0</v>
      </c>
      <c r="I32" s="23"/>
    </row>
    <row r="33" spans="1:9" customFormat="1" ht="16.2" thickBot="1" x14ac:dyDescent="0.35">
      <c r="A33" s="42" t="s">
        <v>9</v>
      </c>
      <c r="B33" s="43"/>
      <c r="C33" s="43"/>
      <c r="D33" s="43"/>
      <c r="E33" s="32">
        <f>SUM(E30:E32)</f>
        <v>0</v>
      </c>
    </row>
    <row r="34" spans="1:9" customFormat="1" ht="13.2" x14ac:dyDescent="0.25">
      <c r="A34" s="16"/>
      <c r="B34" s="16"/>
      <c r="C34" s="16"/>
      <c r="D34" s="19"/>
      <c r="F34" s="16"/>
    </row>
    <row r="35" spans="1:9" customFormat="1" ht="15.6" x14ac:dyDescent="0.3">
      <c r="A35" s="20"/>
      <c r="B35" s="21"/>
      <c r="C35" s="21"/>
      <c r="D35" s="21"/>
      <c r="E35" s="22"/>
    </row>
    <row r="36" spans="1:9" customFormat="1" ht="13.8" thickBot="1" x14ac:dyDescent="0.3">
      <c r="A36" s="39" t="s">
        <v>14</v>
      </c>
      <c r="B36" s="39"/>
      <c r="C36" s="39"/>
      <c r="D36" s="39"/>
      <c r="E36" s="39"/>
    </row>
    <row r="37" spans="1:9" s="8" customFormat="1" ht="13.8" thickBot="1" x14ac:dyDescent="0.3">
      <c r="A37" s="9" t="s">
        <v>1</v>
      </c>
      <c r="B37" s="10" t="s">
        <v>2</v>
      </c>
      <c r="C37" s="11" t="s">
        <v>3</v>
      </c>
      <c r="D37" s="11" t="s">
        <v>4</v>
      </c>
      <c r="E37" s="12" t="s">
        <v>5</v>
      </c>
    </row>
    <row r="38" spans="1:9" customFormat="1" ht="15" x14ac:dyDescent="0.25">
      <c r="A38" s="6">
        <v>10</v>
      </c>
      <c r="B38" s="2" t="s">
        <v>6</v>
      </c>
      <c r="C38" s="3">
        <f>'Fingerprints - HC'!C38</f>
        <v>0</v>
      </c>
      <c r="D38" s="27">
        <v>65000</v>
      </c>
      <c r="E38" s="7">
        <f>C38*D38</f>
        <v>0</v>
      </c>
    </row>
    <row r="39" spans="1:9" customFormat="1" ht="15" x14ac:dyDescent="0.25">
      <c r="A39" s="33">
        <v>10</v>
      </c>
      <c r="B39" s="2" t="s">
        <v>7</v>
      </c>
      <c r="C39" s="3">
        <f>'Fingerprints  - OIT_MGD'!C38</f>
        <v>0</v>
      </c>
      <c r="D39" s="18">
        <v>16500</v>
      </c>
      <c r="E39" s="3">
        <f>C39*D39</f>
        <v>0</v>
      </c>
      <c r="I39" s="23"/>
    </row>
    <row r="40" spans="1:9" customFormat="1" ht="15.6" thickBot="1" x14ac:dyDescent="0.3">
      <c r="A40" s="33">
        <v>10</v>
      </c>
      <c r="B40" s="2" t="s">
        <v>8</v>
      </c>
      <c r="C40" s="3">
        <f>'Fingerprints  - OPR'!C32</f>
        <v>0</v>
      </c>
      <c r="D40" s="27">
        <v>19100</v>
      </c>
      <c r="E40" s="3">
        <f>C40*D40</f>
        <v>0</v>
      </c>
      <c r="I40" s="23"/>
    </row>
    <row r="41" spans="1:9" customFormat="1" ht="16.2" thickBot="1" x14ac:dyDescent="0.35">
      <c r="A41" s="42" t="s">
        <v>9</v>
      </c>
      <c r="B41" s="43"/>
      <c r="C41" s="43"/>
      <c r="D41" s="43"/>
      <c r="E41" s="32">
        <f>SUM(E38:E40)</f>
        <v>0</v>
      </c>
    </row>
    <row r="42" spans="1:9" customFormat="1" ht="13.2" x14ac:dyDescent="0.25">
      <c r="D42" s="15"/>
    </row>
    <row r="43" spans="1:9" customFormat="1" ht="13.2" x14ac:dyDescent="0.25">
      <c r="D43" s="15"/>
    </row>
    <row r="44" spans="1:9" customFormat="1" x14ac:dyDescent="0.25">
      <c r="D44" s="34"/>
      <c r="E44" s="25"/>
      <c r="F44" s="16"/>
    </row>
  </sheetData>
  <mergeCells count="10">
    <mergeCell ref="A25:D25"/>
    <mergeCell ref="A28:E28"/>
    <mergeCell ref="A33:D33"/>
    <mergeCell ref="A36:E36"/>
    <mergeCell ref="A41:D41"/>
    <mergeCell ref="A20:E20"/>
    <mergeCell ref="A4:E4"/>
    <mergeCell ref="A9:D9"/>
    <mergeCell ref="A12:E12"/>
    <mergeCell ref="A17:D1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tabSelected="1" zoomScaleNormal="100" workbookViewId="0">
      <selection activeCell="B26" sqref="B26"/>
    </sheetView>
  </sheetViews>
  <sheetFormatPr defaultRowHeight="13.2" x14ac:dyDescent="0.25"/>
  <cols>
    <col min="1" max="1" width="17.33203125" customWidth="1"/>
    <col min="2" max="2" width="40.33203125" bestFit="1" customWidth="1"/>
    <col min="3" max="3" width="10.109375" bestFit="1" customWidth="1"/>
    <col min="4" max="4" width="11.5546875" style="15" bestFit="1" customWidth="1"/>
    <col min="5" max="5" width="16.88671875" customWidth="1"/>
    <col min="9" max="9" width="31.6640625" customWidth="1"/>
  </cols>
  <sheetData>
    <row r="1" spans="1:9" x14ac:dyDescent="0.25">
      <c r="A1" s="44" t="s">
        <v>15</v>
      </c>
      <c r="B1" s="44"/>
      <c r="C1" s="44"/>
      <c r="D1" s="44"/>
      <c r="E1" s="44"/>
    </row>
    <row r="2" spans="1:9" x14ac:dyDescent="0.25">
      <c r="A2" s="44" t="s">
        <v>16</v>
      </c>
      <c r="B2" s="44"/>
      <c r="C2" s="44"/>
      <c r="D2" s="44"/>
      <c r="E2" s="44"/>
    </row>
    <row r="3" spans="1:9" x14ac:dyDescent="0.25">
      <c r="A3" s="44"/>
      <c r="B3" s="44"/>
      <c r="C3" s="44"/>
      <c r="D3" s="44"/>
      <c r="E3" s="44"/>
    </row>
    <row r="4" spans="1:9" x14ac:dyDescent="0.25">
      <c r="A4" s="38"/>
      <c r="B4" s="38"/>
      <c r="C4" s="38"/>
      <c r="D4" s="4"/>
      <c r="E4" s="38"/>
    </row>
    <row r="5" spans="1:9" x14ac:dyDescent="0.25">
      <c r="A5" s="14"/>
      <c r="B5" s="36"/>
      <c r="C5" s="5"/>
      <c r="D5" s="4"/>
      <c r="E5" s="37"/>
    </row>
    <row r="6" spans="1:9" x14ac:dyDescent="0.25">
      <c r="A6" s="1"/>
      <c r="B6" s="16"/>
      <c r="C6" s="16"/>
      <c r="D6" s="19"/>
      <c r="E6" s="16"/>
    </row>
    <row r="7" spans="1:9" x14ac:dyDescent="0.25">
      <c r="A7" s="1"/>
      <c r="B7" s="17"/>
      <c r="C7" s="37"/>
      <c r="D7" s="19"/>
      <c r="E7" s="37"/>
    </row>
    <row r="8" spans="1:9" x14ac:dyDescent="0.25">
      <c r="A8" s="1"/>
      <c r="B8" s="17"/>
      <c r="C8" s="37"/>
      <c r="D8" s="19"/>
      <c r="E8" s="37"/>
    </row>
    <row r="9" spans="1:9" x14ac:dyDescent="0.25">
      <c r="A9" s="1"/>
      <c r="B9" s="17"/>
      <c r="C9" s="37"/>
      <c r="D9" s="19"/>
      <c r="E9" s="37"/>
    </row>
    <row r="10" spans="1:9" x14ac:dyDescent="0.25">
      <c r="A10" s="1"/>
      <c r="B10" s="17"/>
      <c r="C10" s="37"/>
      <c r="D10" s="19"/>
      <c r="E10" s="37"/>
    </row>
    <row r="11" spans="1:9" x14ac:dyDescent="0.25">
      <c r="A11" s="1"/>
      <c r="B11" s="45"/>
      <c r="C11" s="45"/>
      <c r="D11" s="45"/>
      <c r="E11" s="45"/>
    </row>
    <row r="12" spans="1:9" ht="13.8" thickBot="1" x14ac:dyDescent="0.3">
      <c r="A12" s="39" t="s">
        <v>19</v>
      </c>
      <c r="B12" s="39"/>
      <c r="C12" s="39"/>
      <c r="D12" s="39"/>
      <c r="E12" s="39"/>
      <c r="I12" s="16"/>
    </row>
    <row r="13" spans="1:9" s="8" customFormat="1" ht="13.8" thickBot="1" x14ac:dyDescent="0.3">
      <c r="A13" s="9" t="s">
        <v>1</v>
      </c>
      <c r="B13" s="10" t="s">
        <v>2</v>
      </c>
      <c r="C13" s="11" t="s">
        <v>3</v>
      </c>
      <c r="D13" s="11" t="s">
        <v>4</v>
      </c>
      <c r="E13" s="12" t="s">
        <v>5</v>
      </c>
    </row>
    <row r="14" spans="1:9" ht="15.6" thickBot="1" x14ac:dyDescent="0.3">
      <c r="A14" s="6">
        <v>10</v>
      </c>
      <c r="B14" s="2" t="s">
        <v>6</v>
      </c>
      <c r="C14" s="3"/>
      <c r="D14" s="27">
        <v>65000</v>
      </c>
      <c r="E14" s="7">
        <f>C14*D14</f>
        <v>0</v>
      </c>
      <c r="I14" s="23"/>
    </row>
    <row r="15" spans="1:9" ht="16.2" thickBot="1" x14ac:dyDescent="0.35">
      <c r="A15" s="42" t="s">
        <v>9</v>
      </c>
      <c r="B15" s="43"/>
      <c r="C15" s="43"/>
      <c r="D15" s="43"/>
      <c r="E15" s="13">
        <f>SUM(E14:E14)</f>
        <v>0</v>
      </c>
    </row>
    <row r="16" spans="1:9" ht="15.6" x14ac:dyDescent="0.3">
      <c r="A16" s="20"/>
      <c r="B16" s="21"/>
      <c r="C16" s="21"/>
      <c r="D16" s="21"/>
      <c r="E16" s="22"/>
    </row>
    <row r="17" spans="1:5" ht="15.6" x14ac:dyDescent="0.3">
      <c r="A17" s="20"/>
      <c r="B17" s="21"/>
      <c r="C17" s="21"/>
      <c r="D17" s="21"/>
      <c r="E17" s="22"/>
    </row>
    <row r="18" spans="1:5" ht="13.8" thickBot="1" x14ac:dyDescent="0.3">
      <c r="A18" s="39" t="s">
        <v>20</v>
      </c>
      <c r="B18" s="39"/>
      <c r="C18" s="39"/>
      <c r="D18" s="39"/>
      <c r="E18" s="39"/>
    </row>
    <row r="19" spans="1:5" s="8" customFormat="1" ht="13.8" thickBot="1" x14ac:dyDescent="0.3">
      <c r="A19" s="9" t="s">
        <v>1</v>
      </c>
      <c r="B19" s="10" t="s">
        <v>2</v>
      </c>
      <c r="C19" s="11" t="s">
        <v>3</v>
      </c>
      <c r="D19" s="11" t="s">
        <v>4</v>
      </c>
      <c r="E19" s="12" t="s">
        <v>5</v>
      </c>
    </row>
    <row r="20" spans="1:5" ht="15.6" thickBot="1" x14ac:dyDescent="0.3">
      <c r="A20" s="6">
        <v>10</v>
      </c>
      <c r="B20" s="2" t="s">
        <v>6</v>
      </c>
      <c r="C20" s="3"/>
      <c r="D20" s="27">
        <v>65000</v>
      </c>
      <c r="E20" s="7">
        <f>C20*D20</f>
        <v>0</v>
      </c>
    </row>
    <row r="21" spans="1:5" ht="16.2" thickBot="1" x14ac:dyDescent="0.35">
      <c r="A21" s="42" t="s">
        <v>9</v>
      </c>
      <c r="B21" s="43"/>
      <c r="C21" s="43"/>
      <c r="D21" s="43"/>
      <c r="E21" s="13">
        <f>SUM(E20:E20)</f>
        <v>0</v>
      </c>
    </row>
    <row r="22" spans="1:5" ht="15.6" x14ac:dyDescent="0.3">
      <c r="A22" s="20"/>
      <c r="B22" s="21"/>
      <c r="C22" s="21"/>
      <c r="D22" s="21"/>
      <c r="E22" s="22"/>
    </row>
    <row r="23" spans="1:5" ht="15.6" x14ac:dyDescent="0.3">
      <c r="A23" s="20"/>
      <c r="B23" s="21"/>
      <c r="C23" s="21"/>
      <c r="D23" s="21"/>
      <c r="E23" s="22"/>
    </row>
    <row r="24" spans="1:5" ht="13.8" thickBot="1" x14ac:dyDescent="0.3">
      <c r="A24" s="39" t="s">
        <v>21</v>
      </c>
      <c r="B24" s="39"/>
      <c r="C24" s="39"/>
      <c r="D24" s="39"/>
      <c r="E24" s="39"/>
    </row>
    <row r="25" spans="1:5" s="8" customFormat="1" ht="13.8" thickBot="1" x14ac:dyDescent="0.3">
      <c r="A25" s="9" t="s">
        <v>1</v>
      </c>
      <c r="B25" s="10" t="s">
        <v>2</v>
      </c>
      <c r="C25" s="11" t="s">
        <v>3</v>
      </c>
      <c r="D25" s="11" t="s">
        <v>4</v>
      </c>
      <c r="E25" s="12" t="s">
        <v>5</v>
      </c>
    </row>
    <row r="26" spans="1:5" ht="15.6" thickBot="1" x14ac:dyDescent="0.3">
      <c r="A26" s="6">
        <v>10</v>
      </c>
      <c r="B26" s="2" t="s">
        <v>6</v>
      </c>
      <c r="C26" s="3"/>
      <c r="D26" s="27">
        <v>65000</v>
      </c>
      <c r="E26" s="7">
        <f>C26*D26</f>
        <v>0</v>
      </c>
    </row>
    <row r="27" spans="1:5" ht="16.2" thickBot="1" x14ac:dyDescent="0.35">
      <c r="A27" s="42" t="s">
        <v>9</v>
      </c>
      <c r="B27" s="43"/>
      <c r="C27" s="43"/>
      <c r="D27" s="43"/>
      <c r="E27" s="13">
        <f>SUM(E26:E26)</f>
        <v>0</v>
      </c>
    </row>
    <row r="28" spans="1:5" ht="15.6" x14ac:dyDescent="0.3">
      <c r="A28" s="20"/>
      <c r="B28" s="21"/>
      <c r="C28" s="21"/>
      <c r="D28" s="21"/>
      <c r="E28" s="22"/>
    </row>
    <row r="29" spans="1:5" ht="15.6" x14ac:dyDescent="0.3">
      <c r="A29" s="20"/>
      <c r="B29" s="21"/>
      <c r="C29" s="21"/>
      <c r="D29" s="21"/>
      <c r="E29" s="22"/>
    </row>
    <row r="30" spans="1:5" ht="13.8" thickBot="1" x14ac:dyDescent="0.3">
      <c r="A30" s="39" t="s">
        <v>22</v>
      </c>
      <c r="B30" s="39"/>
      <c r="C30" s="39"/>
      <c r="D30" s="39"/>
      <c r="E30" s="39"/>
    </row>
    <row r="31" spans="1:5" s="8" customFormat="1" ht="13.8" thickBot="1" x14ac:dyDescent="0.3">
      <c r="A31" s="9" t="s">
        <v>1</v>
      </c>
      <c r="B31" s="10" t="s">
        <v>2</v>
      </c>
      <c r="C31" s="11" t="s">
        <v>3</v>
      </c>
      <c r="D31" s="11" t="s">
        <v>4</v>
      </c>
      <c r="E31" s="12" t="s">
        <v>5</v>
      </c>
    </row>
    <row r="32" spans="1:5" ht="15.6" thickBot="1" x14ac:dyDescent="0.3">
      <c r="A32" s="6">
        <v>10</v>
      </c>
      <c r="B32" s="2" t="s">
        <v>6</v>
      </c>
      <c r="C32" s="3"/>
      <c r="D32" s="27">
        <v>65000</v>
      </c>
      <c r="E32" s="7">
        <f>C32*D32</f>
        <v>0</v>
      </c>
    </row>
    <row r="33" spans="1:6" ht="16.2" thickBot="1" x14ac:dyDescent="0.35">
      <c r="A33" s="42" t="s">
        <v>9</v>
      </c>
      <c r="B33" s="43"/>
      <c r="C33" s="43"/>
      <c r="D33" s="43"/>
      <c r="E33" s="13">
        <f>SUM(E32:E32)</f>
        <v>0</v>
      </c>
    </row>
    <row r="34" spans="1:6" x14ac:dyDescent="0.25">
      <c r="A34" s="16"/>
      <c r="B34" s="16"/>
      <c r="C34" s="16"/>
      <c r="D34" s="19"/>
      <c r="F34" s="16"/>
    </row>
    <row r="35" spans="1:6" ht="15.6" x14ac:dyDescent="0.3">
      <c r="A35" s="20"/>
      <c r="B35" s="21"/>
      <c r="C35" s="21"/>
      <c r="D35" s="21"/>
      <c r="E35" s="22"/>
    </row>
    <row r="36" spans="1:6" ht="13.8" thickBot="1" x14ac:dyDescent="0.3">
      <c r="A36" s="39" t="s">
        <v>14</v>
      </c>
      <c r="B36" s="39"/>
      <c r="C36" s="39"/>
      <c r="D36" s="39"/>
      <c r="E36" s="39"/>
    </row>
    <row r="37" spans="1:6" s="8" customFormat="1" ht="13.8" thickBot="1" x14ac:dyDescent="0.3">
      <c r="A37" s="9" t="s">
        <v>1</v>
      </c>
      <c r="B37" s="10" t="s">
        <v>2</v>
      </c>
      <c r="C37" s="11" t="s">
        <v>3</v>
      </c>
      <c r="D37" s="11" t="s">
        <v>4</v>
      </c>
      <c r="E37" s="12" t="s">
        <v>5</v>
      </c>
    </row>
    <row r="38" spans="1:6" ht="15.6" thickBot="1" x14ac:dyDescent="0.3">
      <c r="A38" s="6">
        <v>10</v>
      </c>
      <c r="B38" s="2" t="s">
        <v>6</v>
      </c>
      <c r="C38" s="3"/>
      <c r="D38" s="27">
        <v>65000</v>
      </c>
      <c r="E38" s="7">
        <f>C38*D38</f>
        <v>0</v>
      </c>
    </row>
    <row r="39" spans="1:6" ht="16.2" thickBot="1" x14ac:dyDescent="0.35">
      <c r="A39" s="42" t="s">
        <v>9</v>
      </c>
      <c r="B39" s="43"/>
      <c r="C39" s="43"/>
      <c r="D39" s="43"/>
      <c r="E39" s="13">
        <f>SUM(E38:E38)</f>
        <v>0</v>
      </c>
    </row>
    <row r="42" spans="1:6" x14ac:dyDescent="0.25">
      <c r="D42" s="19" t="s">
        <v>17</v>
      </c>
      <c r="E42" s="24">
        <f>SUM(E39,E33,E27,E21,E15)</f>
        <v>0</v>
      </c>
      <c r="F42" s="16"/>
    </row>
    <row r="43" spans="1:6" x14ac:dyDescent="0.25">
      <c r="F43" s="16"/>
    </row>
  </sheetData>
  <mergeCells count="14">
    <mergeCell ref="A21:D21"/>
    <mergeCell ref="A27:D27"/>
    <mergeCell ref="A33:D33"/>
    <mergeCell ref="A39:D39"/>
    <mergeCell ref="A18:E18"/>
    <mergeCell ref="A24:E24"/>
    <mergeCell ref="A30:E30"/>
    <mergeCell ref="A36:E36"/>
    <mergeCell ref="A15:D15"/>
    <mergeCell ref="A1:E1"/>
    <mergeCell ref="A2:E2"/>
    <mergeCell ref="A12:E12"/>
    <mergeCell ref="B11:E11"/>
    <mergeCell ref="A3:E3"/>
  </mergeCells>
  <phoneticPr fontId="0" type="noConversion"/>
  <pageMargins left="0.75" right="0.75" top="1" bottom="1" header="0.5" footer="0.5"/>
  <pageSetup orientation="portrait" r:id="rId1"/>
  <headerFooter alignWithMargins="0">
    <oddFooter>&amp;R&amp;D&amp;T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3CE7-544D-467B-BF09-C4CD5CB2BF54}">
  <sheetPr>
    <pageSetUpPr fitToPage="1"/>
  </sheetPr>
  <dimension ref="A1:I43"/>
  <sheetViews>
    <sheetView zoomScaleNormal="100" workbookViewId="0">
      <selection activeCell="A3" sqref="A3:E3"/>
    </sheetView>
  </sheetViews>
  <sheetFormatPr defaultRowHeight="13.2" x14ac:dyDescent="0.25"/>
  <cols>
    <col min="1" max="1" width="17.33203125" customWidth="1"/>
    <col min="2" max="2" width="40.33203125" bestFit="1" customWidth="1"/>
    <col min="3" max="3" width="10.109375" bestFit="1" customWidth="1"/>
    <col min="4" max="4" width="11.5546875" style="15" bestFit="1" customWidth="1"/>
    <col min="5" max="5" width="12.6640625" bestFit="1" customWidth="1"/>
    <col min="9" max="9" width="31.6640625" customWidth="1"/>
  </cols>
  <sheetData>
    <row r="1" spans="1:9" x14ac:dyDescent="0.25">
      <c r="A1" s="44" t="s">
        <v>15</v>
      </c>
      <c r="B1" s="44"/>
      <c r="C1" s="44"/>
      <c r="D1" s="44"/>
      <c r="E1" s="44"/>
    </row>
    <row r="2" spans="1:9" x14ac:dyDescent="0.25">
      <c r="A2" s="44" t="s">
        <v>16</v>
      </c>
      <c r="B2" s="44"/>
      <c r="C2" s="44"/>
      <c r="D2" s="44"/>
      <c r="E2" s="44"/>
    </row>
    <row r="3" spans="1:9" x14ac:dyDescent="0.25">
      <c r="A3" s="44"/>
      <c r="B3" s="44"/>
      <c r="C3" s="44"/>
      <c r="D3" s="44"/>
      <c r="E3" s="44"/>
    </row>
    <row r="4" spans="1:9" x14ac:dyDescent="0.25">
      <c r="A4" s="38"/>
      <c r="B4" s="38"/>
      <c r="C4" s="38"/>
      <c r="D4" s="4"/>
      <c r="E4" s="38"/>
    </row>
    <row r="5" spans="1:9" x14ac:dyDescent="0.25">
      <c r="A5" s="14"/>
      <c r="B5" s="36"/>
      <c r="C5" s="5"/>
      <c r="D5" s="4"/>
      <c r="E5" s="37"/>
    </row>
    <row r="6" spans="1:9" x14ac:dyDescent="0.25">
      <c r="A6" s="1"/>
      <c r="B6" s="16"/>
      <c r="C6" s="16"/>
      <c r="D6" s="19"/>
      <c r="E6" s="16"/>
    </row>
    <row r="7" spans="1:9" x14ac:dyDescent="0.25">
      <c r="A7" s="1"/>
      <c r="B7" s="17"/>
      <c r="C7" s="37"/>
      <c r="D7" s="19"/>
      <c r="E7" s="37"/>
    </row>
    <row r="8" spans="1:9" x14ac:dyDescent="0.25">
      <c r="A8" s="1"/>
      <c r="B8" s="17"/>
      <c r="C8" s="37"/>
      <c r="D8" s="19"/>
      <c r="E8" s="37"/>
    </row>
    <row r="9" spans="1:9" x14ac:dyDescent="0.25">
      <c r="A9" s="1"/>
      <c r="B9" s="17"/>
      <c r="C9" s="37"/>
      <c r="D9" s="19"/>
      <c r="E9" s="37"/>
    </row>
    <row r="10" spans="1:9" x14ac:dyDescent="0.25">
      <c r="A10" s="1"/>
      <c r="B10" s="17"/>
      <c r="C10" s="37"/>
      <c r="D10" s="19"/>
      <c r="E10" s="37"/>
    </row>
    <row r="11" spans="1:9" x14ac:dyDescent="0.25">
      <c r="A11" s="1"/>
      <c r="B11" s="45"/>
      <c r="C11" s="45"/>
      <c r="D11" s="45"/>
      <c r="E11" s="45"/>
    </row>
    <row r="12" spans="1:9" ht="13.8" thickBot="1" x14ac:dyDescent="0.3">
      <c r="A12" s="39" t="s">
        <v>19</v>
      </c>
      <c r="B12" s="39"/>
      <c r="C12" s="39"/>
      <c r="D12" s="39"/>
      <c r="E12" s="39"/>
      <c r="I12" s="16"/>
    </row>
    <row r="13" spans="1:9" s="8" customFormat="1" ht="13.8" thickBot="1" x14ac:dyDescent="0.3">
      <c r="A13" s="9" t="s">
        <v>1</v>
      </c>
      <c r="B13" s="10" t="s">
        <v>2</v>
      </c>
      <c r="C13" s="11" t="s">
        <v>3</v>
      </c>
      <c r="D13" s="11" t="s">
        <v>4</v>
      </c>
      <c r="E13" s="12" t="s">
        <v>5</v>
      </c>
    </row>
    <row r="14" spans="1:9" ht="15.6" thickBot="1" x14ac:dyDescent="0.3">
      <c r="A14" s="6">
        <v>10</v>
      </c>
      <c r="B14" s="2" t="s">
        <v>11</v>
      </c>
      <c r="C14" s="3"/>
      <c r="D14" s="18">
        <v>14150</v>
      </c>
      <c r="E14" s="7">
        <f>C14*D14</f>
        <v>0</v>
      </c>
      <c r="I14" s="23"/>
    </row>
    <row r="15" spans="1:9" ht="16.2" thickBot="1" x14ac:dyDescent="0.35">
      <c r="A15" s="42" t="s">
        <v>9</v>
      </c>
      <c r="B15" s="43"/>
      <c r="C15" s="43"/>
      <c r="D15" s="43"/>
      <c r="E15" s="13">
        <f>SUM(E14:E14)</f>
        <v>0</v>
      </c>
    </row>
    <row r="16" spans="1:9" ht="15.6" x14ac:dyDescent="0.3">
      <c r="A16" s="20"/>
      <c r="B16" s="21"/>
      <c r="C16" s="21"/>
      <c r="D16" s="21"/>
      <c r="E16" s="22"/>
    </row>
    <row r="17" spans="1:5" ht="15.6" x14ac:dyDescent="0.3">
      <c r="A17" s="20"/>
      <c r="B17" s="21"/>
      <c r="C17" s="21"/>
      <c r="D17" s="21"/>
      <c r="E17" s="22"/>
    </row>
    <row r="18" spans="1:5" ht="13.8" thickBot="1" x14ac:dyDescent="0.3">
      <c r="A18" s="39" t="s">
        <v>20</v>
      </c>
      <c r="B18" s="39"/>
      <c r="C18" s="39"/>
      <c r="D18" s="39"/>
      <c r="E18" s="39"/>
    </row>
    <row r="19" spans="1:5" s="8" customFormat="1" ht="13.8" thickBot="1" x14ac:dyDescent="0.3">
      <c r="A19" s="9" t="s">
        <v>1</v>
      </c>
      <c r="B19" s="10" t="s">
        <v>2</v>
      </c>
      <c r="C19" s="11" t="s">
        <v>3</v>
      </c>
      <c r="D19" s="11" t="s">
        <v>4</v>
      </c>
      <c r="E19" s="12" t="s">
        <v>5</v>
      </c>
    </row>
    <row r="20" spans="1:5" ht="15.6" thickBot="1" x14ac:dyDescent="0.3">
      <c r="A20" s="6">
        <v>10</v>
      </c>
      <c r="B20" s="2" t="s">
        <v>11</v>
      </c>
      <c r="C20" s="3"/>
      <c r="D20" s="18">
        <v>15000</v>
      </c>
      <c r="E20" s="7">
        <f>C20*D20</f>
        <v>0</v>
      </c>
    </row>
    <row r="21" spans="1:5" ht="16.2" thickBot="1" x14ac:dyDescent="0.35">
      <c r="A21" s="42" t="s">
        <v>9</v>
      </c>
      <c r="B21" s="43"/>
      <c r="C21" s="43"/>
      <c r="D21" s="43"/>
      <c r="E21" s="13">
        <f>SUM(E20:E20)</f>
        <v>0</v>
      </c>
    </row>
    <row r="22" spans="1:5" ht="15.6" x14ac:dyDescent="0.3">
      <c r="A22" s="20"/>
      <c r="B22" s="21"/>
      <c r="C22" s="21"/>
      <c r="D22" s="21"/>
      <c r="E22" s="22"/>
    </row>
    <row r="23" spans="1:5" ht="15.6" x14ac:dyDescent="0.3">
      <c r="A23" s="20"/>
      <c r="B23" s="21"/>
      <c r="C23" s="21"/>
      <c r="D23" s="21"/>
      <c r="E23" s="22"/>
    </row>
    <row r="24" spans="1:5" ht="13.8" thickBot="1" x14ac:dyDescent="0.3">
      <c r="A24" s="39" t="s">
        <v>21</v>
      </c>
      <c r="B24" s="39"/>
      <c r="C24" s="39"/>
      <c r="D24" s="39"/>
      <c r="E24" s="39"/>
    </row>
    <row r="25" spans="1:5" s="8" customFormat="1" ht="13.8" thickBot="1" x14ac:dyDescent="0.3">
      <c r="A25" s="9" t="s">
        <v>1</v>
      </c>
      <c r="B25" s="10" t="s">
        <v>2</v>
      </c>
      <c r="C25" s="11" t="s">
        <v>3</v>
      </c>
      <c r="D25" s="11" t="s">
        <v>4</v>
      </c>
      <c r="E25" s="12" t="s">
        <v>5</v>
      </c>
    </row>
    <row r="26" spans="1:5" ht="15.6" thickBot="1" x14ac:dyDescent="0.3">
      <c r="A26" s="6">
        <v>10</v>
      </c>
      <c r="B26" s="2" t="s">
        <v>11</v>
      </c>
      <c r="C26" s="3"/>
      <c r="D26" s="18">
        <v>15500</v>
      </c>
      <c r="E26" s="7">
        <f>C26*D26</f>
        <v>0</v>
      </c>
    </row>
    <row r="27" spans="1:5" ht="16.2" thickBot="1" x14ac:dyDescent="0.35">
      <c r="A27" s="42" t="s">
        <v>9</v>
      </c>
      <c r="B27" s="43"/>
      <c r="C27" s="43"/>
      <c r="D27" s="43"/>
      <c r="E27" s="13">
        <f>SUM(E26:E26)</f>
        <v>0</v>
      </c>
    </row>
    <row r="28" spans="1:5" ht="15.6" x14ac:dyDescent="0.3">
      <c r="A28" s="20"/>
      <c r="B28" s="21"/>
      <c r="C28" s="21"/>
      <c r="D28" s="21"/>
      <c r="E28" s="22"/>
    </row>
    <row r="29" spans="1:5" ht="15.6" x14ac:dyDescent="0.3">
      <c r="A29" s="20"/>
      <c r="B29" s="21"/>
      <c r="C29" s="21"/>
      <c r="D29" s="21"/>
      <c r="E29" s="22"/>
    </row>
    <row r="30" spans="1:5" ht="13.8" thickBot="1" x14ac:dyDescent="0.3">
      <c r="A30" s="39" t="s">
        <v>22</v>
      </c>
      <c r="B30" s="39"/>
      <c r="C30" s="39"/>
      <c r="D30" s="39"/>
      <c r="E30" s="39"/>
    </row>
    <row r="31" spans="1:5" s="8" customFormat="1" ht="13.8" thickBot="1" x14ac:dyDescent="0.3">
      <c r="A31" s="9" t="s">
        <v>1</v>
      </c>
      <c r="B31" s="10" t="s">
        <v>2</v>
      </c>
      <c r="C31" s="11" t="s">
        <v>3</v>
      </c>
      <c r="D31" s="11" t="s">
        <v>4</v>
      </c>
      <c r="E31" s="12" t="s">
        <v>5</v>
      </c>
    </row>
    <row r="32" spans="1:5" ht="15.6" thickBot="1" x14ac:dyDescent="0.3">
      <c r="A32" s="6">
        <v>10</v>
      </c>
      <c r="B32" s="2" t="s">
        <v>11</v>
      </c>
      <c r="C32" s="3"/>
      <c r="D32" s="18">
        <v>16000</v>
      </c>
      <c r="E32" s="7">
        <f>C32*D32</f>
        <v>0</v>
      </c>
    </row>
    <row r="33" spans="1:6" ht="16.2" thickBot="1" x14ac:dyDescent="0.35">
      <c r="A33" s="42" t="s">
        <v>9</v>
      </c>
      <c r="B33" s="43"/>
      <c r="C33" s="43"/>
      <c r="D33" s="43"/>
      <c r="E33" s="13">
        <f>SUM(E32:E32)</f>
        <v>0</v>
      </c>
    </row>
    <row r="34" spans="1:6" x14ac:dyDescent="0.25">
      <c r="A34" s="16"/>
      <c r="B34" s="16"/>
      <c r="C34" s="16"/>
      <c r="D34" s="19"/>
      <c r="F34" s="16"/>
    </row>
    <row r="35" spans="1:6" ht="15.6" x14ac:dyDescent="0.3">
      <c r="A35" s="20"/>
      <c r="B35" s="21"/>
      <c r="C35" s="21"/>
      <c r="D35" s="21"/>
      <c r="E35" s="22"/>
    </row>
    <row r="36" spans="1:6" ht="13.8" thickBot="1" x14ac:dyDescent="0.3">
      <c r="A36" s="39" t="s">
        <v>24</v>
      </c>
      <c r="B36" s="39"/>
      <c r="C36" s="39"/>
      <c r="D36" s="39"/>
      <c r="E36" s="39"/>
    </row>
    <row r="37" spans="1:6" s="8" customFormat="1" ht="13.8" thickBot="1" x14ac:dyDescent="0.3">
      <c r="A37" s="9" t="s">
        <v>1</v>
      </c>
      <c r="B37" s="10" t="s">
        <v>2</v>
      </c>
      <c r="C37" s="11" t="s">
        <v>3</v>
      </c>
      <c r="D37" s="11" t="s">
        <v>4</v>
      </c>
      <c r="E37" s="12" t="s">
        <v>5</v>
      </c>
    </row>
    <row r="38" spans="1:6" ht="15.6" thickBot="1" x14ac:dyDescent="0.3">
      <c r="A38" s="6">
        <v>10</v>
      </c>
      <c r="B38" s="2" t="s">
        <v>11</v>
      </c>
      <c r="C38" s="3"/>
      <c r="D38" s="18">
        <v>16500</v>
      </c>
      <c r="E38" s="7">
        <f>C38*D38</f>
        <v>0</v>
      </c>
    </row>
    <row r="39" spans="1:6" ht="16.2" thickBot="1" x14ac:dyDescent="0.35">
      <c r="A39" s="42" t="s">
        <v>9</v>
      </c>
      <c r="B39" s="43"/>
      <c r="C39" s="43"/>
      <c r="D39" s="43"/>
      <c r="E39" s="13">
        <f>SUM(E38:E38)</f>
        <v>0</v>
      </c>
    </row>
    <row r="42" spans="1:6" x14ac:dyDescent="0.25">
      <c r="D42" s="19" t="s">
        <v>18</v>
      </c>
      <c r="E42" s="24">
        <f>SUM(E39,E33,E27,E21,E15)</f>
        <v>0</v>
      </c>
      <c r="F42" s="16"/>
    </row>
    <row r="43" spans="1:6" x14ac:dyDescent="0.25">
      <c r="F43" s="16"/>
    </row>
  </sheetData>
  <mergeCells count="14">
    <mergeCell ref="A36:E36"/>
    <mergeCell ref="A39:D39"/>
    <mergeCell ref="A18:E18"/>
    <mergeCell ref="A21:D21"/>
    <mergeCell ref="A24:E24"/>
    <mergeCell ref="A27:D27"/>
    <mergeCell ref="A30:E30"/>
    <mergeCell ref="A33:D33"/>
    <mergeCell ref="A15:D15"/>
    <mergeCell ref="A1:E1"/>
    <mergeCell ref="A2:E2"/>
    <mergeCell ref="A3:E3"/>
    <mergeCell ref="B11:E11"/>
    <mergeCell ref="A12:E12"/>
  </mergeCells>
  <pageMargins left="0.75" right="0.75" top="1" bottom="1" header="0.5" footer="0.5"/>
  <pageSetup orientation="portrait" r:id="rId1"/>
  <headerFooter alignWithMargins="0"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DB68-9011-4F7C-84DE-234D94E95AA6}">
  <sheetPr>
    <pageSetUpPr fitToPage="1"/>
  </sheetPr>
  <dimension ref="A1:I37"/>
  <sheetViews>
    <sheetView zoomScaleNormal="100" workbookViewId="0">
      <selection activeCell="A3" sqref="A3:E3"/>
    </sheetView>
  </sheetViews>
  <sheetFormatPr defaultRowHeight="13.2" x14ac:dyDescent="0.25"/>
  <cols>
    <col min="1" max="1" width="17.33203125" customWidth="1"/>
    <col min="2" max="2" width="40.33203125" bestFit="1" customWidth="1"/>
    <col min="3" max="3" width="10.109375" bestFit="1" customWidth="1"/>
    <col min="4" max="4" width="11.5546875" style="15" bestFit="1" customWidth="1"/>
    <col min="5" max="5" width="12.6640625" bestFit="1" customWidth="1"/>
    <col min="9" max="9" width="31.6640625" customWidth="1"/>
  </cols>
  <sheetData>
    <row r="1" spans="1:9" x14ac:dyDescent="0.25">
      <c r="A1" s="44" t="s">
        <v>15</v>
      </c>
      <c r="B1" s="44"/>
      <c r="C1" s="44"/>
      <c r="D1" s="44"/>
      <c r="E1" s="44"/>
    </row>
    <row r="2" spans="1:9" x14ac:dyDescent="0.25">
      <c r="A2" s="44" t="s">
        <v>16</v>
      </c>
      <c r="B2" s="44"/>
      <c r="C2" s="44"/>
      <c r="D2" s="44"/>
      <c r="E2" s="44"/>
    </row>
    <row r="3" spans="1:9" x14ac:dyDescent="0.25">
      <c r="A3" s="44"/>
      <c r="B3" s="44"/>
      <c r="C3" s="44"/>
      <c r="D3" s="44"/>
      <c r="E3" s="44"/>
    </row>
    <row r="4" spans="1:9" x14ac:dyDescent="0.25">
      <c r="A4" s="38"/>
      <c r="B4" s="38"/>
      <c r="C4" s="38"/>
      <c r="D4" s="4"/>
      <c r="E4" s="38"/>
    </row>
    <row r="5" spans="1:9" x14ac:dyDescent="0.25">
      <c r="A5" s="1"/>
      <c r="B5" s="45"/>
      <c r="C5" s="45"/>
      <c r="D5" s="45"/>
      <c r="E5" s="45"/>
    </row>
    <row r="6" spans="1:9" ht="13.8" thickBot="1" x14ac:dyDescent="0.3">
      <c r="A6" s="39" t="s">
        <v>19</v>
      </c>
      <c r="B6" s="39"/>
      <c r="C6" s="39"/>
      <c r="D6" s="39"/>
      <c r="E6" s="39"/>
      <c r="I6" s="16"/>
    </row>
    <row r="7" spans="1:9" s="8" customFormat="1" ht="13.8" thickBot="1" x14ac:dyDescent="0.3">
      <c r="A7" s="9" t="s">
        <v>1</v>
      </c>
      <c r="B7" s="10" t="s">
        <v>2</v>
      </c>
      <c r="C7" s="11" t="s">
        <v>3</v>
      </c>
      <c r="D7" s="11" t="s">
        <v>4</v>
      </c>
      <c r="E7" s="12" t="s">
        <v>5</v>
      </c>
    </row>
    <row r="8" spans="1:9" ht="15.6" thickBot="1" x14ac:dyDescent="0.3">
      <c r="A8" s="6">
        <v>10</v>
      </c>
      <c r="B8" s="2" t="s">
        <v>6</v>
      </c>
      <c r="C8" s="3"/>
      <c r="D8" s="18">
        <v>19100</v>
      </c>
      <c r="E8" s="7">
        <f>C8*D8</f>
        <v>0</v>
      </c>
      <c r="I8" s="23"/>
    </row>
    <row r="9" spans="1:9" ht="16.2" thickBot="1" x14ac:dyDescent="0.35">
      <c r="A9" s="42" t="s">
        <v>9</v>
      </c>
      <c r="B9" s="43"/>
      <c r="C9" s="43"/>
      <c r="D9" s="43"/>
      <c r="E9" s="13">
        <f>SUM(E8:E8)</f>
        <v>0</v>
      </c>
    </row>
    <row r="10" spans="1:9" ht="15.6" x14ac:dyDescent="0.3">
      <c r="A10" s="20"/>
      <c r="B10" s="21"/>
      <c r="C10" s="21"/>
      <c r="D10" s="21"/>
      <c r="E10" s="22"/>
    </row>
    <row r="11" spans="1:9" ht="15.6" x14ac:dyDescent="0.3">
      <c r="A11" s="20"/>
      <c r="B11" s="21"/>
      <c r="C11" s="21"/>
      <c r="D11" s="21"/>
      <c r="E11" s="22"/>
    </row>
    <row r="12" spans="1:9" ht="13.8" thickBot="1" x14ac:dyDescent="0.3">
      <c r="A12" s="39" t="s">
        <v>20</v>
      </c>
      <c r="B12" s="39"/>
      <c r="C12" s="39"/>
      <c r="D12" s="39"/>
      <c r="E12" s="39"/>
    </row>
    <row r="13" spans="1:9" s="8" customFormat="1" ht="13.8" thickBot="1" x14ac:dyDescent="0.3">
      <c r="A13" s="9" t="s">
        <v>1</v>
      </c>
      <c r="B13" s="10" t="s">
        <v>2</v>
      </c>
      <c r="C13" s="11" t="s">
        <v>3</v>
      </c>
      <c r="D13" s="11" t="s">
        <v>4</v>
      </c>
      <c r="E13" s="12" t="s">
        <v>5</v>
      </c>
    </row>
    <row r="14" spans="1:9" ht="15.6" thickBot="1" x14ac:dyDescent="0.3">
      <c r="A14" s="6">
        <v>10</v>
      </c>
      <c r="B14" s="2" t="s">
        <v>6</v>
      </c>
      <c r="C14" s="3"/>
      <c r="D14" s="18">
        <v>19100</v>
      </c>
      <c r="E14" s="7">
        <f>C14*D14</f>
        <v>0</v>
      </c>
    </row>
    <row r="15" spans="1:9" ht="16.2" thickBot="1" x14ac:dyDescent="0.35">
      <c r="A15" s="42" t="s">
        <v>9</v>
      </c>
      <c r="B15" s="43"/>
      <c r="C15" s="43"/>
      <c r="D15" s="43"/>
      <c r="E15" s="13">
        <f>SUM(E14:E14)</f>
        <v>0</v>
      </c>
    </row>
    <row r="16" spans="1:9" ht="15.6" x14ac:dyDescent="0.3">
      <c r="A16" s="20"/>
      <c r="B16" s="21"/>
      <c r="C16" s="21"/>
      <c r="D16" s="21"/>
      <c r="E16" s="22"/>
    </row>
    <row r="17" spans="1:6" ht="15.6" x14ac:dyDescent="0.3">
      <c r="A17" s="20"/>
      <c r="B17" s="21"/>
      <c r="C17" s="21"/>
      <c r="D17" s="21"/>
      <c r="E17" s="22"/>
    </row>
    <row r="18" spans="1:6" ht="13.8" thickBot="1" x14ac:dyDescent="0.3">
      <c r="A18" s="39" t="s">
        <v>21</v>
      </c>
      <c r="B18" s="39"/>
      <c r="C18" s="39"/>
      <c r="D18" s="39"/>
      <c r="E18" s="39"/>
    </row>
    <row r="19" spans="1:6" s="8" customFormat="1" ht="13.8" thickBot="1" x14ac:dyDescent="0.3">
      <c r="A19" s="9" t="s">
        <v>1</v>
      </c>
      <c r="B19" s="10" t="s">
        <v>2</v>
      </c>
      <c r="C19" s="11" t="s">
        <v>3</v>
      </c>
      <c r="D19" s="11" t="s">
        <v>4</v>
      </c>
      <c r="E19" s="12" t="s">
        <v>5</v>
      </c>
    </row>
    <row r="20" spans="1:6" ht="15.6" thickBot="1" x14ac:dyDescent="0.3">
      <c r="A20" s="6">
        <v>10</v>
      </c>
      <c r="B20" s="2" t="s">
        <v>6</v>
      </c>
      <c r="C20" s="3"/>
      <c r="D20" s="18">
        <v>19100</v>
      </c>
      <c r="E20" s="7">
        <f>C20*D20</f>
        <v>0</v>
      </c>
    </row>
    <row r="21" spans="1:6" ht="16.2" thickBot="1" x14ac:dyDescent="0.35">
      <c r="A21" s="42" t="s">
        <v>9</v>
      </c>
      <c r="B21" s="43"/>
      <c r="C21" s="43"/>
      <c r="D21" s="43"/>
      <c r="E21" s="13">
        <f>SUM(E20:E20)</f>
        <v>0</v>
      </c>
    </row>
    <row r="22" spans="1:6" ht="15.6" x14ac:dyDescent="0.3">
      <c r="A22" s="20"/>
      <c r="B22" s="21"/>
      <c r="C22" s="21"/>
      <c r="D22" s="21"/>
      <c r="E22" s="22"/>
    </row>
    <row r="23" spans="1:6" ht="15.6" x14ac:dyDescent="0.3">
      <c r="A23" s="20"/>
      <c r="B23" s="21"/>
      <c r="C23" s="21"/>
      <c r="D23" s="21"/>
      <c r="E23" s="22"/>
    </row>
    <row r="24" spans="1:6" ht="13.8" thickBot="1" x14ac:dyDescent="0.3">
      <c r="A24" s="39" t="s">
        <v>22</v>
      </c>
      <c r="B24" s="39"/>
      <c r="C24" s="39"/>
      <c r="D24" s="39"/>
      <c r="E24" s="39"/>
    </row>
    <row r="25" spans="1:6" s="8" customFormat="1" ht="13.8" thickBot="1" x14ac:dyDescent="0.3">
      <c r="A25" s="9" t="s">
        <v>1</v>
      </c>
      <c r="B25" s="10" t="s">
        <v>2</v>
      </c>
      <c r="C25" s="11" t="s">
        <v>3</v>
      </c>
      <c r="D25" s="11" t="s">
        <v>4</v>
      </c>
      <c r="E25" s="12" t="s">
        <v>5</v>
      </c>
    </row>
    <row r="26" spans="1:6" ht="15.6" thickBot="1" x14ac:dyDescent="0.3">
      <c r="A26" s="6">
        <v>10</v>
      </c>
      <c r="B26" s="2" t="s">
        <v>6</v>
      </c>
      <c r="C26" s="3"/>
      <c r="D26" s="18">
        <v>19100</v>
      </c>
      <c r="E26" s="7">
        <f>C26*D26</f>
        <v>0</v>
      </c>
    </row>
    <row r="27" spans="1:6" ht="16.2" thickBot="1" x14ac:dyDescent="0.35">
      <c r="A27" s="42" t="s">
        <v>9</v>
      </c>
      <c r="B27" s="43"/>
      <c r="C27" s="43"/>
      <c r="D27" s="43"/>
      <c r="E27" s="13">
        <f>SUM(E26:E26)</f>
        <v>0</v>
      </c>
    </row>
    <row r="28" spans="1:6" x14ac:dyDescent="0.25">
      <c r="A28" s="16"/>
      <c r="B28" s="16"/>
      <c r="C28" s="16"/>
      <c r="D28" s="19"/>
      <c r="F28" s="16"/>
    </row>
    <row r="29" spans="1:6" ht="15.6" x14ac:dyDescent="0.3">
      <c r="A29" s="20"/>
      <c r="B29" s="21"/>
      <c r="C29" s="21"/>
      <c r="D29" s="21"/>
      <c r="E29" s="22"/>
    </row>
    <row r="30" spans="1:6" ht="13.8" thickBot="1" x14ac:dyDescent="0.3">
      <c r="A30" s="39" t="s">
        <v>23</v>
      </c>
      <c r="B30" s="39"/>
      <c r="C30" s="39"/>
      <c r="D30" s="39"/>
      <c r="E30" s="39"/>
    </row>
    <row r="31" spans="1:6" s="8" customFormat="1" ht="13.8" thickBot="1" x14ac:dyDescent="0.3">
      <c r="A31" s="9" t="s">
        <v>1</v>
      </c>
      <c r="B31" s="10" t="s">
        <v>2</v>
      </c>
      <c r="C31" s="11" t="s">
        <v>3</v>
      </c>
      <c r="D31" s="11" t="s">
        <v>4</v>
      </c>
      <c r="E31" s="12" t="s">
        <v>5</v>
      </c>
    </row>
    <row r="32" spans="1:6" ht="15.6" thickBot="1" x14ac:dyDescent="0.3">
      <c r="A32" s="6">
        <v>10</v>
      </c>
      <c r="B32" s="2" t="s">
        <v>6</v>
      </c>
      <c r="C32" s="3"/>
      <c r="D32" s="18">
        <v>19100</v>
      </c>
      <c r="E32" s="7">
        <f>C32*D32</f>
        <v>0</v>
      </c>
    </row>
    <row r="33" spans="1:6" ht="16.2" thickBot="1" x14ac:dyDescent="0.35">
      <c r="A33" s="42" t="s">
        <v>9</v>
      </c>
      <c r="B33" s="43"/>
      <c r="C33" s="43"/>
      <c r="D33" s="43"/>
      <c r="E33" s="13">
        <f>SUM(E32:E32)</f>
        <v>0</v>
      </c>
    </row>
    <row r="36" spans="1:6" x14ac:dyDescent="0.25">
      <c r="D36" s="19" t="s">
        <v>18</v>
      </c>
      <c r="E36" s="24">
        <f>SUM(E33,E27,E21,E15,E9)</f>
        <v>0</v>
      </c>
      <c r="F36" s="16"/>
    </row>
    <row r="37" spans="1:6" x14ac:dyDescent="0.25">
      <c r="F37" s="16"/>
    </row>
  </sheetData>
  <mergeCells count="14">
    <mergeCell ref="A30:E30"/>
    <mergeCell ref="A33:D33"/>
    <mergeCell ref="A12:E12"/>
    <mergeCell ref="A15:D15"/>
    <mergeCell ref="A18:E18"/>
    <mergeCell ref="A21:D21"/>
    <mergeCell ref="A24:E24"/>
    <mergeCell ref="A27:D27"/>
    <mergeCell ref="A9:D9"/>
    <mergeCell ref="A1:E1"/>
    <mergeCell ref="A2:E2"/>
    <mergeCell ref="A3:E3"/>
    <mergeCell ref="B5:E5"/>
    <mergeCell ref="A6:E6"/>
  </mergeCells>
  <pageMargins left="0.75" right="0.75" top="1" bottom="1" header="0.5" footer="0.5"/>
  <pageSetup orientation="portrait" r:id="rId1"/>
  <headerFooter alignWithMargins="0">
    <oddFooter>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6F41696949D478E5F8A78409BBFDB" ma:contentTypeVersion="10" ma:contentTypeDescription="Create a new document." ma:contentTypeScope="" ma:versionID="9658114ebcb9ad780fc378b4fcb301bd">
  <xsd:schema xmlns:xsd="http://www.w3.org/2001/XMLSchema" xmlns:xs="http://www.w3.org/2001/XMLSchema" xmlns:p="http://schemas.microsoft.com/office/2006/metadata/properties" xmlns:ns2="5416bd66-1cd8-4b51-a1d7-1105f62ce1cd" targetNamespace="http://schemas.microsoft.com/office/2006/metadata/properties" ma:root="true" ma:fieldsID="7137181ad90cf594b29359a06318723d" ns2:_="">
    <xsd:import namespace="5416bd66-1cd8-4b51-a1d7-1105f62ce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6bd66-1cd8-4b51-a1d7-1105f62ce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5b410f2-7b71-4bcf-a015-f75040213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16bd66-1cd8-4b51-a1d7-1105f62ce1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AB1C6C-71C7-4418-877E-9F8A97148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16bd66-1cd8-4b51-a1d7-1105f62ce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5A7359-272D-4999-B65B-E9187AD14CAF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5416bd66-1cd8-4b51-a1d7-1105f62ce1cd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E6834DC-1CAF-4F4F-A96A-3D52AC5BA41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Combined</vt:lpstr>
      <vt:lpstr>Fingerprints - HC</vt:lpstr>
      <vt:lpstr>Fingerprints  - OIT_MGD</vt:lpstr>
      <vt:lpstr>Fingerprints  - OPR</vt:lpstr>
    </vt:vector>
  </TitlesOfParts>
  <Manager/>
  <Company>Customs and Border Protection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Authorized User</dc:creator>
  <cp:keywords/>
  <dc:description/>
  <cp:lastModifiedBy>KIRBY, RICHARD M</cp:lastModifiedBy>
  <cp:revision/>
  <dcterms:created xsi:type="dcterms:W3CDTF">2009-05-03T15:29:11Z</dcterms:created>
  <dcterms:modified xsi:type="dcterms:W3CDTF">2026-03-03T18:54:45Z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0x0101001EC6F41696949D478E5F8A78409BBFDB</vt:lpwstr>
  </property>
  <property fmtid="{D5CDD505-2E9C-101B-9397-08002B2CF9AE}" pid="3" name="Order">
    <vt:r8>13230600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AuditPrep">
    <vt:r8>0</vt:r8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