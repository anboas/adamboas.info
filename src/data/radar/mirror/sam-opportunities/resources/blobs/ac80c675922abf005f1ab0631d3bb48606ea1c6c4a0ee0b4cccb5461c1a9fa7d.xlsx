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P:\Solicitations &amp; RFPs\2026 RFQs and Solicitations\2026-R-058 (RFQ) Oracle Peoplesoft Renewal\"/>
    </mc:Choice>
  </mc:AlternateContent>
  <xr:revisionPtr revIDLastSave="0" documentId="8_{46FA0C28-F8E5-4603-8FE1-F45E50B4A08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 PRICING TAB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17" i="1"/>
  <c r="H27" i="1"/>
  <c r="H29" i="1"/>
  <c r="H26" i="1"/>
  <c r="H25" i="1"/>
  <c r="H24" i="1"/>
  <c r="H23" i="1"/>
  <c r="H22" i="1"/>
  <c r="H18" i="1"/>
  <c r="H19" i="1"/>
  <c r="H20" i="1"/>
  <c r="H13" i="1" l="1"/>
  <c r="H14" i="1"/>
  <c r="H15" i="1"/>
  <c r="H16" i="1"/>
  <c r="H12" i="1"/>
</calcChain>
</file>

<file path=xl/sharedStrings.xml><?xml version="1.0" encoding="utf-8"?>
<sst xmlns="http://schemas.openxmlformats.org/spreadsheetml/2006/main" count="91" uniqueCount="64">
  <si>
    <t xml:space="preserve">SAA Request for Quotation </t>
  </si>
  <si>
    <t>PRICING TABLE</t>
  </si>
  <si>
    <t xml:space="preserve">1) The U.S. Senate Office of the Sergeant at Arms (SAA) requests a quotation for the products or services specified below. THE ENTIRE REQUEST FOR QUOTATION (RFQ) CONSISTS OF THIS PRICING TABLE, INSTRUCTIONS &amp; SUBMISSION REQUIREMENTS, CONTRACT CLAUSES, AND ADDENDUM TO COMMERCIAL AGREEMENTS (IF APPLICABLE).
</t>
  </si>
  <si>
    <t xml:space="preserve">2) The Offeror shall provide a quotation for the products or services listed below on a Firm-Fixed-Price basis. Shipping shall be on a F.O.B. Destination basis, United States Senate, Washington, DC 20510, and Offeror shall identify separately any shipping/handling charges. 
</t>
  </si>
  <si>
    <t xml:space="preserve">3) Offeror shall state below if quotation is Open Market, or subject to a GSA Schedule/NASA SEWP/Other GWAC.
</t>
  </si>
  <si>
    <t>5) The SAA reserves the right to reject Offeror’s quotation if not compliant with the INSTRUCTIONS &amp; SUBMISSION REQUIREMENTS of this RFQ.</t>
  </si>
  <si>
    <t>All prices are shown in USD</t>
  </si>
  <si>
    <t>Line Item #</t>
  </si>
  <si>
    <t>CSI</t>
  </si>
  <si>
    <t>Manufacturer / 
Part Number</t>
  </si>
  <si>
    <t>Description</t>
  </si>
  <si>
    <t>Unit of Measure</t>
  </si>
  <si>
    <t>Quantity</t>
  </si>
  <si>
    <t>Unit Price</t>
  </si>
  <si>
    <t>Total Price</t>
  </si>
  <si>
    <t>0001</t>
  </si>
  <si>
    <t>L37821</t>
  </si>
  <si>
    <t>Oracle Application Management Pack for PeopleSoft - Processor Perpetual</t>
  </si>
  <si>
    <t>Each</t>
  </si>
  <si>
    <t>0002</t>
  </si>
  <si>
    <t>L17641</t>
  </si>
  <si>
    <t>Websphere for PeopleSoft Enterprise (Mfr is International Business Machines Corporation; Third Party Program)</t>
  </si>
  <si>
    <t>0003</t>
  </si>
  <si>
    <t>L32530</t>
  </si>
  <si>
    <t>PeopleSoft Enterprise Interaction Hub - Enterprise $M in Revenue Perpetual</t>
  </si>
  <si>
    <t>0004</t>
  </si>
  <si>
    <t>L32430</t>
  </si>
  <si>
    <t>PeopleSoft Enterprise Directory Interface - Enterprise Employee Perpetual</t>
  </si>
  <si>
    <t>0005</t>
  </si>
  <si>
    <t>L46774</t>
  </si>
  <si>
    <t>PeopleSoft Enterprise Benefits Administration - Enterprise Employee Perpetual</t>
  </si>
  <si>
    <t>0006</t>
  </si>
  <si>
    <t>L32422</t>
  </si>
  <si>
    <t>PeopleSoft Enterprise Human Resources - Enterprise Employee Perpetual</t>
  </si>
  <si>
    <t>0007</t>
  </si>
  <si>
    <t>L32423</t>
  </si>
  <si>
    <t>PeopleSoft Enterprise Payroll - Enterprise Employee Perpetual</t>
  </si>
  <si>
    <t>0008</t>
  </si>
  <si>
    <t>A90611</t>
  </si>
  <si>
    <t>Oracle Database Enterprise Edition - Processor Perpetual</t>
  </si>
  <si>
    <t>0009</t>
  </si>
  <si>
    <t>L32436</t>
  </si>
  <si>
    <t>PeopleSoft Enterprise HCM Warehouse - Enterprise Employee Perpetual</t>
  </si>
  <si>
    <t>0010</t>
  </si>
  <si>
    <t>L34797</t>
  </si>
  <si>
    <t>Micro Focus Visual COBOL for Windows for 2 Named Users 
(Mfr is Microfocus; Third Party Program)</t>
  </si>
  <si>
    <t>0011</t>
  </si>
  <si>
    <t>0012</t>
  </si>
  <si>
    <t>0013</t>
  </si>
  <si>
    <t>0014</t>
  </si>
  <si>
    <t>0015</t>
  </si>
  <si>
    <t>0016</t>
  </si>
  <si>
    <t>TOTAL</t>
  </si>
  <si>
    <t>MANDATORY VENDOR INFORMATION:</t>
  </si>
  <si>
    <t>Company Name:</t>
  </si>
  <si>
    <t>Open Market/GSA/NASA SEWP:</t>
  </si>
  <si>
    <t xml:space="preserve">TAX ID NO.:  </t>
  </si>
  <si>
    <t>DUNS or Unique Entity Identifier :</t>
  </si>
  <si>
    <t>Signature:</t>
  </si>
  <si>
    <t>Printed Name/Title/Date:</t>
  </si>
  <si>
    <t>Pricing Table V1 | December 2020</t>
  </si>
  <si>
    <t>Period of Performance - 05/30/2025 to 05/29/2026</t>
  </si>
  <si>
    <t xml:space="preserve">4) Price quotes shall be valid until 06/01/2026.
</t>
  </si>
  <si>
    <t>2026-R-058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</si>
</sst>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\$#,##0.00"/>
    <numFmt numFmtId="165" formatCode="&quot;$&quot;#,##0.00"/>
  </numFmts>
  <fonts count="16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</font>
    <font>
      <sz val="11"/>
      <color rgb="FF000000"/>
      <name val="Calibri"/>
      <family val="2"/>
      <charset val="1"/>
    </font>
    <font>
      <sz val="10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i/>
      <sz val="12"/>
      <name val="Arial"/>
      <family val="2"/>
    </font>
    <font>
      <b/>
      <i/>
      <sz val="10"/>
      <name val="Arial"/>
      <family val="2"/>
    </font>
    <font>
      <sz val="12"/>
      <name val="Arial"/>
      <family val="2"/>
    </font>
    <font>
      <sz val="11"/>
      <color rgb="FF000000"/>
      <name val="Arial"/>
      <family val="2"/>
    </font>
    <font>
      <sz val="10"/>
      <color rgb="FFC00000"/>
      <name val="Arial"/>
      <family val="2"/>
    </font>
    <font>
      <b/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FFC000"/>
        <bgColor rgb="FFFF9900"/>
      </patternFill>
    </fill>
    <fill>
      <patternFill patternType="solid">
        <fgColor rgb="FFADB9CA"/>
        <bgColor rgb="FFBFBFBF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theme="6"/>
        <bgColor indexed="64"/>
      </patternFill>
    </fill>
  </fills>
  <borders count="28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/>
      <diagonal/>
    </border>
    <border>
      <left style="thin">
        <color indexed="64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44" fontId="3" fillId="0" borderId="0" applyFont="0" applyFill="0" applyBorder="0" applyAlignment="0" applyProtection="0"/>
  </cellStyleXfs>
  <cellXfs count="76">
    <xf numFmtId="0" fontId="0" fillId="0" borderId="0" xfId="0"/>
    <xf numFmtId="0" fontId="4" fillId="0" borderId="0" xfId="1" applyFont="1"/>
    <xf numFmtId="0" fontId="6" fillId="0" borderId="3" xfId="3" applyFont="1" applyBorder="1" applyAlignment="1">
      <alignment horizontal="center"/>
    </xf>
    <xf numFmtId="0" fontId="8" fillId="0" borderId="0" xfId="1" applyFont="1"/>
    <xf numFmtId="0" fontId="4" fillId="5" borderId="8" xfId="1" applyFont="1" applyFill="1" applyBorder="1"/>
    <xf numFmtId="0" fontId="6" fillId="5" borderId="9" xfId="1" applyFont="1" applyFill="1" applyBorder="1" applyAlignment="1">
      <alignment horizontal="center" wrapText="1"/>
    </xf>
    <xf numFmtId="0" fontId="4" fillId="0" borderId="0" xfId="1" applyFont="1" applyAlignment="1">
      <alignment horizontal="center"/>
    </xf>
    <xf numFmtId="0" fontId="12" fillId="0" borderId="0" xfId="1" applyFont="1"/>
    <xf numFmtId="0" fontId="13" fillId="0" borderId="0" xfId="0" applyFont="1"/>
    <xf numFmtId="0" fontId="4" fillId="5" borderId="21" xfId="1" applyFont="1" applyFill="1" applyBorder="1"/>
    <xf numFmtId="0" fontId="9" fillId="4" borderId="21" xfId="1" applyFont="1" applyFill="1" applyBorder="1" applyAlignment="1">
      <alignment horizontal="center" wrapText="1"/>
    </xf>
    <xf numFmtId="0" fontId="9" fillId="4" borderId="22" xfId="1" applyFont="1" applyFill="1" applyBorder="1" applyAlignment="1">
      <alignment horizontal="center" wrapText="1"/>
    </xf>
    <xf numFmtId="0" fontId="4" fillId="0" borderId="0" xfId="1" applyFont="1" applyAlignment="1">
      <alignment vertical="top"/>
    </xf>
    <xf numFmtId="165" fontId="12" fillId="6" borderId="23" xfId="4" applyNumberFormat="1" applyFont="1" applyFill="1" applyBorder="1"/>
    <xf numFmtId="0" fontId="4" fillId="5" borderId="9" xfId="1" applyFont="1" applyFill="1" applyBorder="1"/>
    <xf numFmtId="0" fontId="9" fillId="4" borderId="8" xfId="1" applyFont="1" applyFill="1" applyBorder="1" applyAlignment="1">
      <alignment horizontal="center" wrapText="1"/>
    </xf>
    <xf numFmtId="49" fontId="2" fillId="0" borderId="24" xfId="1" quotePrefix="1" applyNumberFormat="1" applyFont="1" applyBorder="1" applyAlignment="1">
      <alignment horizontal="center"/>
    </xf>
    <xf numFmtId="0" fontId="4" fillId="0" borderId="24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wrapText="1"/>
    </xf>
    <xf numFmtId="0" fontId="4" fillId="0" borderId="24" xfId="1" applyFont="1" applyBorder="1" applyAlignment="1">
      <alignment horizontal="center"/>
    </xf>
    <xf numFmtId="164" fontId="4" fillId="0" borderId="24" xfId="1" applyNumberFormat="1" applyFont="1" applyBorder="1" applyAlignment="1">
      <alignment horizontal="right" wrapText="1"/>
    </xf>
    <xf numFmtId="0" fontId="2" fillId="3" borderId="25" xfId="1" applyFont="1" applyFill="1" applyBorder="1" applyAlignment="1">
      <alignment horizontal="center" wrapText="1"/>
    </xf>
    <xf numFmtId="0" fontId="9" fillId="3" borderId="26" xfId="1" applyFont="1" applyFill="1" applyBorder="1" applyAlignment="1">
      <alignment horizontal="center" wrapText="1"/>
    </xf>
    <xf numFmtId="0" fontId="11" fillId="3" borderId="26" xfId="1" applyFont="1" applyFill="1" applyBorder="1" applyAlignment="1">
      <alignment horizontal="center" wrapText="1"/>
    </xf>
    <xf numFmtId="0" fontId="9" fillId="3" borderId="27" xfId="1" applyFont="1" applyFill="1" applyBorder="1" applyAlignment="1">
      <alignment horizontal="center" wrapText="1"/>
    </xf>
    <xf numFmtId="3" fontId="4" fillId="0" borderId="24" xfId="0" applyNumberFormat="1" applyFont="1" applyBorder="1" applyAlignment="1">
      <alignment horizontal="center" wrapText="1"/>
    </xf>
    <xf numFmtId="0" fontId="11" fillId="0" borderId="24" xfId="1" applyFont="1" applyBorder="1" applyAlignment="1">
      <alignment horizontal="center"/>
    </xf>
    <xf numFmtId="0" fontId="15" fillId="0" borderId="0" xfId="0" applyFont="1"/>
    <xf numFmtId="0" fontId="5" fillId="0" borderId="3" xfId="3" applyFont="1" applyBorder="1" applyAlignment="1">
      <alignment horizontal="right"/>
    </xf>
    <xf numFmtId="0" fontId="5" fillId="0" borderId="17" xfId="3" applyFont="1" applyBorder="1" applyAlignment="1">
      <alignment horizontal="right"/>
    </xf>
    <xf numFmtId="0" fontId="4" fillId="0" borderId="21" xfId="3" applyFont="1" applyBorder="1" applyAlignment="1" applyProtection="1">
      <alignment vertical="top" wrapText="1"/>
      <protection locked="0"/>
    </xf>
    <xf numFmtId="0" fontId="14" fillId="0" borderId="8" xfId="3" applyFont="1" applyBorder="1" applyAlignment="1" applyProtection="1">
      <alignment vertical="top" wrapText="1"/>
      <protection locked="0"/>
    </xf>
    <xf numFmtId="0" fontId="14" fillId="0" borderId="22" xfId="3" applyFont="1" applyBorder="1" applyAlignment="1" applyProtection="1">
      <alignment vertical="top" wrapText="1"/>
      <protection locked="0"/>
    </xf>
    <xf numFmtId="0" fontId="5" fillId="0" borderId="4" xfId="3" applyFont="1" applyBorder="1" applyAlignment="1">
      <alignment horizontal="left"/>
    </xf>
    <xf numFmtId="0" fontId="5" fillId="0" borderId="15" xfId="3" applyFont="1" applyBorder="1" applyAlignment="1">
      <alignment horizontal="left"/>
    </xf>
    <xf numFmtId="0" fontId="5" fillId="0" borderId="13" xfId="3" applyFont="1" applyBorder="1" applyAlignment="1">
      <alignment horizontal="center"/>
    </xf>
    <xf numFmtId="0" fontId="5" fillId="0" borderId="18" xfId="3" applyFont="1" applyBorder="1" applyAlignment="1">
      <alignment horizontal="center"/>
    </xf>
    <xf numFmtId="0" fontId="7" fillId="0" borderId="20" xfId="2" applyFont="1" applyBorder="1" applyAlignment="1" applyProtection="1">
      <alignment vertical="top" wrapText="1"/>
      <protection locked="0"/>
    </xf>
    <xf numFmtId="0" fontId="7" fillId="0" borderId="10" xfId="2" applyFont="1" applyBorder="1" applyAlignment="1" applyProtection="1">
      <alignment vertical="top" wrapText="1"/>
      <protection locked="0"/>
    </xf>
    <xf numFmtId="0" fontId="7" fillId="0" borderId="16" xfId="2" applyFont="1" applyBorder="1" applyAlignment="1" applyProtection="1">
      <alignment vertical="top" wrapText="1"/>
      <protection locked="0"/>
    </xf>
    <xf numFmtId="0" fontId="4" fillId="0" borderId="21" xfId="2" applyFont="1" applyBorder="1" applyAlignment="1" applyProtection="1">
      <alignment vertical="center" wrapText="1"/>
      <protection locked="0"/>
    </xf>
    <xf numFmtId="0" fontId="4" fillId="0" borderId="8" xfId="2" applyFont="1" applyBorder="1" applyAlignment="1" applyProtection="1">
      <alignment vertical="center" wrapText="1"/>
      <protection locked="0"/>
    </xf>
    <xf numFmtId="0" fontId="4" fillId="0" borderId="22" xfId="2" applyFont="1" applyBorder="1" applyAlignment="1" applyProtection="1">
      <alignment vertical="center" wrapText="1"/>
      <protection locked="0"/>
    </xf>
    <xf numFmtId="0" fontId="4" fillId="0" borderId="21" xfId="2" applyFont="1" applyBorder="1" applyAlignment="1" applyProtection="1">
      <alignment vertical="top" wrapText="1"/>
      <protection locked="0"/>
    </xf>
    <xf numFmtId="0" fontId="4" fillId="0" borderId="8" xfId="2" applyFont="1" applyBorder="1" applyAlignment="1" applyProtection="1">
      <alignment vertical="top" wrapText="1"/>
      <protection locked="0"/>
    </xf>
    <xf numFmtId="0" fontId="4" fillId="0" borderId="22" xfId="2" applyFont="1" applyBorder="1" applyAlignment="1" applyProtection="1">
      <alignment vertical="top" wrapText="1"/>
      <protection locked="0"/>
    </xf>
    <xf numFmtId="0" fontId="9" fillId="5" borderId="8" xfId="1" applyFont="1" applyFill="1" applyBorder="1" applyAlignment="1">
      <alignment horizontal="center"/>
    </xf>
    <xf numFmtId="0" fontId="9" fillId="5" borderId="22" xfId="1" applyFont="1" applyFill="1" applyBorder="1" applyAlignment="1">
      <alignment horizontal="center"/>
    </xf>
    <xf numFmtId="0" fontId="4" fillId="0" borderId="8" xfId="3" applyFont="1" applyBorder="1" applyAlignment="1" applyProtection="1">
      <alignment vertical="top" wrapText="1"/>
      <protection locked="0"/>
    </xf>
    <xf numFmtId="0" fontId="4" fillId="0" borderId="22" xfId="3" applyFont="1" applyBorder="1" applyAlignment="1" applyProtection="1">
      <alignment vertical="top" wrapText="1"/>
      <protection locked="0"/>
    </xf>
    <xf numFmtId="0" fontId="5" fillId="0" borderId="19" xfId="3" applyFont="1" applyBorder="1" applyAlignment="1">
      <alignment horizontal="center"/>
    </xf>
    <xf numFmtId="0" fontId="5" fillId="0" borderId="7" xfId="3" applyFont="1" applyBorder="1" applyAlignment="1">
      <alignment horizontal="center"/>
    </xf>
    <xf numFmtId="0" fontId="5" fillId="0" borderId="6" xfId="3" applyFont="1" applyBorder="1" applyAlignment="1">
      <alignment horizontal="center"/>
    </xf>
    <xf numFmtId="0" fontId="10" fillId="6" borderId="14" xfId="0" applyFont="1" applyFill="1" applyBorder="1" applyAlignment="1">
      <alignment horizontal="left"/>
    </xf>
    <xf numFmtId="0" fontId="10" fillId="6" borderId="7" xfId="0" applyFont="1" applyFill="1" applyBorder="1" applyAlignment="1">
      <alignment horizontal="left"/>
    </xf>
    <xf numFmtId="0" fontId="10" fillId="6" borderId="12" xfId="0" applyFont="1" applyFill="1" applyBorder="1" applyAlignment="1">
      <alignment horizontal="left"/>
    </xf>
    <xf numFmtId="0" fontId="4" fillId="0" borderId="3" xfId="1" applyFont="1" applyBorder="1" applyAlignment="1">
      <alignment horizontal="left"/>
    </xf>
    <xf numFmtId="0" fontId="12" fillId="2" borderId="5" xfId="2" applyFont="1" applyFill="1" applyBorder="1"/>
    <xf numFmtId="0" fontId="12" fillId="2" borderId="2" xfId="2" applyFont="1" applyFill="1" applyBorder="1"/>
    <xf numFmtId="0" fontId="12" fillId="2" borderId="1" xfId="2" applyFont="1" applyFill="1" applyBorder="1"/>
    <xf numFmtId="49" fontId="2" fillId="7" borderId="24" xfId="1" quotePrefix="1" applyNumberFormat="1" applyFont="1" applyFill="1" applyBorder="1" applyAlignment="1">
      <alignment horizontal="center"/>
    </xf>
    <xf numFmtId="0" fontId="12" fillId="6" borderId="5" xfId="1" applyFont="1" applyFill="1" applyBorder="1"/>
    <xf numFmtId="0" fontId="12" fillId="6" borderId="2" xfId="1" applyFont="1" applyFill="1" applyBorder="1"/>
    <xf numFmtId="0" fontId="12" fillId="6" borderId="11" xfId="1" applyFont="1" applyFill="1" applyBorder="1"/>
    <xf numFmtId="0" fontId="5" fillId="0" borderId="5" xfId="2" applyFont="1" applyBorder="1" applyAlignment="1">
      <alignment horizontal="left"/>
    </xf>
    <xf numFmtId="0" fontId="5" fillId="0" borderId="2" xfId="2" applyFont="1" applyBorder="1" applyAlignment="1">
      <alignment horizontal="left"/>
    </xf>
    <xf numFmtId="0" fontId="5" fillId="0" borderId="1" xfId="2" applyFont="1" applyBorder="1" applyAlignment="1">
      <alignment horizontal="left"/>
    </xf>
    <xf numFmtId="0" fontId="6" fillId="0" borderId="5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5" fillId="0" borderId="5" xfId="2" applyFont="1" applyBorder="1"/>
    <xf numFmtId="0" fontId="5" fillId="0" borderId="2" xfId="2" applyFont="1" applyBorder="1"/>
    <xf numFmtId="0" fontId="5" fillId="0" borderId="1" xfId="2" applyFont="1" applyBorder="1"/>
    <xf numFmtId="0" fontId="6" fillId="0" borderId="5" xfId="1" applyFont="1" applyBorder="1" applyAlignment="1">
      <alignment horizontal="left"/>
    </xf>
    <xf numFmtId="0" fontId="6" fillId="0" borderId="2" xfId="1" applyFont="1" applyBorder="1" applyAlignment="1">
      <alignment horizontal="left"/>
    </xf>
    <xf numFmtId="0" fontId="6" fillId="0" borderId="1" xfId="1" applyFont="1" applyBorder="1" applyAlignment="1">
      <alignment horizontal="left"/>
    </xf>
  </cellXfs>
  <cellStyles count="5">
    <cellStyle name="Currency" xfId="4" builtinId="4"/>
    <cellStyle name="Normal" xfId="0" builtinId="0"/>
    <cellStyle name="Normal 10" xfId="3" xr:uid="{00000000-0005-0000-0000-000002000000}"/>
    <cellStyle name="Normal 2" xfId="1" xr:uid="{00000000-0005-0000-0000-000003000000}"/>
    <cellStyle name="Normal 2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E38"/>
  <sheetViews>
    <sheetView showGridLines="0" tabSelected="1" zoomScaleNormal="100" workbookViewId="0">
      <selection activeCell="A4" sqref="A4:H4"/>
    </sheetView>
  </sheetViews>
  <sheetFormatPr defaultColWidth="15.109375" defaultRowHeight="14.4" x14ac:dyDescent="0.3"/>
  <cols>
    <col min="1" max="1" width="6.6640625" style="1" customWidth="1"/>
    <col min="2" max="3" width="22.6640625" style="1" customWidth="1"/>
    <col min="4" max="4" width="53.33203125" style="1" customWidth="1"/>
    <col min="5" max="5" width="7.88671875" style="6" customWidth="1"/>
    <col min="6" max="6" width="7.6640625" style="1" customWidth="1"/>
    <col min="7" max="7" width="12.6640625" style="1" customWidth="1"/>
    <col min="8" max="8" width="16.6640625" style="1" customWidth="1"/>
    <col min="9" max="9" width="15.109375" customWidth="1"/>
    <col min="33" max="1019" width="15.109375" style="1"/>
    <col min="1020" max="16384" width="15.109375" style="8"/>
  </cols>
  <sheetData>
    <row r="1" spans="1:32" s="1" customFormat="1" ht="15.6" x14ac:dyDescent="0.3">
      <c r="A1" s="33" t="s">
        <v>0</v>
      </c>
      <c r="B1" s="34"/>
      <c r="C1" s="34"/>
      <c r="D1" s="34"/>
      <c r="E1" s="2"/>
      <c r="F1" s="28" t="s">
        <v>63</v>
      </c>
      <c r="G1" s="28"/>
      <c r="H1" s="29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s="1" customFormat="1" ht="15.6" x14ac:dyDescent="0.3">
      <c r="A2" s="35" t="s">
        <v>1</v>
      </c>
      <c r="B2" s="35"/>
      <c r="C2" s="35"/>
      <c r="D2" s="35"/>
      <c r="E2" s="35"/>
      <c r="F2" s="35"/>
      <c r="G2" s="35"/>
      <c r="H2" s="36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s="1" customFormat="1" ht="16.2" thickBot="1" x14ac:dyDescent="0.35">
      <c r="A3" s="50"/>
      <c r="B3" s="51"/>
      <c r="C3" s="51"/>
      <c r="D3" s="51"/>
      <c r="E3" s="51"/>
      <c r="F3" s="51"/>
      <c r="G3" s="51"/>
      <c r="H3" s="52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s="3" customFormat="1" ht="51.75" customHeight="1" x14ac:dyDescent="0.3">
      <c r="A4" s="37" t="s">
        <v>2</v>
      </c>
      <c r="B4" s="38"/>
      <c r="C4" s="38"/>
      <c r="D4" s="38"/>
      <c r="E4" s="38"/>
      <c r="F4" s="38"/>
      <c r="G4" s="38"/>
      <c r="H4" s="39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s="1" customFormat="1" ht="42" customHeight="1" x14ac:dyDescent="0.3">
      <c r="A5" s="40" t="s">
        <v>3</v>
      </c>
      <c r="B5" s="41"/>
      <c r="C5" s="41"/>
      <c r="D5" s="41"/>
      <c r="E5" s="41"/>
      <c r="F5" s="41"/>
      <c r="G5" s="41"/>
      <c r="H5" s="42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s="1" customFormat="1" ht="21" customHeight="1" x14ac:dyDescent="0.3">
      <c r="A6" s="30" t="s">
        <v>4</v>
      </c>
      <c r="B6" s="48"/>
      <c r="C6" s="48"/>
      <c r="D6" s="48"/>
      <c r="E6" s="48"/>
      <c r="F6" s="48"/>
      <c r="G6" s="48"/>
      <c r="H6" s="49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 spans="1:32" s="12" customFormat="1" ht="21" customHeight="1" x14ac:dyDescent="0.3">
      <c r="A7" s="30" t="s">
        <v>62</v>
      </c>
      <c r="B7" s="31"/>
      <c r="C7" s="31"/>
      <c r="D7" s="31"/>
      <c r="E7" s="31"/>
      <c r="F7" s="31"/>
      <c r="G7" s="31"/>
      <c r="H7" s="32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 s="1" customFormat="1" ht="21" customHeight="1" x14ac:dyDescent="0.3">
      <c r="A8" s="43" t="s">
        <v>5</v>
      </c>
      <c r="B8" s="44"/>
      <c r="C8" s="44"/>
      <c r="D8" s="44"/>
      <c r="E8" s="44"/>
      <c r="F8" s="44"/>
      <c r="G8" s="44"/>
      <c r="H8" s="45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 spans="1:32" s="1" customFormat="1" ht="15.6" x14ac:dyDescent="0.3">
      <c r="A9" s="9"/>
      <c r="B9" s="14"/>
      <c r="C9" s="14"/>
      <c r="D9" s="5"/>
      <c r="E9" s="5"/>
      <c r="F9" s="4"/>
      <c r="G9" s="46" t="s">
        <v>6</v>
      </c>
      <c r="H9" s="47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 s="1" customFormat="1" ht="24.6" x14ac:dyDescent="0.3">
      <c r="A10" s="10" t="s">
        <v>7</v>
      </c>
      <c r="B10" s="15" t="s">
        <v>8</v>
      </c>
      <c r="C10" s="15" t="s">
        <v>9</v>
      </c>
      <c r="D10" s="15" t="s">
        <v>10</v>
      </c>
      <c r="E10" s="15" t="s">
        <v>11</v>
      </c>
      <c r="F10" s="15" t="s">
        <v>12</v>
      </c>
      <c r="G10" s="15" t="s">
        <v>13</v>
      </c>
      <c r="H10" s="11" t="s">
        <v>14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2" s="1" customFormat="1" ht="15" thickBot="1" x14ac:dyDescent="0.35">
      <c r="A11" s="21"/>
      <c r="B11" s="22"/>
      <c r="C11" s="22"/>
      <c r="D11" s="23" t="s">
        <v>61</v>
      </c>
      <c r="E11" s="22"/>
      <c r="F11" s="22"/>
      <c r="G11" s="22"/>
      <c r="H11" s="24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2" s="6" customFormat="1" ht="27.6" thickBot="1" x14ac:dyDescent="0.35">
      <c r="A12" s="16" t="s">
        <v>15</v>
      </c>
      <c r="B12" s="17">
        <v>16503988</v>
      </c>
      <c r="C12" s="17" t="s">
        <v>16</v>
      </c>
      <c r="D12" s="18" t="s">
        <v>17</v>
      </c>
      <c r="E12" s="18" t="s">
        <v>18</v>
      </c>
      <c r="F12" s="18">
        <v>4</v>
      </c>
      <c r="G12" s="19"/>
      <c r="H12" s="20">
        <f>F12*G12</f>
        <v>0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pans="1:32" s="6" customFormat="1" ht="27.6" thickBot="1" x14ac:dyDescent="0.35">
      <c r="A13" s="16" t="s">
        <v>19</v>
      </c>
      <c r="B13" s="17">
        <v>16503988</v>
      </c>
      <c r="C13" s="17" t="s">
        <v>20</v>
      </c>
      <c r="D13" s="18" t="s">
        <v>21</v>
      </c>
      <c r="E13" s="18" t="s">
        <v>18</v>
      </c>
      <c r="F13" s="18">
        <v>1</v>
      </c>
      <c r="G13" s="19"/>
      <c r="H13" s="20">
        <f t="shared" ref="H13:H15" si="0">F13*G13</f>
        <v>0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2" s="6" customFormat="1" ht="27.6" thickBot="1" x14ac:dyDescent="0.35">
      <c r="A14" s="16" t="s">
        <v>22</v>
      </c>
      <c r="B14" s="17">
        <v>16503988</v>
      </c>
      <c r="C14" s="17" t="s">
        <v>23</v>
      </c>
      <c r="D14" s="18" t="s">
        <v>24</v>
      </c>
      <c r="E14" s="18" t="s">
        <v>18</v>
      </c>
      <c r="F14" s="18">
        <v>875</v>
      </c>
      <c r="G14" s="19"/>
      <c r="H14" s="20">
        <f t="shared" si="0"/>
        <v>0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2" s="6" customFormat="1" ht="27.6" thickBot="1" x14ac:dyDescent="0.35">
      <c r="A15" s="16" t="s">
        <v>25</v>
      </c>
      <c r="B15" s="17">
        <v>16503988</v>
      </c>
      <c r="C15" s="17" t="s">
        <v>26</v>
      </c>
      <c r="D15" s="18" t="s">
        <v>27</v>
      </c>
      <c r="E15" s="18" t="s">
        <v>18</v>
      </c>
      <c r="F15" s="25">
        <v>7000</v>
      </c>
      <c r="G15" s="19"/>
      <c r="H15" s="20">
        <f t="shared" si="0"/>
        <v>0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2" s="6" customFormat="1" ht="27.6" thickBot="1" x14ac:dyDescent="0.35">
      <c r="A16" s="16" t="s">
        <v>28</v>
      </c>
      <c r="B16" s="17">
        <v>16503988</v>
      </c>
      <c r="C16" s="17" t="s">
        <v>29</v>
      </c>
      <c r="D16" s="18" t="s">
        <v>30</v>
      </c>
      <c r="E16" s="18" t="s">
        <v>18</v>
      </c>
      <c r="F16" s="25">
        <v>7000</v>
      </c>
      <c r="G16" s="26"/>
      <c r="H16" s="20">
        <f>F16*G16</f>
        <v>0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1:32" s="6" customFormat="1" ht="27.6" thickBot="1" x14ac:dyDescent="0.35">
      <c r="A17" s="16" t="s">
        <v>31</v>
      </c>
      <c r="B17" s="17">
        <v>16503988</v>
      </c>
      <c r="C17" s="17" t="s">
        <v>32</v>
      </c>
      <c r="D17" s="18" t="s">
        <v>33</v>
      </c>
      <c r="E17" s="18" t="s">
        <v>18</v>
      </c>
      <c r="F17" s="25">
        <v>7000</v>
      </c>
      <c r="G17" s="19"/>
      <c r="H17" s="20">
        <f>F17*G17</f>
        <v>0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1:32" s="6" customFormat="1" ht="20.399999999999999" customHeight="1" thickBot="1" x14ac:dyDescent="0.35">
      <c r="A18" s="16" t="s">
        <v>34</v>
      </c>
      <c r="B18" s="17">
        <v>16503988</v>
      </c>
      <c r="C18" s="17" t="s">
        <v>35</v>
      </c>
      <c r="D18" s="18" t="s">
        <v>36</v>
      </c>
      <c r="E18" s="18" t="s">
        <v>18</v>
      </c>
      <c r="F18" s="25">
        <v>7000</v>
      </c>
      <c r="G18" s="19"/>
      <c r="H18" s="20">
        <f t="shared" ref="H18:H20" si="1">F18*G18</f>
        <v>0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1:32" s="6" customFormat="1" ht="20.399999999999999" customHeight="1" thickBot="1" x14ac:dyDescent="0.35">
      <c r="A19" s="16" t="s">
        <v>37</v>
      </c>
      <c r="B19" s="17">
        <v>16503988</v>
      </c>
      <c r="C19" s="17" t="s">
        <v>38</v>
      </c>
      <c r="D19" s="18" t="s">
        <v>39</v>
      </c>
      <c r="E19" s="18" t="s">
        <v>18</v>
      </c>
      <c r="F19" s="18">
        <v>4</v>
      </c>
      <c r="G19" s="19"/>
      <c r="H19" s="20">
        <f t="shared" si="1"/>
        <v>0</v>
      </c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1:32" s="6" customFormat="1" ht="27.6" thickBot="1" x14ac:dyDescent="0.35">
      <c r="A20" s="16" t="s">
        <v>40</v>
      </c>
      <c r="B20" s="17">
        <v>16503988</v>
      </c>
      <c r="C20" s="17" t="s">
        <v>41</v>
      </c>
      <c r="D20" s="18" t="s">
        <v>42</v>
      </c>
      <c r="E20" s="18" t="s">
        <v>18</v>
      </c>
      <c r="F20" s="25">
        <v>7000</v>
      </c>
      <c r="G20" s="19"/>
      <c r="H20" s="20">
        <f t="shared" si="1"/>
        <v>0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1:32" s="6" customFormat="1" ht="27.6" thickBot="1" x14ac:dyDescent="0.35">
      <c r="A21" s="16" t="s">
        <v>43</v>
      </c>
      <c r="B21" s="17">
        <v>17670594</v>
      </c>
      <c r="C21" s="17" t="s">
        <v>44</v>
      </c>
      <c r="D21" s="18" t="s">
        <v>45</v>
      </c>
      <c r="E21" s="18" t="s">
        <v>18</v>
      </c>
      <c r="F21" s="18">
        <v>1</v>
      </c>
      <c r="G21" s="19"/>
      <c r="H21" s="20">
        <f>F21*G21</f>
        <v>0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1:32" s="6" customFormat="1" ht="27.6" thickBot="1" x14ac:dyDescent="0.35">
      <c r="A22" s="16" t="s">
        <v>46</v>
      </c>
      <c r="B22" s="17">
        <v>16503988</v>
      </c>
      <c r="C22" s="17" t="s">
        <v>26</v>
      </c>
      <c r="D22" s="18" t="s">
        <v>27</v>
      </c>
      <c r="E22" s="18" t="s">
        <v>18</v>
      </c>
      <c r="F22" s="25">
        <v>700</v>
      </c>
      <c r="G22" s="19"/>
      <c r="H22" s="20">
        <f t="shared" ref="H22" si="2">F22*G22</f>
        <v>0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 s="6" customFormat="1" ht="27.6" thickBot="1" x14ac:dyDescent="0.35">
      <c r="A23" s="16" t="s">
        <v>47</v>
      </c>
      <c r="B23" s="17">
        <v>16503988</v>
      </c>
      <c r="C23" s="17" t="s">
        <v>29</v>
      </c>
      <c r="D23" s="18" t="s">
        <v>30</v>
      </c>
      <c r="E23" s="18" t="s">
        <v>18</v>
      </c>
      <c r="F23" s="25">
        <v>700</v>
      </c>
      <c r="G23" s="26"/>
      <c r="H23" s="20">
        <f>F23*G23</f>
        <v>0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:32" s="6" customFormat="1" ht="27.6" thickBot="1" x14ac:dyDescent="0.35">
      <c r="A24" s="16" t="s">
        <v>48</v>
      </c>
      <c r="B24" s="17">
        <v>16503988</v>
      </c>
      <c r="C24" s="17" t="s">
        <v>32</v>
      </c>
      <c r="D24" s="18" t="s">
        <v>33</v>
      </c>
      <c r="E24" s="18" t="s">
        <v>18</v>
      </c>
      <c r="F24" s="25">
        <v>700</v>
      </c>
      <c r="G24" s="19"/>
      <c r="H24" s="20">
        <f t="shared" ref="H24:H26" si="3">F24*G24</f>
        <v>0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s="6" customFormat="1" ht="20.399999999999999" customHeight="1" thickBot="1" x14ac:dyDescent="0.35">
      <c r="A25" s="16" t="s">
        <v>49</v>
      </c>
      <c r="B25" s="17">
        <v>16503988</v>
      </c>
      <c r="C25" s="17" t="s">
        <v>35</v>
      </c>
      <c r="D25" s="18" t="s">
        <v>36</v>
      </c>
      <c r="E25" s="18" t="s">
        <v>18</v>
      </c>
      <c r="F25" s="25">
        <v>700</v>
      </c>
      <c r="G25" s="19"/>
      <c r="H25" s="20">
        <f t="shared" si="3"/>
        <v>0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 spans="1:32" s="6" customFormat="1" ht="27.6" thickBot="1" x14ac:dyDescent="0.35">
      <c r="A26" s="16" t="s">
        <v>50</v>
      </c>
      <c r="B26" s="17">
        <v>16503988</v>
      </c>
      <c r="C26" s="17" t="s">
        <v>41</v>
      </c>
      <c r="D26" s="18" t="s">
        <v>42</v>
      </c>
      <c r="E26" s="18" t="s">
        <v>18</v>
      </c>
      <c r="F26" s="25">
        <v>700</v>
      </c>
      <c r="G26" s="19"/>
      <c r="H26" s="20">
        <f t="shared" si="3"/>
        <v>0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 spans="1:32" s="6" customFormat="1" ht="27.6" thickBot="1" x14ac:dyDescent="0.35">
      <c r="A27" s="16" t="s">
        <v>51</v>
      </c>
      <c r="B27" s="17">
        <v>17670594</v>
      </c>
      <c r="C27" s="17" t="s">
        <v>44</v>
      </c>
      <c r="D27" s="18" t="s">
        <v>45</v>
      </c>
      <c r="E27" s="18" t="s">
        <v>18</v>
      </c>
      <c r="F27" s="18">
        <v>1</v>
      </c>
      <c r="G27" s="19"/>
      <c r="H27" s="20">
        <f>F27*G27</f>
        <v>0</v>
      </c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 spans="1:32" s="6" customFormat="1" ht="15" thickBot="1" x14ac:dyDescent="0.35">
      <c r="A28" s="60"/>
      <c r="B28" s="60"/>
      <c r="C28" s="60"/>
      <c r="D28" s="60"/>
      <c r="E28" s="60"/>
      <c r="F28" s="60"/>
      <c r="G28" s="60"/>
      <c r="H28" s="60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 spans="1:32" s="7" customFormat="1" ht="16.5" customHeight="1" thickBot="1" x14ac:dyDescent="0.35">
      <c r="A29" s="61"/>
      <c r="B29" s="62"/>
      <c r="C29" s="62"/>
      <c r="D29" s="63"/>
      <c r="E29" s="53" t="s">
        <v>52</v>
      </c>
      <c r="F29" s="54"/>
      <c r="G29" s="55"/>
      <c r="H29" s="13">
        <f>SUM(H12:H27)</f>
        <v>0</v>
      </c>
      <c r="I29" s="27"/>
      <c r="J29" s="27"/>
      <c r="K29" s="27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 spans="1:32" s="7" customFormat="1" ht="16.2" thickBot="1" x14ac:dyDescent="0.35">
      <c r="A30" s="73" t="s">
        <v>53</v>
      </c>
      <c r="B30" s="74"/>
      <c r="C30" s="74"/>
      <c r="D30" s="74"/>
      <c r="E30" s="74"/>
      <c r="F30" s="74"/>
      <c r="G30" s="74"/>
      <c r="H30" s="7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 spans="1:32" s="7" customFormat="1" ht="16.2" thickBot="1" x14ac:dyDescent="0.35">
      <c r="A31" s="67" t="s">
        <v>54</v>
      </c>
      <c r="B31" s="68"/>
      <c r="C31" s="68"/>
      <c r="D31" s="68"/>
      <c r="E31" s="68"/>
      <c r="F31" s="68"/>
      <c r="G31" s="68"/>
      <c r="H31" s="69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</row>
    <row r="32" spans="1:32" s="7" customFormat="1" ht="16.2" thickBot="1" x14ac:dyDescent="0.35">
      <c r="A32" s="64" t="s">
        <v>55</v>
      </c>
      <c r="B32" s="65"/>
      <c r="C32" s="65"/>
      <c r="D32" s="65"/>
      <c r="E32" s="65"/>
      <c r="F32" s="65"/>
      <c r="G32" s="65"/>
      <c r="H32" s="6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</row>
    <row r="33" spans="1:31" s="7" customFormat="1" ht="16.2" thickBot="1" x14ac:dyDescent="0.35">
      <c r="A33" s="70" t="s">
        <v>56</v>
      </c>
      <c r="B33" s="71"/>
      <c r="C33" s="71"/>
      <c r="D33" s="71"/>
      <c r="E33" s="71"/>
      <c r="F33" s="71"/>
      <c r="G33" s="71"/>
      <c r="H33" s="72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</row>
    <row r="34" spans="1:31" s="7" customFormat="1" ht="16.2" thickBot="1" x14ac:dyDescent="0.35">
      <c r="A34" s="70" t="s">
        <v>57</v>
      </c>
      <c r="B34" s="71"/>
      <c r="C34" s="71"/>
      <c r="D34" s="71"/>
      <c r="E34" s="71"/>
      <c r="F34" s="71"/>
      <c r="G34" s="71"/>
      <c r="H34" s="72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</row>
    <row r="35" spans="1:31" s="7" customFormat="1" ht="16.2" thickBot="1" x14ac:dyDescent="0.35">
      <c r="A35" s="57"/>
      <c r="B35" s="58"/>
      <c r="C35" s="58"/>
      <c r="D35" s="58"/>
      <c r="E35" s="58"/>
      <c r="F35" s="58"/>
      <c r="G35" s="58"/>
      <c r="H35" s="59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</row>
    <row r="36" spans="1:31" s="7" customFormat="1" ht="16.2" thickBot="1" x14ac:dyDescent="0.35">
      <c r="A36" s="64" t="s">
        <v>58</v>
      </c>
      <c r="B36" s="65"/>
      <c r="C36" s="65"/>
      <c r="D36" s="65"/>
      <c r="E36" s="65"/>
      <c r="F36" s="65"/>
      <c r="G36" s="65"/>
      <c r="H36" s="6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</row>
    <row r="37" spans="1:31" s="7" customFormat="1" ht="16.2" thickBot="1" x14ac:dyDescent="0.35">
      <c r="A37" s="64" t="s">
        <v>59</v>
      </c>
      <c r="B37" s="65"/>
      <c r="C37" s="65"/>
      <c r="D37" s="65"/>
      <c r="E37" s="65"/>
      <c r="F37" s="65"/>
      <c r="G37" s="65"/>
      <c r="H37" s="66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</row>
    <row r="38" spans="1:31" x14ac:dyDescent="0.3">
      <c r="A38" s="56" t="s">
        <v>60</v>
      </c>
      <c r="B38" s="56"/>
      <c r="C38" s="56"/>
      <c r="D38" s="56"/>
      <c r="E38" s="56"/>
      <c r="F38" s="56"/>
      <c r="G38" s="56"/>
      <c r="H38" s="56"/>
    </row>
  </sheetData>
  <mergeCells count="22">
    <mergeCell ref="A38:H38"/>
    <mergeCell ref="A35:H35"/>
    <mergeCell ref="A28:H28"/>
    <mergeCell ref="A29:D29"/>
    <mergeCell ref="A36:H36"/>
    <mergeCell ref="A37:H37"/>
    <mergeCell ref="A31:H31"/>
    <mergeCell ref="A32:H32"/>
    <mergeCell ref="A33:H33"/>
    <mergeCell ref="A34:H34"/>
    <mergeCell ref="A30:H30"/>
    <mergeCell ref="A8:H8"/>
    <mergeCell ref="G9:H9"/>
    <mergeCell ref="A6:H6"/>
    <mergeCell ref="A3:H3"/>
    <mergeCell ref="E29:G29"/>
    <mergeCell ref="F1:H1"/>
    <mergeCell ref="A7:H7"/>
    <mergeCell ref="A1:D1"/>
    <mergeCell ref="A2:H2"/>
    <mergeCell ref="A4:H4"/>
    <mergeCell ref="A5:H5"/>
  </mergeCells>
  <printOptions horizontalCentered="1"/>
  <pageMargins left="0.5" right="0.5" top="0.5" bottom="0.5" header="0.51180555555555496" footer="0.3"/>
  <pageSetup scale="76" firstPageNumber="0" orientation="portrait" horizontalDpi="300" verticalDpi="300" r:id="rId1"/>
  <headerFooter>
    <oddFooter>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0cf2265-0123-4bdd-b005-f29651438544">
      <Value>4</Value>
    </TaxCatchAll>
    <lcf76f155ced4ddcb4097134ff3c332f xmlns="f0197cb2-fa5d-407e-8d9e-ff0c4ef4ac2c">
      <Terms xmlns="http://schemas.microsoft.com/office/infopath/2007/PartnerControls"/>
    </lcf76f155ced4ddcb4097134ff3c332f>
    <i0f84bba906045b4af568ee102a52dcb xmlns="60cf2265-0123-4bdd-b005-f29651438544">
      <Terms xmlns="http://schemas.microsoft.com/office/infopath/2007/PartnerControls">
        <TermInfo xmlns="http://schemas.microsoft.com/office/infopath/2007/PartnerControls">
          <TermName xmlns="http://schemas.microsoft.com/office/infopath/2007/PartnerControls">SAATeams</TermName>
          <TermId xmlns="http://schemas.microsoft.com/office/infopath/2007/PartnerControls">41c42ab1-b1a9-432c-905b-304b551048c3</TermId>
        </TermInfo>
      </Terms>
    </i0f84bba906045b4af568ee102a52dcb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67B8AF75D78D489A513AB5B80AACBB" ma:contentTypeVersion="17" ma:contentTypeDescription="Create a new document." ma:contentTypeScope="" ma:versionID="e7a4797046fbb4e90673dfda568cf0a4">
  <xsd:schema xmlns:xsd="http://www.w3.org/2001/XMLSchema" xmlns:xs="http://www.w3.org/2001/XMLSchema" xmlns:p="http://schemas.microsoft.com/office/2006/metadata/properties" xmlns:ns2="f0197cb2-fa5d-407e-8d9e-ff0c4ef4ac2c" xmlns:ns3="60cf2265-0123-4bdd-b005-f29651438544" targetNamespace="http://schemas.microsoft.com/office/2006/metadata/properties" ma:root="true" ma:fieldsID="31e67b24074f3935c52a0a4408ff2aa4" ns2:_="" ns3:_="">
    <xsd:import namespace="f0197cb2-fa5d-407e-8d9e-ff0c4ef4ac2c"/>
    <xsd:import namespace="60cf2265-0123-4bdd-b005-f296514385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3:i0f84bba906045b4af568ee102a52dcb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197cb2-fa5d-407e-8d9e-ff0c4ef4ac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6c7ba20-d28d-4670-8008-cb20b00b11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cf2265-0123-4bdd-b005-f2965143854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3f5a4536-2c3c-4077-a3fb-f1982af522c3}" ma:internalName="TaxCatchAll" ma:showField="CatchAllData" ma:web="60cf2265-0123-4bdd-b005-f296514385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i0f84bba906045b4af568ee102a52dcb" ma:index="22" nillable="true" ma:taxonomy="true" ma:internalName="i0f84bba906045b4af568ee102a52dcb" ma:taxonomyFieldName="RevIMBCS" ma:displayName="SAAAvePtGroup" ma:indexed="true" ma:default="4;#SAATeams|41c42ab1-b1a9-432c-905b-304b551048c3" ma:fieldId="{20f84bba-9060-45b4-af56-8ee102a52dcb}" ma:sspId="a6c7ba20-d28d-4670-8008-cb20b00b110c" ma:termSetId="bedebaea-e226-498c-b6ba-62b821ed543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302AAC-7AB7-40E7-8B00-E013A50BB909}">
  <ds:schemaRefs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60cf2265-0123-4bdd-b005-f29651438544"/>
    <ds:schemaRef ds:uri="f0197cb2-fa5d-407e-8d9e-ff0c4ef4ac2c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EFBF81E-429E-4B1E-AC74-5062600D9D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C142E8-8DAB-40DC-A123-9F581955AE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197cb2-fa5d-407e-8d9e-ff0c4ef4ac2c"/>
    <ds:schemaRef ds:uri="60cf2265-0123-4bdd-b005-f296514385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PRICING TABLE</vt:lpstr>
    </vt:vector>
  </TitlesOfParts>
  <Manager/>
  <Company>United States Senate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Hann, Amy (SAA)</dc:creator>
  <cp:keywords/>
  <dc:description/>
  <cp:lastModifiedBy>McDonald, Holly (SAA)</cp:lastModifiedBy>
  <cp:revision/>
  <dcterms:created xsi:type="dcterms:W3CDTF">2020-10-29T14:27:47Z</dcterms:created>
  <dcterms:modified xsi:type="dcterms:W3CDTF">2026-05-08T19:04:26Z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0x0101005A67B8AF75D78D489A513AB5B80AACBB</vt:lpwstr>
  </property>
  <property fmtid="{D5CDD505-2E9C-101B-9397-08002B2CF9AE}" pid="3" name="MediaServiceImageTags">
    <vt:lpwstr/>
  </property>
  <property fmtid="{D5CDD505-2E9C-101B-9397-08002B2CF9AE}" pid="4" name="RevIMBCS">
    <vt:lpwstr>4;#SAATeams|41c42ab1-b1a9-432c-905b-304b551048c3</vt:lpwstr>
  </property>
</Properties>
</file>