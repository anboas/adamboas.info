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ema.net\hqss\OCPOSHARE\INCIDENT SUPPORT\Danielle Sweetney\DOTS VIPR RECOMPETE\(1.5) DRAFT Solicitation\"/>
    </mc:Choice>
  </mc:AlternateContent>
  <xr:revisionPtr revIDLastSave="0" documentId="13_ncr:1_{55E66F81-E0CC-410A-9714-F2522419AC1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" sheetId="12" r:id="rId1"/>
    <sheet name="Base" sheetId="1" r:id="rId2"/>
    <sheet name="OY1" sheetId="13" r:id="rId3"/>
    <sheet name="OY2" sheetId="14" r:id="rId4"/>
    <sheet name="Opt YR 1" sheetId="3" state="hidden" r:id="rId5"/>
    <sheet name="Opt YR 2" sheetId="4" state="hidden" r:id="rId6"/>
    <sheet name="Opt YR 3" sheetId="5" state="hidden" r:id="rId7"/>
    <sheet name="Opt YR 4" sheetId="6" state="hidden" r:id="rId8"/>
  </sheets>
  <definedNames>
    <definedName name="_xlnm._FilterDatabase" localSheetId="1" hidden="1">Base!$A$1:$G$171</definedName>
    <definedName name="_xlnm._FilterDatabase" localSheetId="3" hidden="1">'OY2'!#REF!</definedName>
    <definedName name="_Hlk8638798" localSheetId="0">SUMMARY!#REF!</definedName>
    <definedName name="_xlnm.Print_Area" localSheetId="1">Base!$A$1:$H$173</definedName>
    <definedName name="_xlnm.Print_Area" localSheetId="2">'OY1'!$A$1:$H$173</definedName>
    <definedName name="_xlnm.Print_Area" localSheetId="3">'OY2'!$A$1:$H$173</definedName>
    <definedName name="_xlnm.Print_Area" localSheetId="0">SUMMARY!#REF!</definedName>
    <definedName name="_xlnm.Print_Titles" localSheetId="1">Base!$1:$1</definedName>
    <definedName name="_xlnm.Print_Titles" localSheetId="2">'OY1'!$1:$1</definedName>
    <definedName name="_xlnm.Print_Titles" localSheetId="3">'OY2'!$1:$1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2" l="1"/>
  <c r="D17" i="12"/>
  <c r="D16" i="12"/>
  <c r="D15" i="12"/>
  <c r="G164" i="1"/>
  <c r="G171" i="14"/>
  <c r="G161" i="14"/>
  <c r="G162" i="13"/>
  <c r="G163" i="13"/>
  <c r="G167" i="13"/>
  <c r="G171" i="13"/>
  <c r="G120" i="14"/>
  <c r="G122" i="13"/>
  <c r="G124" i="13"/>
  <c r="G129" i="13"/>
  <c r="G133" i="13"/>
  <c r="G135" i="14"/>
  <c r="G138" i="13"/>
  <c r="G142" i="13"/>
  <c r="G143" i="13"/>
  <c r="G146" i="13"/>
  <c r="G147" i="13"/>
  <c r="G151" i="13"/>
  <c r="G152" i="13"/>
  <c r="G155" i="13"/>
  <c r="G115" i="14"/>
  <c r="G110" i="13"/>
  <c r="G111" i="14"/>
  <c r="G109" i="14"/>
  <c r="G105" i="13"/>
  <c r="G107" i="13"/>
  <c r="G104" i="14"/>
  <c r="G96" i="13"/>
  <c r="G98" i="13"/>
  <c r="G87" i="14"/>
  <c r="G88" i="13"/>
  <c r="G89" i="13"/>
  <c r="G91" i="14"/>
  <c r="G85" i="13"/>
  <c r="G80" i="14"/>
  <c r="G81" i="13"/>
  <c r="G74" i="14"/>
  <c r="G73" i="14"/>
  <c r="G71" i="13"/>
  <c r="G68" i="14"/>
  <c r="G65" i="14"/>
  <c r="G63" i="14"/>
  <c r="G56" i="14"/>
  <c r="G57" i="14"/>
  <c r="G58" i="13"/>
  <c r="G55" i="14"/>
  <c r="G52" i="14"/>
  <c r="G50" i="14"/>
  <c r="G48" i="14"/>
  <c r="G47" i="14"/>
  <c r="G43" i="14"/>
  <c r="G40" i="14"/>
  <c r="G11" i="13"/>
  <c r="G13" i="13"/>
  <c r="G17" i="13"/>
  <c r="G20" i="13"/>
  <c r="G21" i="14"/>
  <c r="G22" i="13"/>
  <c r="G24" i="13"/>
  <c r="G25" i="13"/>
  <c r="G27" i="14"/>
  <c r="G161" i="13"/>
  <c r="G159" i="13"/>
  <c r="G144" i="13"/>
  <c r="G134" i="13"/>
  <c r="G131" i="13"/>
  <c r="G130" i="13"/>
  <c r="G165" i="1"/>
  <c r="G42" i="1"/>
  <c r="B10" i="12" l="1"/>
  <c r="G43" i="13"/>
  <c r="G57" i="13"/>
  <c r="G63" i="13"/>
  <c r="G100" i="13"/>
  <c r="G82" i="13"/>
  <c r="G32" i="13"/>
  <c r="G90" i="13"/>
  <c r="G79" i="13"/>
  <c r="G78" i="13"/>
  <c r="G77" i="13"/>
  <c r="G73" i="13"/>
  <c r="G69" i="13"/>
  <c r="G66" i="13"/>
  <c r="G54" i="13"/>
  <c r="G53" i="13"/>
  <c r="G52" i="13"/>
  <c r="G47" i="13"/>
  <c r="G44" i="13"/>
  <c r="G39" i="13"/>
  <c r="G38" i="13"/>
  <c r="G37" i="13"/>
  <c r="G34" i="13"/>
  <c r="G104" i="13"/>
  <c r="G95" i="13"/>
  <c r="G154" i="13"/>
  <c r="G141" i="13"/>
  <c r="G139" i="13"/>
  <c r="G135" i="13"/>
  <c r="G126" i="13"/>
  <c r="G125" i="13"/>
  <c r="G118" i="13"/>
  <c r="G117" i="13"/>
  <c r="G168" i="13"/>
  <c r="G164" i="13"/>
  <c r="G21" i="13"/>
  <c r="G35" i="13"/>
  <c r="G121" i="13"/>
  <c r="G48" i="13"/>
  <c r="G149" i="13"/>
  <c r="G27" i="13"/>
  <c r="G49" i="13"/>
  <c r="G68" i="13"/>
  <c r="G86" i="13"/>
  <c r="G153" i="13"/>
  <c r="G42" i="13"/>
  <c r="G83" i="13"/>
  <c r="G116" i="13"/>
  <c r="G109" i="13"/>
  <c r="G10" i="13"/>
  <c r="G62" i="13"/>
  <c r="G145" i="13"/>
  <c r="G111" i="13"/>
  <c r="G16" i="13"/>
  <c r="G120" i="13"/>
  <c r="G148" i="13"/>
  <c r="G40" i="13"/>
  <c r="G55" i="13"/>
  <c r="G45" i="13"/>
  <c r="G50" i="13"/>
  <c r="G28" i="13"/>
  <c r="G136" i="13"/>
  <c r="G61" i="13"/>
  <c r="G28" i="14"/>
  <c r="G74" i="13"/>
  <c r="G80" i="13"/>
  <c r="G91" i="13"/>
  <c r="G101" i="13"/>
  <c r="G132" i="13"/>
  <c r="G165" i="13"/>
  <c r="G33" i="13"/>
  <c r="G115" i="13"/>
  <c r="G128" i="13"/>
  <c r="G160" i="13"/>
  <c r="G22" i="14"/>
  <c r="G14" i="13"/>
  <c r="G65" i="13"/>
  <c r="G70" i="13"/>
  <c r="G87" i="13"/>
  <c r="G97" i="13"/>
  <c r="G17" i="14"/>
  <c r="G61" i="14"/>
  <c r="G97" i="14"/>
  <c r="G165" i="14"/>
  <c r="G160" i="14"/>
  <c r="G32" i="14"/>
  <c r="G37" i="14"/>
  <c r="G42" i="14"/>
  <c r="G62" i="14"/>
  <c r="G66" i="14"/>
  <c r="G77" i="14"/>
  <c r="G116" i="14"/>
  <c r="G154" i="14"/>
  <c r="G149" i="14"/>
  <c r="G145" i="14"/>
  <c r="G141" i="14"/>
  <c r="G131" i="14"/>
  <c r="G126" i="14"/>
  <c r="G121" i="14"/>
  <c r="G53" i="14"/>
  <c r="G95" i="14"/>
  <c r="G144" i="14"/>
  <c r="G130" i="14"/>
  <c r="G14" i="14"/>
  <c r="G35" i="14"/>
  <c r="G39" i="14"/>
  <c r="G75" i="14"/>
  <c r="G102" i="14"/>
  <c r="G166" i="14"/>
  <c r="G147" i="14"/>
  <c r="G143" i="14"/>
  <c r="G19" i="13"/>
  <c r="G106" i="13"/>
  <c r="G88" i="14"/>
  <c r="G155" i="14"/>
  <c r="G151" i="14"/>
  <c r="G146" i="14"/>
  <c r="G167" i="14"/>
  <c r="G163" i="14"/>
  <c r="G56" i="13"/>
  <c r="G60" i="13"/>
  <c r="G64" i="13"/>
  <c r="G75" i="13"/>
  <c r="G102" i="13"/>
  <c r="G166" i="13"/>
  <c r="G79" i="14"/>
  <c r="G25" i="14"/>
  <c r="G71" i="14"/>
  <c r="G107" i="14"/>
  <c r="G54" i="14"/>
  <c r="G69" i="14"/>
  <c r="G168" i="14"/>
  <c r="G44" i="14"/>
  <c r="G83" i="14"/>
  <c r="G100" i="14"/>
  <c r="G49" i="14"/>
  <c r="G64" i="14"/>
  <c r="G118" i="14"/>
  <c r="G19" i="14"/>
  <c r="G45" i="14"/>
  <c r="G90" i="14"/>
  <c r="G106" i="14"/>
  <c r="G125" i="14"/>
  <c r="G139" i="14"/>
  <c r="G153" i="14"/>
  <c r="G70" i="14"/>
  <c r="G101" i="14"/>
  <c r="G134" i="14"/>
  <c r="G148" i="14"/>
  <c r="G34" i="14"/>
  <c r="G60" i="14"/>
  <c r="G86" i="14"/>
  <c r="G136" i="14"/>
  <c r="G159" i="14"/>
  <c r="G164" i="14"/>
  <c r="G10" i="14"/>
  <c r="G16" i="14"/>
  <c r="G33" i="14"/>
  <c r="G38" i="14"/>
  <c r="G82" i="14"/>
  <c r="G132" i="14"/>
  <c r="G78" i="14"/>
  <c r="G117" i="14"/>
  <c r="G128" i="14"/>
  <c r="G58" i="14" l="1"/>
  <c r="G129" i="14"/>
  <c r="G156" i="13"/>
  <c r="G169" i="13"/>
  <c r="G89" i="14"/>
  <c r="G112" i="13"/>
  <c r="G122" i="14"/>
  <c r="G138" i="14"/>
  <c r="G110" i="14"/>
  <c r="G96" i="14"/>
  <c r="G13" i="14"/>
  <c r="G85" i="14"/>
  <c r="G11" i="14"/>
  <c r="G98" i="14"/>
  <c r="G142" i="14"/>
  <c r="G92" i="13"/>
  <c r="G124" i="14"/>
  <c r="G105" i="14"/>
  <c r="G133" i="14"/>
  <c r="G152" i="14"/>
  <c r="G24" i="14"/>
  <c r="G81" i="14"/>
  <c r="G162" i="14"/>
  <c r="G169" i="14" s="1"/>
  <c r="G20" i="14"/>
  <c r="G92" i="14" l="1"/>
  <c r="G112" i="14"/>
  <c r="G156" i="14"/>
  <c r="G152" i="1" l="1"/>
  <c r="G153" i="1"/>
  <c r="G154" i="1"/>
  <c r="G155" i="1"/>
  <c r="G151" i="1"/>
  <c r="G149" i="1"/>
  <c r="G148" i="1"/>
  <c r="G147" i="1"/>
  <c r="G146" i="1"/>
  <c r="G145" i="1"/>
  <c r="G144" i="1"/>
  <c r="G143" i="1"/>
  <c r="G142" i="1"/>
  <c r="G141" i="1"/>
  <c r="G130" i="1"/>
  <c r="G131" i="1"/>
  <c r="G132" i="1"/>
  <c r="G133" i="1"/>
  <c r="G134" i="1"/>
  <c r="G135" i="1"/>
  <c r="G136" i="1"/>
  <c r="G129" i="1"/>
  <c r="G128" i="1"/>
  <c r="G121" i="1"/>
  <c r="G122" i="1"/>
  <c r="G120" i="1"/>
  <c r="G50" i="1"/>
  <c r="G49" i="1"/>
  <c r="G48" i="1"/>
  <c r="G47" i="1"/>
  <c r="G43" i="1"/>
  <c r="G44" i="1"/>
  <c r="G45" i="1"/>
  <c r="G160" i="1"/>
  <c r="G161" i="1"/>
  <c r="G162" i="1"/>
  <c r="G163" i="1"/>
  <c r="G166" i="1"/>
  <c r="G167" i="1"/>
  <c r="G168" i="1"/>
  <c r="G159" i="1"/>
  <c r="G125" i="1" l="1"/>
  <c r="G126" i="1"/>
  <c r="G124" i="1"/>
  <c r="G95" i="1" l="1"/>
  <c r="G96" i="1"/>
  <c r="G97" i="1"/>
  <c r="G71" i="1"/>
  <c r="G70" i="1"/>
  <c r="G69" i="1"/>
  <c r="G68" i="1"/>
  <c r="G98" i="1"/>
  <c r="G100" i="1"/>
  <c r="G101" i="1"/>
  <c r="G102" i="1"/>
  <c r="G104" i="1"/>
  <c r="G105" i="1"/>
  <c r="G106" i="1"/>
  <c r="G107" i="1"/>
  <c r="G109" i="1"/>
  <c r="G110" i="1"/>
  <c r="G111" i="1"/>
  <c r="G112" i="1" l="1"/>
  <c r="G171" i="1"/>
  <c r="C30" i="3" l="1"/>
  <c r="C31" i="3"/>
  <c r="C32" i="3"/>
  <c r="C33" i="3"/>
  <c r="C35" i="3"/>
  <c r="C36" i="3"/>
  <c r="C37" i="3"/>
  <c r="C38" i="3"/>
  <c r="C30" i="4"/>
  <c r="C31" i="4"/>
  <c r="C32" i="4"/>
  <c r="C33" i="4"/>
  <c r="C35" i="4"/>
  <c r="C36" i="4"/>
  <c r="C37" i="4"/>
  <c r="C38" i="4"/>
  <c r="C30" i="5"/>
  <c r="C31" i="5"/>
  <c r="C32" i="5"/>
  <c r="C33" i="5"/>
  <c r="C35" i="5"/>
  <c r="C36" i="5"/>
  <c r="C37" i="5"/>
  <c r="C38" i="5"/>
  <c r="C30" i="6"/>
  <c r="C31" i="6"/>
  <c r="C32" i="6"/>
  <c r="C33" i="6"/>
  <c r="C35" i="6"/>
  <c r="C36" i="6"/>
  <c r="C37" i="6"/>
  <c r="C38" i="6"/>
  <c r="E142" i="5"/>
  <c r="E6" i="6"/>
  <c r="E7" i="6"/>
  <c r="E8" i="6"/>
  <c r="E9" i="6"/>
  <c r="E15" i="6"/>
  <c r="E16" i="6"/>
  <c r="E17" i="6"/>
  <c r="E18" i="6"/>
  <c r="E20" i="6"/>
  <c r="E21" i="6"/>
  <c r="E22" i="6"/>
  <c r="E23" i="6"/>
  <c r="E25" i="6"/>
  <c r="E26" i="6"/>
  <c r="E27" i="6"/>
  <c r="E28" i="6"/>
  <c r="E30" i="6"/>
  <c r="E31" i="6"/>
  <c r="E32" i="6"/>
  <c r="E33" i="6"/>
  <c r="E35" i="6"/>
  <c r="E36" i="6"/>
  <c r="E37" i="6"/>
  <c r="E38" i="6"/>
  <c r="E40" i="6"/>
  <c r="E41" i="6"/>
  <c r="E42" i="6"/>
  <c r="E43" i="6"/>
  <c r="E45" i="6"/>
  <c r="E46" i="6"/>
  <c r="E47" i="6"/>
  <c r="E48" i="6"/>
  <c r="E50" i="6"/>
  <c r="E51" i="6"/>
  <c r="E52" i="6"/>
  <c r="E53" i="6"/>
  <c r="E54" i="6"/>
  <c r="E55" i="6"/>
  <c r="E56" i="6"/>
  <c r="E57" i="6"/>
  <c r="E58" i="6"/>
  <c r="E60" i="6"/>
  <c r="E61" i="6"/>
  <c r="E62" i="6"/>
  <c r="E63" i="6"/>
  <c r="E64" i="6"/>
  <c r="E65" i="6"/>
  <c r="E66" i="6"/>
  <c r="E67" i="6"/>
  <c r="E69" i="6"/>
  <c r="E70" i="6"/>
  <c r="E71" i="6"/>
  <c r="E72" i="6"/>
  <c r="E73" i="6"/>
  <c r="E74" i="6"/>
  <c r="E75" i="6"/>
  <c r="E76" i="6"/>
  <c r="E78" i="6"/>
  <c r="E79" i="6"/>
  <c r="E80" i="6"/>
  <c r="E81" i="6"/>
  <c r="E82" i="6"/>
  <c r="E83" i="6"/>
  <c r="E84" i="6"/>
  <c r="E85" i="6"/>
  <c r="E87" i="6"/>
  <c r="E88" i="6"/>
  <c r="E90" i="6"/>
  <c r="E91" i="6"/>
  <c r="E93" i="6"/>
  <c r="E94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10" i="6"/>
  <c r="E111" i="6"/>
  <c r="E112" i="6"/>
  <c r="E113" i="6"/>
  <c r="E114" i="6"/>
  <c r="E116" i="6"/>
  <c r="E117" i="6"/>
  <c r="E119" i="6"/>
  <c r="E120" i="6"/>
  <c r="E122" i="6"/>
  <c r="E123" i="6"/>
  <c r="E125" i="6"/>
  <c r="E126" i="6"/>
  <c r="E127" i="6"/>
  <c r="E128" i="6"/>
  <c r="E130" i="6"/>
  <c r="E131" i="6"/>
  <c r="E132" i="6"/>
  <c r="E133" i="6"/>
  <c r="E135" i="6"/>
  <c r="E136" i="6"/>
  <c r="E137" i="6"/>
  <c r="E138" i="6"/>
  <c r="E139" i="6"/>
  <c r="E140" i="6"/>
  <c r="E141" i="6"/>
  <c r="E142" i="6"/>
  <c r="E144" i="6"/>
  <c r="E145" i="6"/>
  <c r="E146" i="6"/>
  <c r="E147" i="6"/>
  <c r="E148" i="6"/>
  <c r="E149" i="6"/>
  <c r="E150" i="6"/>
  <c r="E151" i="6"/>
  <c r="E153" i="6"/>
  <c r="E154" i="6"/>
  <c r="E155" i="6"/>
  <c r="E156" i="6"/>
  <c r="E157" i="6"/>
  <c r="E158" i="6"/>
  <c r="E159" i="6"/>
  <c r="E160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6" i="6"/>
  <c r="E177" i="6"/>
  <c r="E178" i="6"/>
  <c r="E179" i="6"/>
  <c r="E180" i="6"/>
  <c r="E181" i="6"/>
  <c r="E183" i="6"/>
  <c r="E184" i="6"/>
  <c r="E185" i="6"/>
  <c r="E186" i="6"/>
  <c r="E187" i="6"/>
  <c r="E188" i="6"/>
  <c r="E190" i="6"/>
  <c r="E191" i="6"/>
  <c r="E192" i="6"/>
  <c r="E193" i="6"/>
  <c r="E194" i="6"/>
  <c r="E195" i="6"/>
  <c r="E196" i="6"/>
  <c r="E5" i="6"/>
  <c r="C5" i="6"/>
  <c r="C6" i="6"/>
  <c r="C7" i="6"/>
  <c r="C8" i="6"/>
  <c r="C10" i="6"/>
  <c r="C11" i="6"/>
  <c r="C12" i="6"/>
  <c r="C13" i="6"/>
  <c r="C15" i="6"/>
  <c r="C16" i="6"/>
  <c r="C17" i="6"/>
  <c r="F17" i="6" s="1"/>
  <c r="C18" i="6"/>
  <c r="C20" i="6"/>
  <c r="C21" i="6"/>
  <c r="C22" i="6"/>
  <c r="C23" i="6"/>
  <c r="C25" i="6"/>
  <c r="C26" i="6"/>
  <c r="C27" i="6"/>
  <c r="C28" i="6"/>
  <c r="C40" i="6"/>
  <c r="C41" i="6"/>
  <c r="C42" i="6"/>
  <c r="C43" i="6"/>
  <c r="C45" i="6"/>
  <c r="C46" i="6"/>
  <c r="C47" i="6"/>
  <c r="F47" i="6" s="1"/>
  <c r="C48" i="6"/>
  <c r="C50" i="6"/>
  <c r="C51" i="6"/>
  <c r="C52" i="6"/>
  <c r="F52" i="6" s="1"/>
  <c r="C53" i="6"/>
  <c r="C55" i="6"/>
  <c r="C56" i="6"/>
  <c r="C57" i="6"/>
  <c r="C58" i="6"/>
  <c r="C60" i="6"/>
  <c r="C61" i="6"/>
  <c r="C62" i="6"/>
  <c r="C63" i="6"/>
  <c r="C64" i="6"/>
  <c r="C65" i="6"/>
  <c r="C66" i="6"/>
  <c r="C67" i="6"/>
  <c r="C69" i="6"/>
  <c r="C70" i="6"/>
  <c r="C71" i="6"/>
  <c r="C72" i="6"/>
  <c r="C73" i="6"/>
  <c r="C74" i="6"/>
  <c r="C75" i="6"/>
  <c r="C76" i="6"/>
  <c r="C78" i="6"/>
  <c r="C79" i="6"/>
  <c r="C80" i="6"/>
  <c r="C81" i="6"/>
  <c r="C82" i="6"/>
  <c r="C83" i="6"/>
  <c r="C84" i="6"/>
  <c r="C85" i="6"/>
  <c r="C87" i="6"/>
  <c r="C88" i="6"/>
  <c r="C90" i="6"/>
  <c r="C91" i="6"/>
  <c r="C93" i="6"/>
  <c r="C94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10" i="6"/>
  <c r="C111" i="6"/>
  <c r="C112" i="6"/>
  <c r="C113" i="6"/>
  <c r="C114" i="6"/>
  <c r="C116" i="6"/>
  <c r="C117" i="6"/>
  <c r="C119" i="6"/>
  <c r="C120" i="6"/>
  <c r="C122" i="6"/>
  <c r="C123" i="6"/>
  <c r="C125" i="6"/>
  <c r="C126" i="6"/>
  <c r="C127" i="6"/>
  <c r="C128" i="6"/>
  <c r="C130" i="6"/>
  <c r="C131" i="6"/>
  <c r="C132" i="6"/>
  <c r="C133" i="6"/>
  <c r="C135" i="6"/>
  <c r="C136" i="6"/>
  <c r="C137" i="6"/>
  <c r="C138" i="6"/>
  <c r="C139" i="6"/>
  <c r="C140" i="6"/>
  <c r="C141" i="6"/>
  <c r="C142" i="6"/>
  <c r="C144" i="6"/>
  <c r="C145" i="6"/>
  <c r="C146" i="6"/>
  <c r="C147" i="6"/>
  <c r="C148" i="6"/>
  <c r="C149" i="6"/>
  <c r="C150" i="6"/>
  <c r="C151" i="6"/>
  <c r="C153" i="6"/>
  <c r="C154" i="6"/>
  <c r="C155" i="6"/>
  <c r="C156" i="6"/>
  <c r="C157" i="6"/>
  <c r="C158" i="6"/>
  <c r="C159" i="6"/>
  <c r="C160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6" i="6"/>
  <c r="C177" i="6"/>
  <c r="C178" i="6"/>
  <c r="C179" i="6"/>
  <c r="C180" i="6"/>
  <c r="C181" i="6"/>
  <c r="C183" i="6"/>
  <c r="C184" i="6"/>
  <c r="C185" i="6"/>
  <c r="C186" i="6"/>
  <c r="C187" i="6"/>
  <c r="C188" i="6"/>
  <c r="C190" i="6"/>
  <c r="C191" i="6"/>
  <c r="C192" i="6"/>
  <c r="C193" i="6"/>
  <c r="C194" i="6"/>
  <c r="C195" i="6"/>
  <c r="C196" i="6"/>
  <c r="C189" i="6"/>
  <c r="C182" i="6"/>
  <c r="C175" i="6"/>
  <c r="C161" i="6"/>
  <c r="C152" i="6"/>
  <c r="C143" i="6"/>
  <c r="C134" i="6"/>
  <c r="C129" i="6"/>
  <c r="C124" i="6"/>
  <c r="C121" i="6"/>
  <c r="C118" i="6"/>
  <c r="C115" i="6"/>
  <c r="C109" i="6"/>
  <c r="C95" i="6"/>
  <c r="C92" i="6"/>
  <c r="C89" i="6"/>
  <c r="C86" i="6"/>
  <c r="C77" i="6"/>
  <c r="C68" i="6"/>
  <c r="C59" i="6"/>
  <c r="C54" i="6"/>
  <c r="C49" i="6"/>
  <c r="C44" i="6"/>
  <c r="C39" i="6"/>
  <c r="C34" i="6"/>
  <c r="C29" i="6"/>
  <c r="C24" i="6"/>
  <c r="C19" i="6"/>
  <c r="C14" i="6"/>
  <c r="C9" i="6"/>
  <c r="E6" i="5"/>
  <c r="E7" i="5"/>
  <c r="E8" i="5"/>
  <c r="E9" i="5"/>
  <c r="E15" i="5"/>
  <c r="E16" i="5"/>
  <c r="E17" i="5"/>
  <c r="E18" i="5"/>
  <c r="E20" i="5"/>
  <c r="E21" i="5"/>
  <c r="E22" i="5"/>
  <c r="E23" i="5"/>
  <c r="E25" i="5"/>
  <c r="E26" i="5"/>
  <c r="E27" i="5"/>
  <c r="E28" i="5"/>
  <c r="E30" i="5"/>
  <c r="F30" i="5" s="1"/>
  <c r="E31" i="5"/>
  <c r="E32" i="5"/>
  <c r="E33" i="5"/>
  <c r="E35" i="5"/>
  <c r="E36" i="5"/>
  <c r="E37" i="5"/>
  <c r="E38" i="5"/>
  <c r="E40" i="5"/>
  <c r="E41" i="5"/>
  <c r="E42" i="5"/>
  <c r="E43" i="5"/>
  <c r="E45" i="5"/>
  <c r="E46" i="5"/>
  <c r="E47" i="5"/>
  <c r="E48" i="5"/>
  <c r="E50" i="5"/>
  <c r="E51" i="5"/>
  <c r="E52" i="5"/>
  <c r="E53" i="5"/>
  <c r="E55" i="5"/>
  <c r="E56" i="5"/>
  <c r="E57" i="5"/>
  <c r="E58" i="5"/>
  <c r="E60" i="5"/>
  <c r="E61" i="5"/>
  <c r="E62" i="5"/>
  <c r="E63" i="5"/>
  <c r="E64" i="5"/>
  <c r="E65" i="5"/>
  <c r="E66" i="5"/>
  <c r="E67" i="5"/>
  <c r="E69" i="5"/>
  <c r="E70" i="5"/>
  <c r="E71" i="5"/>
  <c r="E72" i="5"/>
  <c r="E73" i="5"/>
  <c r="E74" i="5"/>
  <c r="E75" i="5"/>
  <c r="E76" i="5"/>
  <c r="E78" i="5"/>
  <c r="E79" i="5"/>
  <c r="E80" i="5"/>
  <c r="E81" i="5"/>
  <c r="E82" i="5"/>
  <c r="E83" i="5"/>
  <c r="E84" i="5"/>
  <c r="E85" i="5"/>
  <c r="E87" i="5"/>
  <c r="E88" i="5"/>
  <c r="E90" i="5"/>
  <c r="E91" i="5"/>
  <c r="E93" i="5"/>
  <c r="E94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10" i="5"/>
  <c r="E111" i="5"/>
  <c r="E112" i="5"/>
  <c r="E113" i="5"/>
  <c r="E114" i="5"/>
  <c r="E116" i="5"/>
  <c r="E117" i="5"/>
  <c r="E119" i="5"/>
  <c r="E120" i="5"/>
  <c r="E122" i="5"/>
  <c r="E123" i="5"/>
  <c r="E125" i="5"/>
  <c r="E126" i="5"/>
  <c r="E127" i="5"/>
  <c r="E128" i="5"/>
  <c r="E130" i="5"/>
  <c r="E131" i="5"/>
  <c r="E132" i="5"/>
  <c r="E133" i="5"/>
  <c r="E135" i="5"/>
  <c r="E136" i="5"/>
  <c r="E137" i="5"/>
  <c r="E138" i="5"/>
  <c r="E139" i="5"/>
  <c r="E140" i="5"/>
  <c r="E141" i="5"/>
  <c r="E144" i="5"/>
  <c r="E145" i="5"/>
  <c r="E146" i="5"/>
  <c r="E147" i="5"/>
  <c r="E148" i="5"/>
  <c r="E149" i="5"/>
  <c r="E150" i="5"/>
  <c r="E151" i="5"/>
  <c r="E153" i="5"/>
  <c r="E154" i="5"/>
  <c r="E155" i="5"/>
  <c r="E156" i="5"/>
  <c r="E157" i="5"/>
  <c r="E158" i="5"/>
  <c r="E159" i="5"/>
  <c r="E160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6" i="5"/>
  <c r="E177" i="5"/>
  <c r="E178" i="5"/>
  <c r="E179" i="5"/>
  <c r="E180" i="5"/>
  <c r="E181" i="5"/>
  <c r="E183" i="5"/>
  <c r="E184" i="5"/>
  <c r="E185" i="5"/>
  <c r="E186" i="5"/>
  <c r="E187" i="5"/>
  <c r="E188" i="5"/>
  <c r="E190" i="5"/>
  <c r="E191" i="5"/>
  <c r="E192" i="5"/>
  <c r="E193" i="5"/>
  <c r="E194" i="5"/>
  <c r="E195" i="5"/>
  <c r="E196" i="5"/>
  <c r="E5" i="5"/>
  <c r="C5" i="5"/>
  <c r="C6" i="5"/>
  <c r="C7" i="5"/>
  <c r="C8" i="5"/>
  <c r="C10" i="5"/>
  <c r="C11" i="5"/>
  <c r="C12" i="5"/>
  <c r="C13" i="5"/>
  <c r="C15" i="5"/>
  <c r="C16" i="5"/>
  <c r="C17" i="5"/>
  <c r="C18" i="5"/>
  <c r="C20" i="5"/>
  <c r="C21" i="5"/>
  <c r="C22" i="5"/>
  <c r="C23" i="5"/>
  <c r="C25" i="5"/>
  <c r="C26" i="5"/>
  <c r="C27" i="5"/>
  <c r="C28" i="5"/>
  <c r="C40" i="5"/>
  <c r="C41" i="5"/>
  <c r="C42" i="5"/>
  <c r="C43" i="5"/>
  <c r="C45" i="5"/>
  <c r="C46" i="5"/>
  <c r="C47" i="5"/>
  <c r="C48" i="5"/>
  <c r="C50" i="5"/>
  <c r="C51" i="5"/>
  <c r="C52" i="5"/>
  <c r="C53" i="5"/>
  <c r="C55" i="5"/>
  <c r="C56" i="5"/>
  <c r="C57" i="5"/>
  <c r="C58" i="5"/>
  <c r="C60" i="5"/>
  <c r="C61" i="5"/>
  <c r="C62" i="5"/>
  <c r="C63" i="5"/>
  <c r="C64" i="5"/>
  <c r="C65" i="5"/>
  <c r="C66" i="5"/>
  <c r="C67" i="5"/>
  <c r="C69" i="5"/>
  <c r="C70" i="5"/>
  <c r="C71" i="5"/>
  <c r="C72" i="5"/>
  <c r="C73" i="5"/>
  <c r="C74" i="5"/>
  <c r="C75" i="5"/>
  <c r="C76" i="5"/>
  <c r="C78" i="5"/>
  <c r="C79" i="5"/>
  <c r="C80" i="5"/>
  <c r="C81" i="5"/>
  <c r="C82" i="5"/>
  <c r="C83" i="5"/>
  <c r="C84" i="5"/>
  <c r="C85" i="5"/>
  <c r="C87" i="5"/>
  <c r="C88" i="5"/>
  <c r="C90" i="5"/>
  <c r="C91" i="5"/>
  <c r="C93" i="5"/>
  <c r="C94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10" i="5"/>
  <c r="C111" i="5"/>
  <c r="C112" i="5"/>
  <c r="C113" i="5"/>
  <c r="C114" i="5"/>
  <c r="C116" i="5"/>
  <c r="C117" i="5"/>
  <c r="C119" i="5"/>
  <c r="C120" i="5"/>
  <c r="C122" i="5"/>
  <c r="C123" i="5"/>
  <c r="C125" i="5"/>
  <c r="C126" i="5"/>
  <c r="C127" i="5"/>
  <c r="C128" i="5"/>
  <c r="C130" i="5"/>
  <c r="C131" i="5"/>
  <c r="C132" i="5"/>
  <c r="C133" i="5"/>
  <c r="C135" i="5"/>
  <c r="C136" i="5"/>
  <c r="C137" i="5"/>
  <c r="C138" i="5"/>
  <c r="C139" i="5"/>
  <c r="C140" i="5"/>
  <c r="C141" i="5"/>
  <c r="C142" i="5"/>
  <c r="C144" i="5"/>
  <c r="C145" i="5"/>
  <c r="C146" i="5"/>
  <c r="C147" i="5"/>
  <c r="C148" i="5"/>
  <c r="C149" i="5"/>
  <c r="C150" i="5"/>
  <c r="C151" i="5"/>
  <c r="C153" i="5"/>
  <c r="C154" i="5"/>
  <c r="C155" i="5"/>
  <c r="C156" i="5"/>
  <c r="C157" i="5"/>
  <c r="C158" i="5"/>
  <c r="C159" i="5"/>
  <c r="C160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6" i="5"/>
  <c r="C177" i="5"/>
  <c r="C178" i="5"/>
  <c r="C179" i="5"/>
  <c r="C180" i="5"/>
  <c r="C181" i="5"/>
  <c r="C183" i="5"/>
  <c r="C184" i="5"/>
  <c r="C185" i="5"/>
  <c r="C186" i="5"/>
  <c r="C187" i="5"/>
  <c r="C188" i="5"/>
  <c r="C190" i="5"/>
  <c r="C191" i="5"/>
  <c r="C192" i="5"/>
  <c r="C193" i="5"/>
  <c r="C194" i="5"/>
  <c r="C195" i="5"/>
  <c r="C196" i="5"/>
  <c r="C189" i="5"/>
  <c r="C182" i="5"/>
  <c r="C175" i="5"/>
  <c r="C161" i="5"/>
  <c r="C152" i="5"/>
  <c r="C143" i="5"/>
  <c r="C134" i="5"/>
  <c r="C129" i="5"/>
  <c r="C124" i="5"/>
  <c r="C121" i="5"/>
  <c r="C118" i="5"/>
  <c r="C115" i="5"/>
  <c r="C109" i="5"/>
  <c r="C95" i="5"/>
  <c r="C92" i="5"/>
  <c r="C89" i="5"/>
  <c r="C86" i="5"/>
  <c r="C77" i="5"/>
  <c r="C68" i="5"/>
  <c r="C59" i="5"/>
  <c r="C54" i="5"/>
  <c r="C49" i="5"/>
  <c r="C44" i="5"/>
  <c r="C39" i="5"/>
  <c r="C34" i="5"/>
  <c r="C29" i="5"/>
  <c r="C24" i="5"/>
  <c r="C19" i="5"/>
  <c r="C14" i="5"/>
  <c r="C9" i="5"/>
  <c r="E6" i="4"/>
  <c r="E7" i="4"/>
  <c r="E8" i="4"/>
  <c r="E9" i="4"/>
  <c r="E15" i="4"/>
  <c r="E16" i="4"/>
  <c r="E17" i="4"/>
  <c r="E18" i="4"/>
  <c r="E20" i="4"/>
  <c r="E21" i="4"/>
  <c r="E22" i="4"/>
  <c r="E23" i="4"/>
  <c r="E25" i="4"/>
  <c r="E26" i="4"/>
  <c r="E27" i="4"/>
  <c r="E28" i="4"/>
  <c r="E30" i="4"/>
  <c r="E31" i="4"/>
  <c r="E32" i="4"/>
  <c r="E33" i="4"/>
  <c r="E35" i="4"/>
  <c r="E36" i="4"/>
  <c r="E37" i="4"/>
  <c r="E38" i="4"/>
  <c r="E40" i="4"/>
  <c r="E41" i="4"/>
  <c r="E42" i="4"/>
  <c r="E43" i="4"/>
  <c r="E45" i="4"/>
  <c r="E46" i="4"/>
  <c r="E47" i="4"/>
  <c r="E48" i="4"/>
  <c r="E50" i="4"/>
  <c r="E51" i="4"/>
  <c r="E52" i="4"/>
  <c r="E53" i="4"/>
  <c r="E55" i="4"/>
  <c r="E56" i="4"/>
  <c r="E57" i="4"/>
  <c r="E58" i="4"/>
  <c r="E60" i="4"/>
  <c r="E61" i="4"/>
  <c r="E62" i="4"/>
  <c r="E63" i="4"/>
  <c r="E64" i="4"/>
  <c r="E65" i="4"/>
  <c r="E66" i="4"/>
  <c r="E67" i="4"/>
  <c r="E69" i="4"/>
  <c r="E70" i="4"/>
  <c r="E71" i="4"/>
  <c r="E72" i="4"/>
  <c r="E73" i="4"/>
  <c r="E74" i="4"/>
  <c r="E75" i="4"/>
  <c r="E76" i="4"/>
  <c r="E78" i="4"/>
  <c r="E79" i="4"/>
  <c r="E80" i="4"/>
  <c r="E81" i="4"/>
  <c r="E82" i="4"/>
  <c r="E83" i="4"/>
  <c r="E84" i="4"/>
  <c r="E85" i="4"/>
  <c r="E87" i="4"/>
  <c r="E88" i="4"/>
  <c r="E90" i="4"/>
  <c r="E91" i="4"/>
  <c r="E93" i="4"/>
  <c r="E94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10" i="4"/>
  <c r="E111" i="4"/>
  <c r="E112" i="4"/>
  <c r="E113" i="4"/>
  <c r="E114" i="4"/>
  <c r="E116" i="4"/>
  <c r="E117" i="4"/>
  <c r="E119" i="4"/>
  <c r="E120" i="4"/>
  <c r="E122" i="4"/>
  <c r="E123" i="4"/>
  <c r="E125" i="4"/>
  <c r="E126" i="4"/>
  <c r="E127" i="4"/>
  <c r="E128" i="4"/>
  <c r="E130" i="4"/>
  <c r="E131" i="4"/>
  <c r="E132" i="4"/>
  <c r="E133" i="4"/>
  <c r="E135" i="4"/>
  <c r="E136" i="4"/>
  <c r="E137" i="4"/>
  <c r="E138" i="4"/>
  <c r="E139" i="4"/>
  <c r="E140" i="4"/>
  <c r="E141" i="4"/>
  <c r="E142" i="4"/>
  <c r="E144" i="4"/>
  <c r="E145" i="4"/>
  <c r="E146" i="4"/>
  <c r="E147" i="4"/>
  <c r="E148" i="4"/>
  <c r="E149" i="4"/>
  <c r="E150" i="4"/>
  <c r="E151" i="4"/>
  <c r="E153" i="4"/>
  <c r="E154" i="4"/>
  <c r="E155" i="4"/>
  <c r="E156" i="4"/>
  <c r="E157" i="4"/>
  <c r="E158" i="4"/>
  <c r="E159" i="4"/>
  <c r="E160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6" i="4"/>
  <c r="E177" i="4"/>
  <c r="E178" i="4"/>
  <c r="E179" i="4"/>
  <c r="E180" i="4"/>
  <c r="E181" i="4"/>
  <c r="E183" i="4"/>
  <c r="E184" i="4"/>
  <c r="E185" i="4"/>
  <c r="E186" i="4"/>
  <c r="E187" i="4"/>
  <c r="E188" i="4"/>
  <c r="E190" i="4"/>
  <c r="E191" i="4"/>
  <c r="E192" i="4"/>
  <c r="E193" i="4"/>
  <c r="E194" i="4"/>
  <c r="E195" i="4"/>
  <c r="E196" i="4"/>
  <c r="E5" i="4"/>
  <c r="C5" i="4"/>
  <c r="C6" i="4"/>
  <c r="C7" i="4"/>
  <c r="C8" i="4"/>
  <c r="C10" i="4"/>
  <c r="C11" i="4"/>
  <c r="C12" i="4"/>
  <c r="C13" i="4"/>
  <c r="C15" i="4"/>
  <c r="C16" i="4"/>
  <c r="C17" i="4"/>
  <c r="C18" i="4"/>
  <c r="C20" i="4"/>
  <c r="C21" i="4"/>
  <c r="C22" i="4"/>
  <c r="C23" i="4"/>
  <c r="C25" i="4"/>
  <c r="C26" i="4"/>
  <c r="C27" i="4"/>
  <c r="C28" i="4"/>
  <c r="C40" i="4"/>
  <c r="C41" i="4"/>
  <c r="C42" i="4"/>
  <c r="C43" i="4"/>
  <c r="C45" i="4"/>
  <c r="C46" i="4"/>
  <c r="C47" i="4"/>
  <c r="C48" i="4"/>
  <c r="C50" i="4"/>
  <c r="C51" i="4"/>
  <c r="C52" i="4"/>
  <c r="C53" i="4"/>
  <c r="C55" i="4"/>
  <c r="C56" i="4"/>
  <c r="C57" i="4"/>
  <c r="C58" i="4"/>
  <c r="C60" i="4"/>
  <c r="C61" i="4"/>
  <c r="C62" i="4"/>
  <c r="C63" i="4"/>
  <c r="C64" i="4"/>
  <c r="C65" i="4"/>
  <c r="C66" i="4"/>
  <c r="C67" i="4"/>
  <c r="C69" i="4"/>
  <c r="C70" i="4"/>
  <c r="C71" i="4"/>
  <c r="C72" i="4"/>
  <c r="C73" i="4"/>
  <c r="C74" i="4"/>
  <c r="C75" i="4"/>
  <c r="C76" i="4"/>
  <c r="C78" i="4"/>
  <c r="C79" i="4"/>
  <c r="C80" i="4"/>
  <c r="C81" i="4"/>
  <c r="C82" i="4"/>
  <c r="C83" i="4"/>
  <c r="C84" i="4"/>
  <c r="C85" i="4"/>
  <c r="C87" i="4"/>
  <c r="C88" i="4"/>
  <c r="C90" i="4"/>
  <c r="C91" i="4"/>
  <c r="C93" i="4"/>
  <c r="C94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10" i="4"/>
  <c r="C111" i="4"/>
  <c r="C112" i="4"/>
  <c r="C113" i="4"/>
  <c r="C114" i="4"/>
  <c r="C116" i="4"/>
  <c r="C117" i="4"/>
  <c r="C119" i="4"/>
  <c r="C120" i="4"/>
  <c r="C122" i="4"/>
  <c r="C123" i="4"/>
  <c r="C125" i="4"/>
  <c r="C126" i="4"/>
  <c r="C127" i="4"/>
  <c r="C128" i="4"/>
  <c r="C130" i="4"/>
  <c r="C131" i="4"/>
  <c r="C132" i="4"/>
  <c r="C133" i="4"/>
  <c r="C135" i="4"/>
  <c r="C136" i="4"/>
  <c r="C137" i="4"/>
  <c r="C138" i="4"/>
  <c r="C139" i="4"/>
  <c r="C140" i="4"/>
  <c r="C141" i="4"/>
  <c r="C142" i="4"/>
  <c r="C144" i="4"/>
  <c r="C145" i="4"/>
  <c r="C146" i="4"/>
  <c r="C147" i="4"/>
  <c r="C148" i="4"/>
  <c r="C149" i="4"/>
  <c r="C150" i="4"/>
  <c r="C151" i="4"/>
  <c r="C153" i="4"/>
  <c r="C154" i="4"/>
  <c r="C155" i="4"/>
  <c r="C156" i="4"/>
  <c r="C157" i="4"/>
  <c r="C158" i="4"/>
  <c r="C159" i="4"/>
  <c r="C160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6" i="4"/>
  <c r="C177" i="4"/>
  <c r="C178" i="4"/>
  <c r="C179" i="4"/>
  <c r="C180" i="4"/>
  <c r="C181" i="4"/>
  <c r="C183" i="4"/>
  <c r="C184" i="4"/>
  <c r="C185" i="4"/>
  <c r="C186" i="4"/>
  <c r="C187" i="4"/>
  <c r="C188" i="4"/>
  <c r="C190" i="4"/>
  <c r="C191" i="4"/>
  <c r="C192" i="4"/>
  <c r="C193" i="4"/>
  <c r="C194" i="4"/>
  <c r="C195" i="4"/>
  <c r="C196" i="4"/>
  <c r="C189" i="4"/>
  <c r="C182" i="4"/>
  <c r="C175" i="4"/>
  <c r="C161" i="4"/>
  <c r="C152" i="4"/>
  <c r="C143" i="4"/>
  <c r="C134" i="4"/>
  <c r="C129" i="4"/>
  <c r="C124" i="4"/>
  <c r="C121" i="4"/>
  <c r="C118" i="4"/>
  <c r="C115" i="4"/>
  <c r="C109" i="4"/>
  <c r="C95" i="4"/>
  <c r="C92" i="4"/>
  <c r="C89" i="4"/>
  <c r="C86" i="4"/>
  <c r="C77" i="4"/>
  <c r="C68" i="4"/>
  <c r="C59" i="4"/>
  <c r="C54" i="4"/>
  <c r="C49" i="4"/>
  <c r="C44" i="4"/>
  <c r="C39" i="4"/>
  <c r="C34" i="4"/>
  <c r="C29" i="4"/>
  <c r="C24" i="4"/>
  <c r="C19" i="4"/>
  <c r="C14" i="4"/>
  <c r="C9" i="4"/>
  <c r="E78" i="3"/>
  <c r="E79" i="3"/>
  <c r="E80" i="3"/>
  <c r="E81" i="3"/>
  <c r="E82" i="3"/>
  <c r="E83" i="3"/>
  <c r="E84" i="3"/>
  <c r="E85" i="3"/>
  <c r="E87" i="3"/>
  <c r="E88" i="3"/>
  <c r="E90" i="3"/>
  <c r="E91" i="3"/>
  <c r="E93" i="3"/>
  <c r="E94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10" i="3"/>
  <c r="E111" i="3"/>
  <c r="E112" i="3"/>
  <c r="E113" i="3"/>
  <c r="E114" i="3"/>
  <c r="E116" i="3"/>
  <c r="E117" i="3"/>
  <c r="E119" i="3"/>
  <c r="E120" i="3"/>
  <c r="E122" i="3"/>
  <c r="E123" i="3"/>
  <c r="E125" i="3"/>
  <c r="E126" i="3"/>
  <c r="E127" i="3"/>
  <c r="E128" i="3"/>
  <c r="E130" i="3"/>
  <c r="E131" i="3"/>
  <c r="E132" i="3"/>
  <c r="E133" i="3"/>
  <c r="E135" i="3"/>
  <c r="E136" i="3"/>
  <c r="E137" i="3"/>
  <c r="E138" i="3"/>
  <c r="E139" i="3"/>
  <c r="E140" i="3"/>
  <c r="E141" i="3"/>
  <c r="E142" i="3"/>
  <c r="E144" i="3"/>
  <c r="E145" i="3"/>
  <c r="E146" i="3"/>
  <c r="E147" i="3"/>
  <c r="E148" i="3"/>
  <c r="E149" i="3"/>
  <c r="E150" i="3"/>
  <c r="E151" i="3"/>
  <c r="E153" i="3"/>
  <c r="E154" i="3"/>
  <c r="E155" i="3"/>
  <c r="E156" i="3"/>
  <c r="E157" i="3"/>
  <c r="E158" i="3"/>
  <c r="E159" i="3"/>
  <c r="E160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6" i="3"/>
  <c r="E177" i="3"/>
  <c r="E178" i="3"/>
  <c r="E179" i="3"/>
  <c r="E180" i="3"/>
  <c r="E181" i="3"/>
  <c r="E183" i="3"/>
  <c r="E184" i="3"/>
  <c r="E185" i="3"/>
  <c r="E186" i="3"/>
  <c r="E187" i="3"/>
  <c r="E188" i="3"/>
  <c r="E190" i="3"/>
  <c r="E191" i="3"/>
  <c r="E192" i="3"/>
  <c r="E193" i="3"/>
  <c r="E194" i="3"/>
  <c r="E195" i="3"/>
  <c r="E196" i="3"/>
  <c r="E17" i="3"/>
  <c r="E18" i="3"/>
  <c r="E20" i="3"/>
  <c r="E21" i="3"/>
  <c r="E22" i="3"/>
  <c r="E23" i="3"/>
  <c r="E25" i="3"/>
  <c r="E26" i="3"/>
  <c r="E27" i="3"/>
  <c r="E28" i="3"/>
  <c r="E30" i="3"/>
  <c r="E31" i="3"/>
  <c r="E32" i="3"/>
  <c r="E33" i="3"/>
  <c r="E35" i="3"/>
  <c r="E36" i="3"/>
  <c r="E37" i="3"/>
  <c r="E38" i="3"/>
  <c r="E40" i="3"/>
  <c r="E41" i="3"/>
  <c r="E42" i="3"/>
  <c r="E43" i="3"/>
  <c r="E45" i="3"/>
  <c r="E46" i="3"/>
  <c r="E47" i="3"/>
  <c r="E48" i="3"/>
  <c r="E50" i="3"/>
  <c r="E51" i="3"/>
  <c r="E52" i="3"/>
  <c r="E53" i="3"/>
  <c r="E55" i="3"/>
  <c r="E56" i="3"/>
  <c r="E57" i="3"/>
  <c r="E58" i="3"/>
  <c r="E60" i="3"/>
  <c r="E61" i="3"/>
  <c r="E62" i="3"/>
  <c r="E63" i="3"/>
  <c r="E64" i="3"/>
  <c r="E65" i="3"/>
  <c r="E66" i="3"/>
  <c r="E67" i="3"/>
  <c r="E69" i="3"/>
  <c r="E70" i="3"/>
  <c r="E71" i="3"/>
  <c r="E72" i="3"/>
  <c r="E73" i="3"/>
  <c r="E74" i="3"/>
  <c r="E75" i="3"/>
  <c r="E76" i="3"/>
  <c r="E6" i="3"/>
  <c r="E7" i="3"/>
  <c r="E8" i="3"/>
  <c r="E9" i="3"/>
  <c r="E15" i="3"/>
  <c r="E16" i="3"/>
  <c r="E5" i="3"/>
  <c r="C137" i="3"/>
  <c r="C138" i="3"/>
  <c r="C139" i="3"/>
  <c r="C140" i="3"/>
  <c r="C141" i="3"/>
  <c r="C142" i="3"/>
  <c r="C143" i="3"/>
  <c r="C144" i="3"/>
  <c r="C145" i="3"/>
  <c r="C146" i="3"/>
  <c r="F146" i="3" s="1"/>
  <c r="C147" i="3"/>
  <c r="C148" i="3"/>
  <c r="C149" i="3"/>
  <c r="F149" i="3" s="1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F184" i="3" s="1"/>
  <c r="C185" i="3"/>
  <c r="C186" i="3"/>
  <c r="C187" i="3"/>
  <c r="C188" i="3"/>
  <c r="C189" i="3"/>
  <c r="C190" i="3"/>
  <c r="C191" i="3"/>
  <c r="C192" i="3"/>
  <c r="C193" i="3"/>
  <c r="C194" i="3"/>
  <c r="C195" i="3"/>
  <c r="C196" i="3"/>
  <c r="C39" i="3"/>
  <c r="C40" i="3"/>
  <c r="F40" i="3" s="1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F65" i="3" s="1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F90" i="3" s="1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F116" i="3" s="1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F131" i="3" s="1"/>
  <c r="C132" i="3"/>
  <c r="C133" i="3"/>
  <c r="F133" i="3" s="1"/>
  <c r="C134" i="3"/>
  <c r="C135" i="3"/>
  <c r="C136" i="3"/>
  <c r="C19" i="3"/>
  <c r="C20" i="3"/>
  <c r="C21" i="3"/>
  <c r="C22" i="3"/>
  <c r="C23" i="3"/>
  <c r="C24" i="3"/>
  <c r="C25" i="3"/>
  <c r="C26" i="3"/>
  <c r="C27" i="3"/>
  <c r="C28" i="3"/>
  <c r="C29" i="3"/>
  <c r="C34" i="3"/>
  <c r="C10" i="3"/>
  <c r="C11" i="3"/>
  <c r="C12" i="3"/>
  <c r="C13" i="3"/>
  <c r="C14" i="3"/>
  <c r="C15" i="3"/>
  <c r="C16" i="3"/>
  <c r="C17" i="3"/>
  <c r="C18" i="3"/>
  <c r="C6" i="3"/>
  <c r="C7" i="3"/>
  <c r="C8" i="3"/>
  <c r="C9" i="3"/>
  <c r="C5" i="3"/>
  <c r="G115" i="1"/>
  <c r="G116" i="1"/>
  <c r="G117" i="1"/>
  <c r="G118" i="1"/>
  <c r="G19" i="1"/>
  <c r="G20" i="1"/>
  <c r="G21" i="1"/>
  <c r="G22" i="1"/>
  <c r="G32" i="1"/>
  <c r="G33" i="1"/>
  <c r="G34" i="1"/>
  <c r="G35" i="1"/>
  <c r="G37" i="1"/>
  <c r="G38" i="1"/>
  <c r="G39" i="1"/>
  <c r="G40" i="1"/>
  <c r="G52" i="1"/>
  <c r="G53" i="1"/>
  <c r="G54" i="1"/>
  <c r="G55" i="1"/>
  <c r="G56" i="1"/>
  <c r="G57" i="1"/>
  <c r="G58" i="1"/>
  <c r="G60" i="1"/>
  <c r="G61" i="1"/>
  <c r="G62" i="1"/>
  <c r="G63" i="1"/>
  <c r="G64" i="1"/>
  <c r="G65" i="1"/>
  <c r="G66" i="1"/>
  <c r="G10" i="1"/>
  <c r="G11" i="1"/>
  <c r="G24" i="1"/>
  <c r="G25" i="1"/>
  <c r="G13" i="1"/>
  <c r="G14" i="1"/>
  <c r="G138" i="1"/>
  <c r="G139" i="1"/>
  <c r="G16" i="1"/>
  <c r="G17" i="1"/>
  <c r="G27" i="1"/>
  <c r="G28" i="1"/>
  <c r="G73" i="1"/>
  <c r="G74" i="1"/>
  <c r="G75" i="1"/>
  <c r="G77" i="1"/>
  <c r="G78" i="1"/>
  <c r="G79" i="1"/>
  <c r="G80" i="1"/>
  <c r="G81" i="1"/>
  <c r="G82" i="1"/>
  <c r="G83" i="1"/>
  <c r="G85" i="1"/>
  <c r="G86" i="1"/>
  <c r="G87" i="1"/>
  <c r="G88" i="1"/>
  <c r="G89" i="1"/>
  <c r="G90" i="1"/>
  <c r="G91" i="1"/>
  <c r="F42" i="6" l="1"/>
  <c r="F40" i="6"/>
  <c r="F142" i="5"/>
  <c r="F35" i="5"/>
  <c r="F130" i="3"/>
  <c r="F60" i="3"/>
  <c r="F27" i="6"/>
  <c r="F22" i="6"/>
  <c r="F6" i="4"/>
  <c r="G156" i="1"/>
  <c r="F20" i="6"/>
  <c r="G92" i="1"/>
  <c r="F50" i="6"/>
  <c r="G169" i="1"/>
  <c r="F63" i="3"/>
  <c r="F8" i="4"/>
  <c r="F37" i="3"/>
  <c r="F32" i="3"/>
  <c r="F35" i="6"/>
  <c r="F30" i="6"/>
  <c r="F153" i="3"/>
  <c r="F37" i="4"/>
  <c r="F32" i="4"/>
  <c r="F123" i="3"/>
  <c r="F107" i="3"/>
  <c r="F103" i="3"/>
  <c r="F99" i="3"/>
  <c r="F83" i="3"/>
  <c r="F79" i="3"/>
  <c r="F194" i="4"/>
  <c r="F190" i="4"/>
  <c r="F185" i="4"/>
  <c r="F180" i="4"/>
  <c r="F176" i="4"/>
  <c r="F171" i="4"/>
  <c r="F167" i="4"/>
  <c r="F163" i="4"/>
  <c r="F158" i="4"/>
  <c r="F154" i="4"/>
  <c r="F149" i="4"/>
  <c r="F140" i="4"/>
  <c r="F131" i="4"/>
  <c r="F120" i="4"/>
  <c r="F110" i="4"/>
  <c r="F101" i="4"/>
  <c r="F97" i="4"/>
  <c r="F91" i="4"/>
  <c r="F81" i="4"/>
  <c r="F188" i="5"/>
  <c r="F179" i="5"/>
  <c r="F170" i="5"/>
  <c r="F162" i="5"/>
  <c r="F153" i="5"/>
  <c r="F144" i="5"/>
  <c r="F7" i="5"/>
  <c r="F127" i="6"/>
  <c r="F78" i="6"/>
  <c r="F69" i="6"/>
  <c r="F60" i="6"/>
  <c r="F28" i="6"/>
  <c r="F23" i="3"/>
  <c r="F16" i="3"/>
  <c r="F21" i="3"/>
  <c r="F51" i="3"/>
  <c r="F173" i="3"/>
  <c r="F169" i="3"/>
  <c r="F165" i="3"/>
  <c r="F53" i="3"/>
  <c r="F176" i="3"/>
  <c r="F167" i="3"/>
  <c r="F25" i="4"/>
  <c r="F15" i="4"/>
  <c r="F147" i="3"/>
  <c r="F101" i="3"/>
  <c r="F81" i="3"/>
  <c r="F144" i="3"/>
  <c r="F30" i="4"/>
  <c r="F35" i="4"/>
  <c r="F35" i="3"/>
  <c r="F30" i="3"/>
  <c r="F94" i="3"/>
  <c r="F61" i="3"/>
  <c r="F183" i="3"/>
  <c r="F74" i="3"/>
  <c r="F70" i="3"/>
  <c r="F46" i="3"/>
  <c r="F196" i="3"/>
  <c r="F192" i="3"/>
  <c r="F160" i="3"/>
  <c r="F156" i="3"/>
  <c r="F98" i="3"/>
  <c r="F172" i="3"/>
  <c r="F164" i="3"/>
  <c r="F133" i="5"/>
  <c r="F128" i="5"/>
  <c r="F123" i="5"/>
  <c r="F112" i="5"/>
  <c r="F107" i="5"/>
  <c r="F103" i="5"/>
  <c r="F94" i="5"/>
  <c r="F88" i="5"/>
  <c r="F83" i="5"/>
  <c r="F74" i="5"/>
  <c r="F70" i="5"/>
  <c r="F65" i="5"/>
  <c r="F56" i="5"/>
  <c r="F37" i="5"/>
  <c r="F32" i="5"/>
  <c r="F57" i="3"/>
  <c r="F46" i="5"/>
  <c r="F41" i="5"/>
  <c r="F26" i="5"/>
  <c r="F21" i="5"/>
  <c r="F41" i="3"/>
  <c r="F187" i="3"/>
  <c r="F151" i="3"/>
  <c r="F117" i="3"/>
  <c r="F66" i="3"/>
  <c r="F61" i="4"/>
  <c r="F195" i="5"/>
  <c r="F191" i="5"/>
  <c r="F186" i="5"/>
  <c r="F181" i="5"/>
  <c r="F177" i="5"/>
  <c r="F172" i="5"/>
  <c r="F168" i="5"/>
  <c r="F164" i="5"/>
  <c r="F159" i="5"/>
  <c r="F155" i="5"/>
  <c r="F150" i="5"/>
  <c r="F146" i="5"/>
  <c r="F179" i="6"/>
  <c r="F166" i="6"/>
  <c r="F144" i="6"/>
  <c r="F130" i="6"/>
  <c r="F104" i="6"/>
  <c r="F90" i="6"/>
  <c r="F66" i="6"/>
  <c r="F26" i="3"/>
  <c r="F128" i="3"/>
  <c r="F112" i="3"/>
  <c r="F88" i="3"/>
  <c r="F56" i="3"/>
  <c r="F178" i="3"/>
  <c r="F142" i="3"/>
  <c r="F138" i="3"/>
  <c r="F195" i="4"/>
  <c r="F186" i="4"/>
  <c r="F177" i="4"/>
  <c r="F172" i="4"/>
  <c r="F168" i="4"/>
  <c r="F159" i="4"/>
  <c r="F150" i="4"/>
  <c r="F141" i="4"/>
  <c r="F132" i="4"/>
  <c r="F122" i="4"/>
  <c r="F111" i="4"/>
  <c r="F102" i="4"/>
  <c r="F98" i="4"/>
  <c r="F93" i="4"/>
  <c r="F82" i="4"/>
  <c r="F73" i="4"/>
  <c r="F64" i="4"/>
  <c r="F55" i="4"/>
  <c r="F45" i="4"/>
  <c r="F140" i="5"/>
  <c r="F136" i="5"/>
  <c r="F131" i="5"/>
  <c r="F120" i="5"/>
  <c r="F114" i="5"/>
  <c r="F110" i="5"/>
  <c r="F105" i="5"/>
  <c r="F101" i="5"/>
  <c r="F97" i="5"/>
  <c r="F91" i="5"/>
  <c r="F85" i="5"/>
  <c r="F81" i="5"/>
  <c r="F76" i="5"/>
  <c r="F72" i="5"/>
  <c r="F67" i="5"/>
  <c r="F63" i="5"/>
  <c r="F58" i="5"/>
  <c r="F53" i="5"/>
  <c r="F48" i="5"/>
  <c r="F43" i="5"/>
  <c r="F28" i="5"/>
  <c r="F23" i="5"/>
  <c r="F184" i="4"/>
  <c r="F179" i="4"/>
  <c r="F144" i="4"/>
  <c r="F139" i="4"/>
  <c r="F104" i="4"/>
  <c r="F100" i="4"/>
  <c r="F75" i="4"/>
  <c r="F71" i="4"/>
  <c r="F57" i="4"/>
  <c r="F52" i="4"/>
  <c r="F36" i="4"/>
  <c r="F31" i="4"/>
  <c r="F154" i="6"/>
  <c r="F76" i="6"/>
  <c r="F67" i="6"/>
  <c r="F58" i="6"/>
  <c r="F43" i="3"/>
  <c r="F185" i="3"/>
  <c r="F36" i="3"/>
  <c r="F31" i="3"/>
  <c r="F91" i="3"/>
  <c r="F36" i="5"/>
  <c r="F31" i="5"/>
  <c r="F36" i="6"/>
  <c r="F31" i="6"/>
  <c r="F6" i="5"/>
  <c r="F18" i="5"/>
  <c r="F6" i="6"/>
  <c r="F16" i="5"/>
  <c r="F7" i="3"/>
  <c r="F28" i="3"/>
  <c r="F110" i="3"/>
  <c r="F140" i="3"/>
  <c r="F62" i="3"/>
  <c r="F42" i="3"/>
  <c r="F193" i="3"/>
  <c r="F188" i="3"/>
  <c r="F179" i="3"/>
  <c r="F157" i="3"/>
  <c r="F148" i="3"/>
  <c r="F139" i="3"/>
  <c r="F125" i="3"/>
  <c r="F113" i="3"/>
  <c r="F63" i="4"/>
  <c r="F53" i="4"/>
  <c r="F43" i="4"/>
  <c r="F28" i="4"/>
  <c r="F23" i="4"/>
  <c r="F130" i="5"/>
  <c r="F90" i="5"/>
  <c r="F70" i="4"/>
  <c r="F120" i="3"/>
  <c r="F72" i="3"/>
  <c r="F194" i="3"/>
  <c r="F158" i="3"/>
  <c r="F45" i="3"/>
  <c r="F27" i="3"/>
  <c r="F192" i="4"/>
  <c r="F51" i="4"/>
  <c r="F41" i="4"/>
  <c r="F21" i="4"/>
  <c r="F196" i="6"/>
  <c r="F192" i="6"/>
  <c r="F187" i="6"/>
  <c r="F183" i="6"/>
  <c r="F178" i="6"/>
  <c r="F173" i="6"/>
  <c r="F169" i="6"/>
  <c r="F165" i="6"/>
  <c r="F160" i="6"/>
  <c r="F156" i="6"/>
  <c r="F151" i="6"/>
  <c r="F147" i="6"/>
  <c r="F142" i="6"/>
  <c r="F138" i="6"/>
  <c r="F133" i="6"/>
  <c r="F128" i="6"/>
  <c r="F123" i="6"/>
  <c r="F117" i="6"/>
  <c r="F112" i="6"/>
  <c r="F107" i="6"/>
  <c r="F103" i="6"/>
  <c r="F99" i="6"/>
  <c r="F94" i="6"/>
  <c r="F88" i="6"/>
  <c r="F83" i="6"/>
  <c r="F79" i="6"/>
  <c r="F74" i="6"/>
  <c r="F70" i="6"/>
  <c r="F65" i="6"/>
  <c r="F61" i="6"/>
  <c r="F56" i="6"/>
  <c r="F8" i="3"/>
  <c r="F108" i="3"/>
  <c r="F100" i="3"/>
  <c r="F80" i="3"/>
  <c r="F52" i="3"/>
  <c r="F174" i="3"/>
  <c r="F170" i="3"/>
  <c r="F162" i="3"/>
  <c r="F183" i="4"/>
  <c r="F173" i="4"/>
  <c r="F165" i="4"/>
  <c r="F156" i="4"/>
  <c r="F147" i="4"/>
  <c r="F138" i="4"/>
  <c r="F128" i="4"/>
  <c r="F117" i="4"/>
  <c r="F107" i="4"/>
  <c r="F99" i="4"/>
  <c r="F88" i="4"/>
  <c r="F79" i="4"/>
  <c r="F17" i="3"/>
  <c r="F22" i="3"/>
  <c r="F104" i="3"/>
  <c r="F96" i="3"/>
  <c r="F84" i="3"/>
  <c r="F166" i="3"/>
  <c r="F135" i="3"/>
  <c r="F119" i="3"/>
  <c r="F38" i="6"/>
  <c r="F73" i="3"/>
  <c r="F15" i="3"/>
  <c r="F69" i="3"/>
  <c r="F55" i="3"/>
  <c r="F50" i="3"/>
  <c r="F20" i="3"/>
  <c r="F195" i="3"/>
  <c r="F191" i="3"/>
  <c r="F177" i="3"/>
  <c r="F168" i="3"/>
  <c r="F159" i="3"/>
  <c r="F155" i="3"/>
  <c r="F141" i="3"/>
  <c r="F137" i="3"/>
  <c r="F122" i="3"/>
  <c r="F106" i="3"/>
  <c r="F102" i="3"/>
  <c r="F82" i="3"/>
  <c r="F78" i="3"/>
  <c r="F126" i="5"/>
  <c r="F145" i="6"/>
  <c r="F136" i="6"/>
  <c r="F114" i="6"/>
  <c r="F105" i="6"/>
  <c r="F97" i="6"/>
  <c r="F166" i="4"/>
  <c r="F157" i="4"/>
  <c r="F148" i="4"/>
  <c r="F130" i="4"/>
  <c r="F119" i="4"/>
  <c r="F108" i="4"/>
  <c r="F90" i="4"/>
  <c r="F80" i="4"/>
  <c r="F66" i="4"/>
  <c r="F62" i="4"/>
  <c r="F172" i="6"/>
  <c r="F137" i="6"/>
  <c r="F98" i="6"/>
  <c r="F41" i="6"/>
  <c r="F5" i="3"/>
  <c r="F75" i="3"/>
  <c r="F71" i="3"/>
  <c r="F119" i="5"/>
  <c r="F96" i="5"/>
  <c r="F84" i="5"/>
  <c r="F190" i="6"/>
  <c r="F180" i="6"/>
  <c r="F171" i="6"/>
  <c r="F127" i="3"/>
  <c r="F87" i="3"/>
  <c r="F47" i="3"/>
  <c r="F38" i="3"/>
  <c r="F33" i="3"/>
  <c r="F174" i="4"/>
  <c r="F170" i="4"/>
  <c r="F135" i="4"/>
  <c r="F47" i="4"/>
  <c r="F185" i="5"/>
  <c r="F180" i="5"/>
  <c r="F125" i="5"/>
  <c r="F51" i="5"/>
  <c r="F164" i="6"/>
  <c r="F116" i="6"/>
  <c r="F106" i="6"/>
  <c r="F51" i="6"/>
  <c r="F46" i="6"/>
  <c r="F185" i="6"/>
  <c r="F149" i="6"/>
  <c r="F110" i="6"/>
  <c r="F72" i="6"/>
  <c r="F32" i="6"/>
  <c r="F162" i="4"/>
  <c r="F125" i="4"/>
  <c r="F96" i="4"/>
  <c r="F42" i="4"/>
  <c r="F176" i="5"/>
  <c r="F171" i="5"/>
  <c r="F167" i="5"/>
  <c r="F163" i="5"/>
  <c r="F158" i="5"/>
  <c r="F154" i="5"/>
  <c r="F149" i="5"/>
  <c r="F145" i="5"/>
  <c r="F80" i="5"/>
  <c r="F75" i="5"/>
  <c r="F71" i="5"/>
  <c r="F66" i="5"/>
  <c r="F62" i="5"/>
  <c r="F52" i="5"/>
  <c r="F42" i="5"/>
  <c r="F196" i="5"/>
  <c r="F192" i="5"/>
  <c r="F187" i="5"/>
  <c r="F183" i="5"/>
  <c r="F178" i="5"/>
  <c r="F173" i="5"/>
  <c r="F169" i="5"/>
  <c r="F165" i="5"/>
  <c r="F160" i="5"/>
  <c r="F156" i="5"/>
  <c r="F151" i="5"/>
  <c r="F147" i="5"/>
  <c r="F141" i="5"/>
  <c r="F132" i="5"/>
  <c r="F122" i="5"/>
  <c r="F111" i="5"/>
  <c r="F102" i="5"/>
  <c r="F82" i="5"/>
  <c r="F73" i="5"/>
  <c r="F64" i="5"/>
  <c r="F55" i="5"/>
  <c r="F45" i="5"/>
  <c r="F25" i="5"/>
  <c r="F15" i="5"/>
  <c r="F155" i="6"/>
  <c r="F146" i="6"/>
  <c r="F26" i="6"/>
  <c r="F21" i="6"/>
  <c r="F16" i="6"/>
  <c r="F7" i="6"/>
  <c r="F5" i="6"/>
  <c r="F53" i="6"/>
  <c r="F43" i="6"/>
  <c r="F33" i="6"/>
  <c r="F23" i="6"/>
  <c r="F193" i="4"/>
  <c r="F188" i="4"/>
  <c r="F153" i="4"/>
  <c r="F113" i="4"/>
  <c r="F84" i="4"/>
  <c r="F27" i="4"/>
  <c r="F22" i="4"/>
  <c r="F17" i="4"/>
  <c r="F5" i="4"/>
  <c r="F38" i="4"/>
  <c r="F33" i="4"/>
  <c r="F194" i="5"/>
  <c r="F190" i="5"/>
  <c r="F139" i="5"/>
  <c r="F135" i="5"/>
  <c r="F113" i="5"/>
  <c r="F108" i="5"/>
  <c r="F104" i="5"/>
  <c r="F100" i="5"/>
  <c r="F22" i="5"/>
  <c r="F38" i="5"/>
  <c r="F33" i="5"/>
  <c r="F191" i="6"/>
  <c r="F181" i="6"/>
  <c r="F87" i="6"/>
  <c r="F6" i="3"/>
  <c r="F191" i="4"/>
  <c r="F164" i="4"/>
  <c r="F155" i="4"/>
  <c r="F146" i="4"/>
  <c r="F137" i="4"/>
  <c r="F127" i="4"/>
  <c r="F60" i="5"/>
  <c r="F137" i="5"/>
  <c r="F64" i="3"/>
  <c r="F186" i="3"/>
  <c r="F150" i="3"/>
  <c r="F132" i="3"/>
  <c r="F111" i="3"/>
  <c r="F93" i="3"/>
  <c r="F93" i="5"/>
  <c r="F25" i="3"/>
  <c r="F181" i="3"/>
  <c r="F76" i="3"/>
  <c r="F67" i="3"/>
  <c r="F58" i="3"/>
  <c r="F48" i="3"/>
  <c r="F18" i="3"/>
  <c r="F190" i="3"/>
  <c r="F180" i="3"/>
  <c r="F171" i="3"/>
  <c r="F163" i="3"/>
  <c r="F154" i="3"/>
  <c r="F145" i="3"/>
  <c r="F136" i="3"/>
  <c r="F126" i="3"/>
  <c r="F114" i="3"/>
  <c r="F105" i="3"/>
  <c r="F97" i="3"/>
  <c r="F85" i="3"/>
  <c r="F145" i="4"/>
  <c r="F136" i="4"/>
  <c r="F126" i="4"/>
  <c r="F114" i="4"/>
  <c r="F105" i="4"/>
  <c r="F72" i="4"/>
  <c r="F127" i="5"/>
  <c r="F116" i="4"/>
  <c r="F106" i="4"/>
  <c r="F87" i="4"/>
  <c r="F78" i="4"/>
  <c r="F69" i="4"/>
  <c r="F60" i="4"/>
  <c r="F50" i="4"/>
  <c r="F40" i="4"/>
  <c r="F20" i="4"/>
  <c r="F116" i="5"/>
  <c r="F106" i="5"/>
  <c r="F50" i="5"/>
  <c r="F193" i="5"/>
  <c r="F184" i="5"/>
  <c r="F174" i="5"/>
  <c r="F166" i="5"/>
  <c r="F157" i="5"/>
  <c r="F148" i="5"/>
  <c r="F138" i="5"/>
  <c r="F117" i="5"/>
  <c r="F99" i="5"/>
  <c r="F79" i="5"/>
  <c r="F61" i="5"/>
  <c r="F193" i="6"/>
  <c r="F170" i="6"/>
  <c r="F157" i="6"/>
  <c r="F135" i="6"/>
  <c r="F119" i="6"/>
  <c r="F96" i="6"/>
  <c r="F80" i="6"/>
  <c r="F57" i="6"/>
  <c r="F18" i="6"/>
  <c r="F194" i="6"/>
  <c r="F176" i="6"/>
  <c r="F167" i="6"/>
  <c r="F158" i="6"/>
  <c r="F140" i="6"/>
  <c r="F131" i="6"/>
  <c r="F120" i="6"/>
  <c r="F101" i="6"/>
  <c r="F91" i="6"/>
  <c r="F81" i="6"/>
  <c r="F63" i="6"/>
  <c r="F45" i="6"/>
  <c r="F25" i="6"/>
  <c r="F15" i="6"/>
  <c r="F85" i="4"/>
  <c r="F76" i="4"/>
  <c r="F67" i="4"/>
  <c r="F58" i="4"/>
  <c r="F48" i="4"/>
  <c r="F18" i="4"/>
  <c r="F78" i="5"/>
  <c r="F69" i="5"/>
  <c r="F20" i="5"/>
  <c r="F188" i="6"/>
  <c r="F174" i="6"/>
  <c r="F163" i="6"/>
  <c r="F153" i="6"/>
  <c r="F139" i="6"/>
  <c r="F126" i="6"/>
  <c r="F113" i="6"/>
  <c r="F100" i="6"/>
  <c r="F85" i="6"/>
  <c r="F75" i="6"/>
  <c r="F62" i="6"/>
  <c r="F48" i="6"/>
  <c r="F8" i="6"/>
  <c r="F196" i="4"/>
  <c r="F187" i="4"/>
  <c r="F178" i="4"/>
  <c r="F169" i="4"/>
  <c r="F160" i="4"/>
  <c r="F151" i="4"/>
  <c r="F142" i="4"/>
  <c r="F133" i="4"/>
  <c r="F123" i="4"/>
  <c r="F112" i="4"/>
  <c r="F103" i="4"/>
  <c r="F94" i="4"/>
  <c r="F83" i="4"/>
  <c r="F74" i="4"/>
  <c r="F65" i="4"/>
  <c r="F56" i="4"/>
  <c r="F46" i="4"/>
  <c r="F26" i="4"/>
  <c r="F16" i="4"/>
  <c r="F7" i="4"/>
  <c r="F98" i="5"/>
  <c r="F87" i="5"/>
  <c r="F40" i="5"/>
  <c r="F5" i="5"/>
  <c r="F57" i="5"/>
  <c r="F47" i="5"/>
  <c r="F27" i="5"/>
  <c r="F17" i="5"/>
  <c r="F8" i="5"/>
  <c r="F184" i="6"/>
  <c r="F162" i="6"/>
  <c r="F148" i="6"/>
  <c r="F125" i="6"/>
  <c r="F108" i="6"/>
  <c r="F84" i="6"/>
  <c r="F71" i="6"/>
  <c r="F195" i="6"/>
  <c r="F186" i="6"/>
  <c r="F177" i="6"/>
  <c r="F168" i="6"/>
  <c r="F159" i="6"/>
  <c r="F150" i="6"/>
  <c r="F141" i="6"/>
  <c r="F132" i="6"/>
  <c r="F122" i="6"/>
  <c r="F111" i="6"/>
  <c r="F102" i="6"/>
  <c r="F93" i="6"/>
  <c r="F82" i="6"/>
  <c r="F73" i="6"/>
  <c r="F64" i="6"/>
  <c r="F55" i="6"/>
  <c r="F37" i="6"/>
  <c r="G5" i="1"/>
  <c r="E10" i="4"/>
  <c r="F10" i="4" s="1"/>
  <c r="E10" i="6"/>
  <c r="F10" i="6" s="1"/>
  <c r="E10" i="3"/>
  <c r="F10" i="3" s="1"/>
  <c r="E10" i="5"/>
  <c r="F10" i="5" s="1"/>
  <c r="E13" i="4"/>
  <c r="F13" i="4" s="1"/>
  <c r="E13" i="3"/>
  <c r="F13" i="3" s="1"/>
  <c r="E12" i="6"/>
  <c r="F12" i="6" s="1"/>
  <c r="E11" i="4"/>
  <c r="F11" i="4" s="1"/>
  <c r="E13" i="5"/>
  <c r="F13" i="5" s="1"/>
  <c r="E11" i="5"/>
  <c r="F11" i="5" s="1"/>
  <c r="E11" i="3"/>
  <c r="F11" i="3" s="1"/>
  <c r="E12" i="3"/>
  <c r="F12" i="3" s="1"/>
  <c r="E12" i="4"/>
  <c r="F12" i="4" s="1"/>
  <c r="E12" i="5"/>
  <c r="F12" i="5" s="1"/>
  <c r="E11" i="6"/>
  <c r="F11" i="6" s="1"/>
  <c r="E13" i="6"/>
  <c r="F13" i="6" s="1"/>
  <c r="G5" i="13"/>
  <c r="G8" i="1"/>
  <c r="G7" i="1"/>
  <c r="G6" i="1"/>
  <c r="G7" i="14"/>
  <c r="G8" i="13"/>
  <c r="G6" i="13" l="1"/>
  <c r="G5" i="14"/>
  <c r="G8" i="14"/>
  <c r="G7" i="13"/>
  <c r="F197" i="5"/>
  <c r="G29" i="1"/>
  <c r="G173" i="1" s="1"/>
  <c r="G29" i="13"/>
  <c r="G173" i="13" s="1"/>
  <c r="G6" i="14"/>
  <c r="G29" i="14" s="1"/>
  <c r="G173" i="14" s="1"/>
  <c r="F197" i="3"/>
  <c r="F197" i="6"/>
  <c r="F197" i="4"/>
</calcChain>
</file>

<file path=xl/sharedStrings.xml><?xml version="1.0" encoding="utf-8"?>
<sst xmlns="http://schemas.openxmlformats.org/spreadsheetml/2006/main" count="3958" uniqueCount="1146">
  <si>
    <r>
      <rPr>
        <b/>
        <u/>
        <sz val="11"/>
        <color theme="1"/>
        <rFont val="Calibri"/>
        <family val="2"/>
        <scheme val="minor"/>
      </rPr>
      <t>INSTRUCTIONS</t>
    </r>
    <r>
      <rPr>
        <b/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2"/>
        <scheme val="minor"/>
      </rPr>
      <t>Please note the quantites listed below are for evaluation purposes only.  Quoters are not expected to have a minimum of the units used to evaluate. Unit Price will be fixed at time of award.</t>
    </r>
  </si>
  <si>
    <t>CLIN</t>
  </si>
  <si>
    <t>Description</t>
  </si>
  <si>
    <t>Quantities</t>
  </si>
  <si>
    <t>Unit</t>
  </si>
  <si>
    <t>Unit Price</t>
  </si>
  <si>
    <t>Total Price</t>
  </si>
  <si>
    <t>0001</t>
  </si>
  <si>
    <r>
      <t xml:space="preserve">Commodity Pre-Positioning. </t>
    </r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Deliver Empty Shipping Containers to FEMA loading/discharging (receiving) locations. </t>
    </r>
    <r>
      <rPr>
        <sz val="11"/>
        <color theme="1"/>
        <rFont val="Calibri"/>
        <family val="2"/>
        <scheme val="minor"/>
      </rPr>
      <t>(Inclusive of container handling (CHE)/material handling (MHE) equipment)</t>
    </r>
  </si>
  <si>
    <t>-</t>
  </si>
  <si>
    <t>0001AA</t>
  </si>
  <si>
    <t>Destination: Mid Atlantic Region</t>
  </si>
  <si>
    <t>EA</t>
  </si>
  <si>
    <t>0001AB</t>
  </si>
  <si>
    <t>Destination: South Atlantic Region</t>
  </si>
  <si>
    <t>0001AC</t>
  </si>
  <si>
    <t>Destination: Gulf Coast</t>
  </si>
  <si>
    <t>0001AD</t>
  </si>
  <si>
    <t>Destination: FEMA Distribution Center Caribbean, San Juan PR</t>
  </si>
  <si>
    <t>0002</t>
  </si>
  <si>
    <r>
      <rPr>
        <b/>
        <u/>
        <sz val="11"/>
        <rFont val="Calibri"/>
        <family val="2"/>
        <scheme val="minor"/>
      </rPr>
      <t>Task</t>
    </r>
    <r>
      <rPr>
        <b/>
        <sz val="11"/>
        <rFont val="Calibri"/>
        <family val="2"/>
        <scheme val="minor"/>
      </rPr>
      <t>: Surface line haul/Drayage services of containerized commodities from Origin to Port of Embarkation.</t>
    </r>
    <r>
      <rPr>
        <sz val="11"/>
        <rFont val="Calibri"/>
        <family val="2"/>
        <scheme val="minor"/>
      </rPr>
      <t xml:space="preserve"> (Inclusive of container handling (CHE)/material handling (MHE) equipment)</t>
    </r>
  </si>
  <si>
    <t>0002AA</t>
  </si>
  <si>
    <t>Ground Transportation: Point of Origin to Port of Embarkation (Mid Atlantic Region)</t>
  </si>
  <si>
    <t>0002AB</t>
  </si>
  <si>
    <t>Ground Transportation: Point of Origin to Port of Embarkation (South Atlantic Region)</t>
  </si>
  <si>
    <t>Ground Transportation: Point of Origin to Port of Embarkation (Gulf Coast)</t>
  </si>
  <si>
    <t>Ground Transportation: Point of Origin to Port of Embarkation (FEMA Distribution Center Caribbean, San Juan PR)</t>
  </si>
  <si>
    <t>0003</t>
  </si>
  <si>
    <r>
      <rPr>
        <b/>
        <u/>
        <sz val="11"/>
        <rFont val="Calibri"/>
        <family val="2"/>
        <scheme val="minor"/>
      </rPr>
      <t>Task</t>
    </r>
    <r>
      <rPr>
        <b/>
        <sz val="11"/>
        <rFont val="Calibri"/>
        <family val="2"/>
        <scheme val="minor"/>
      </rPr>
      <t xml:space="preserve">: Surface line haul/Drayage services of Breakbulk Cargo. </t>
    </r>
    <r>
      <rPr>
        <sz val="11"/>
        <rFont val="Calibri"/>
        <family val="2"/>
        <scheme val="minor"/>
      </rPr>
      <t>(Per Chassis) (Inclusive of container handling (CHE)/material handling (MHE) equipment)</t>
    </r>
  </si>
  <si>
    <t>0003AA</t>
  </si>
  <si>
    <t>0003AB</t>
  </si>
  <si>
    <t>0004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</si>
  <si>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Transport loaded containers, via ocean vessel from Port of Embarkation to assigned port in the USVI, FOB Destination. </t>
    </r>
    <r>
      <rPr>
        <sz val="11"/>
        <color theme="1"/>
        <rFont val="Calibri"/>
        <family val="2"/>
        <scheme val="minor"/>
      </rPr>
      <t>(Inclusive of container handling (CHE)/material handling (MHE) equipment)</t>
    </r>
  </si>
  <si>
    <t>0004AA</t>
  </si>
  <si>
    <t>Ocean Transportation: Mid Atlantic Region to assigned port in the USVI</t>
  </si>
  <si>
    <t>0004AB</t>
  </si>
  <si>
    <t>Ocean Transportation: South Atlantic Region to assigned port in the USVI</t>
  </si>
  <si>
    <t>Ocean Transportation: Gulf Coast to assigned port in the USVI</t>
  </si>
  <si>
    <t>Ocean Transportation: FEMA Distribution Center Caribbean, San Juan PR to assigned port in the USVI</t>
  </si>
  <si>
    <t>0005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</si>
  <si>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Transport loaded containers, via ocean vessel from Port of Embarkation to assigned port in Puerto Rico, FOB Destination. </t>
    </r>
    <r>
      <rPr>
        <sz val="11"/>
        <color theme="1"/>
        <rFont val="Calibri"/>
        <family val="2"/>
        <scheme val="minor"/>
      </rPr>
      <t>(Inclusive of container handling (CHE)/material handling (MHE) equipment)</t>
    </r>
  </si>
  <si>
    <t>0005AA</t>
  </si>
  <si>
    <t>Ocean Transportation: Mid Atlantic Region to assigned port in Puerto Rico</t>
  </si>
  <si>
    <t>0005AB</t>
  </si>
  <si>
    <t>Ocean Transportation: South Atlantic Region to assigned port in Puerto Rico</t>
  </si>
  <si>
    <t>0005AC</t>
  </si>
  <si>
    <t>Ocean Transportation: Gulf Coast to assigned port in Puerto Rico</t>
  </si>
  <si>
    <t>0005AD</t>
  </si>
  <si>
    <t>Ocean Transportation: FEMA Distribution Center Caribbean, San Juan PR to assigned port in Puerto Rico</t>
  </si>
  <si>
    <t>0006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</si>
  <si>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Dedicated Vessel Voyage from Port of Embarkation to assigned port in USVI, FOB Destination </t>
    </r>
    <r>
      <rPr>
        <sz val="11"/>
        <color theme="1"/>
        <rFont val="Calibri"/>
        <family val="2"/>
        <scheme val="minor"/>
      </rPr>
      <t>(Inclusive of container handling (CHE)/material handling (MHE) equipment and services) (30 day minimum length of dedicated vessel)</t>
    </r>
  </si>
  <si>
    <t>0006AA</t>
  </si>
  <si>
    <t>Vessel/Barge per Day</t>
  </si>
  <si>
    <t>0006AB</t>
  </si>
  <si>
    <t>0007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</si>
  <si>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Dedicated Vessel Voyage from Port of Embarkation to assigned port in Puerto Rico, FOB Destination </t>
    </r>
    <r>
      <rPr>
        <sz val="11"/>
        <color theme="1"/>
        <rFont val="Calibri"/>
        <family val="2"/>
        <scheme val="minor"/>
      </rPr>
      <t xml:space="preserve">(Inclusive of container handling (CHE)/material handling (MHE) equipment and services) </t>
    </r>
    <r>
      <rPr>
        <sz val="11"/>
        <color rgb="FF7030A0"/>
        <rFont val="Calibri"/>
        <family val="2"/>
        <scheme val="minor"/>
      </rPr>
      <t>(30 day minimum length of dedicated vessel)</t>
    </r>
  </si>
  <si>
    <t>0007AA</t>
  </si>
  <si>
    <t>0007AB</t>
  </si>
  <si>
    <t>0008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</si>
  <si>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Expedited Air Transportation Services. USVI, FOB Destination. </t>
    </r>
    <r>
      <rPr>
        <sz val="11"/>
        <color theme="1"/>
        <rFont val="Calibri"/>
        <family val="2"/>
        <scheme val="minor"/>
      </rPr>
      <t>(Inclusive of container handling (CHE)/material handling (MHE) equipment).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Standard Pallet Size (48"L x 40"W x 48"H). Weight: </t>
    </r>
    <r>
      <rPr>
        <u/>
        <sz val="11"/>
        <color theme="1"/>
        <rFont val="Calibri"/>
        <family val="2"/>
        <scheme val="minor"/>
      </rPr>
      <t>Up to 1650lbs</t>
    </r>
    <r>
      <rPr>
        <sz val="11"/>
        <color theme="1"/>
        <rFont val="Calibri"/>
        <family val="2"/>
        <scheme val="minor"/>
      </rPr>
      <t>.</t>
    </r>
  </si>
  <si>
    <t>0008AA</t>
  </si>
  <si>
    <t>Air Transportation: Mid Atlantic Region to Destination USVI</t>
  </si>
  <si>
    <t>Warehouse Pallets</t>
  </si>
  <si>
    <t>0008AB</t>
  </si>
  <si>
    <t>Air Transportation: South Atlantic Region to Destination USVI</t>
  </si>
  <si>
    <t>0008AC</t>
  </si>
  <si>
    <t>Air Transportation: Gulf Coast to Destination USVI</t>
  </si>
  <si>
    <t>0008AD</t>
  </si>
  <si>
    <t>Air Transportation: FEMA Distribution Center Caribbean to Destination USVI</t>
  </si>
  <si>
    <t>0009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</si>
  <si>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Expedited Air Transportation Services. Puerto Rico, FOB Destination. </t>
    </r>
    <r>
      <rPr>
        <sz val="11"/>
        <color theme="1"/>
        <rFont val="Calibri"/>
        <family val="2"/>
        <scheme val="minor"/>
      </rPr>
      <t>(Inclusive of container handling (CHE)/material handling (MHE) equipment).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Standard Pallet Size (48"L x 40"W x 48"H). Weight: </t>
    </r>
    <r>
      <rPr>
        <u/>
        <sz val="11"/>
        <color theme="1"/>
        <rFont val="Calibri"/>
        <family val="2"/>
        <scheme val="minor"/>
      </rPr>
      <t>Up to 1650lbs</t>
    </r>
    <r>
      <rPr>
        <sz val="11"/>
        <color theme="1"/>
        <rFont val="Calibri"/>
        <family val="2"/>
        <scheme val="minor"/>
      </rPr>
      <t>.</t>
    </r>
  </si>
  <si>
    <t>0009AA</t>
  </si>
  <si>
    <t>Air Transportation: Mid Atlantic Region to Destination Puerto Rico</t>
  </si>
  <si>
    <t>0009AB</t>
  </si>
  <si>
    <t>Air Transportation: South Atlantic Region to Destination Puerto Rico</t>
  </si>
  <si>
    <t>0009AC</t>
  </si>
  <si>
    <t>Air Transportation: Gulf Coast to Destination Puerto Rico</t>
  </si>
  <si>
    <t>0009AD</t>
  </si>
  <si>
    <t>Air Transportation: FEMA Distribution Center Caribbean to Destination Puerto Rico</t>
  </si>
  <si>
    <t>0010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</si>
  <si>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Expedited Air Transportation Services. USVI, FOB Destination. </t>
    </r>
    <r>
      <rPr>
        <sz val="11"/>
        <color theme="1"/>
        <rFont val="Calibri"/>
        <family val="2"/>
        <scheme val="minor"/>
      </rPr>
      <t>(Inclusive of container handling (CHE)/material handling (MHE) equipment)</t>
    </r>
    <r>
      <rPr>
        <b/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 xml:space="preserve">Standard Pallet Size (48"L x 40"W x 48"H). Weight: </t>
    </r>
    <r>
      <rPr>
        <u/>
        <sz val="11"/>
        <color theme="1"/>
        <rFont val="Calibri"/>
        <family val="2"/>
        <scheme val="minor"/>
      </rPr>
      <t>1650lbs and above</t>
    </r>
    <r>
      <rPr>
        <sz val="11"/>
        <color theme="1"/>
        <rFont val="Calibri"/>
        <family val="2"/>
        <scheme val="minor"/>
      </rPr>
      <t>.</t>
    </r>
  </si>
  <si>
    <t>0010AA</t>
  </si>
  <si>
    <t>0010AB</t>
  </si>
  <si>
    <t>0010AC</t>
  </si>
  <si>
    <t>0010AD</t>
  </si>
  <si>
    <t>0011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</si>
  <si>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Expedited Air Transportation Services. Puerto Rico, FOB Destination. </t>
    </r>
    <r>
      <rPr>
        <sz val="11"/>
        <color theme="1"/>
        <rFont val="Calibri"/>
        <family val="2"/>
        <scheme val="minor"/>
      </rPr>
      <t>(Inclusive of container handling (CHE)/material handling (MHE) equipment).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Standard Pallet Size (48"L x 40"W x 48"H). Weight: </t>
    </r>
    <r>
      <rPr>
        <u/>
        <sz val="11"/>
        <color theme="1"/>
        <rFont val="Calibri"/>
        <family val="2"/>
        <scheme val="minor"/>
      </rPr>
      <t>1650lbs and above</t>
    </r>
    <r>
      <rPr>
        <sz val="11"/>
        <color theme="1"/>
        <rFont val="Calibri"/>
        <family val="2"/>
        <scheme val="minor"/>
      </rPr>
      <t>.</t>
    </r>
  </si>
  <si>
    <t>0011AA</t>
  </si>
  <si>
    <t>0011AB</t>
  </si>
  <si>
    <t>0011AC</t>
  </si>
  <si>
    <t>0011AD</t>
  </si>
  <si>
    <t>0012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</si>
  <si>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Transport Breakbulk Cargo (up to 700 cft) </t>
    </r>
    <r>
      <rPr>
        <sz val="11"/>
        <color theme="1"/>
        <rFont val="Calibri"/>
        <family val="2"/>
        <scheme val="minor"/>
      </rPr>
      <t>(Inclusive of container handling (CHE)/material handling (MHE) equipment and services)</t>
    </r>
  </si>
  <si>
    <t>0012AA</t>
  </si>
  <si>
    <t>Ocean Transportation: Mid Atlantic Region to Destination USVI</t>
  </si>
  <si>
    <t>Cubic Feet</t>
  </si>
  <si>
    <t>0012AB</t>
  </si>
  <si>
    <t>Ocean Transportation: Mid Atlantic Region to Destination Puerto Rico</t>
  </si>
  <si>
    <t>0012AC</t>
  </si>
  <si>
    <t>Ocean Transportation: South Atlantic Region to Destination USVI</t>
  </si>
  <si>
    <t>0012AD</t>
  </si>
  <si>
    <t>Ocean Transportation: South Atlantic Region to Destination Puerto Rico</t>
  </si>
  <si>
    <t>0012AE</t>
  </si>
  <si>
    <t>Ocean Transportation: Gulf Coast to Destination USVI</t>
  </si>
  <si>
    <t>0012AF</t>
  </si>
  <si>
    <t>Ocean Transportation: Gulf Coast to Destination Puerto Rico</t>
  </si>
  <si>
    <t>0012AG</t>
  </si>
  <si>
    <t>Ocean Transportation: FEMA Distribution Center Caribbean to Destination USVI</t>
  </si>
  <si>
    <t>Ocean Transportation: FEMA Distribution Center Caribbean to Destination Puerto Rico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</si>
  <si>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Transport Breakbulk Cargo (from 701 to 1200 cft) </t>
    </r>
    <r>
      <rPr>
        <sz val="11"/>
        <color theme="1"/>
        <rFont val="Calibri"/>
        <family val="2"/>
        <scheme val="minor"/>
      </rPr>
      <t>(Inclusive of container handling (CHE)/material handling (MHE) equipment and services)</t>
    </r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</si>
  <si>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Transport Breakbulk Cargo (over 1200 cft) </t>
    </r>
    <r>
      <rPr>
        <sz val="11"/>
        <color theme="1"/>
        <rFont val="Calibri"/>
        <family val="2"/>
        <scheme val="minor"/>
      </rPr>
      <t>(Inclusive of container handling (CHE)/material handling (MHE) equipment and services)</t>
    </r>
  </si>
  <si>
    <t>0015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</si>
  <si>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>: Surface line haul services of containerized commodities from Port of Debarkation to FEMA designated Point of Need.</t>
    </r>
    <r>
      <rPr>
        <sz val="11"/>
        <color theme="1"/>
        <rFont val="Calibri"/>
        <family val="2"/>
        <scheme val="minor"/>
      </rPr>
      <t xml:space="preserve"> (Inclusive of container handling (CHE)/material handling (MHE) equipment)</t>
    </r>
  </si>
  <si>
    <t>0015AA</t>
  </si>
  <si>
    <t>Ground Transportation: Destination - USVI locations</t>
  </si>
  <si>
    <t>0015AB</t>
  </si>
  <si>
    <t>Ground Transportation: Destination - Puerto Rico locations</t>
  </si>
  <si>
    <t>0016</t>
  </si>
  <si>
    <r>
      <rPr>
        <b/>
        <u/>
        <sz val="11"/>
        <rFont val="Calibri"/>
        <family val="2"/>
        <scheme val="minor"/>
      </rPr>
      <t>Task</t>
    </r>
    <r>
      <rPr>
        <b/>
        <sz val="11"/>
        <rFont val="Calibri"/>
        <family val="2"/>
        <scheme val="minor"/>
      </rPr>
      <t xml:space="preserve">: Surface line haul services of Breakbulk Cargo. </t>
    </r>
    <r>
      <rPr>
        <sz val="11"/>
        <rFont val="Calibri"/>
        <family val="2"/>
        <scheme val="minor"/>
      </rPr>
      <t>(Per Chassis) (Inclusive of container handling (CHE)/material handling (MHE) equipment)</t>
    </r>
  </si>
  <si>
    <t>0016AA</t>
  </si>
  <si>
    <t>0016AB</t>
  </si>
  <si>
    <t>0017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</si>
  <si>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>: Surface line haul services of containerized commodities Intra-Island.</t>
    </r>
    <r>
      <rPr>
        <sz val="11"/>
        <color theme="1"/>
        <rFont val="Calibri"/>
        <family val="2"/>
        <scheme val="minor"/>
      </rPr>
      <t xml:space="preserve"> (Inclusive of container handling (CHE)/material handling (MHE) equipment)</t>
    </r>
  </si>
  <si>
    <t>0017AA</t>
  </si>
  <si>
    <t>Ground Transportation: USVI locations</t>
  </si>
  <si>
    <t>0017AB</t>
  </si>
  <si>
    <t>Ground Transportation: Puerto Rico locations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</si>
  <si>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Container Staging Services. </t>
    </r>
    <r>
      <rPr>
        <sz val="11"/>
        <color theme="1"/>
        <rFont val="Calibri"/>
        <family val="2"/>
        <scheme val="minor"/>
      </rPr>
      <t>(Inclusive of container handling (CHE)/material handling (MHE) equipment)</t>
    </r>
  </si>
  <si>
    <t>Location: USVI</t>
  </si>
  <si>
    <t>Location: Puerto Rico</t>
  </si>
  <si>
    <r>
      <t xml:space="preserve">Daily Container Retention Rate (20ft, 40ft, 53ft) </t>
    </r>
    <r>
      <rPr>
        <sz val="11"/>
        <color theme="1"/>
        <rFont val="Calibri"/>
        <family val="2"/>
        <scheme val="minor"/>
      </rPr>
      <t xml:space="preserve">(with </t>
    </r>
    <r>
      <rPr>
        <sz val="11"/>
        <color rgb="FFFF0000"/>
        <rFont val="Calibri"/>
        <family val="2"/>
        <scheme val="minor"/>
      </rPr>
      <t>[insert # of days]</t>
    </r>
    <r>
      <rPr>
        <sz val="11"/>
        <color theme="1"/>
        <rFont val="Calibri"/>
        <family val="2"/>
        <scheme val="minor"/>
      </rPr>
      <t xml:space="preserve"> free of charge days)</t>
    </r>
  </si>
  <si>
    <t>EA/DAY</t>
  </si>
  <si>
    <r>
      <t xml:space="preserve">Daily Container Detention Rate (20ft, 40ft, 53ft) </t>
    </r>
    <r>
      <rPr>
        <sz val="11"/>
        <color theme="1"/>
        <rFont val="Calibri"/>
        <family val="2"/>
        <scheme val="minor"/>
      </rPr>
      <t xml:space="preserve">(starting on the </t>
    </r>
    <r>
      <rPr>
        <sz val="11"/>
        <color rgb="FFFF0000"/>
        <rFont val="Calibri"/>
        <family val="2"/>
        <scheme val="minor"/>
      </rPr>
      <t xml:space="preserve">[Xth] </t>
    </r>
    <r>
      <rPr>
        <sz val="11"/>
        <color theme="1"/>
        <rFont val="Calibri"/>
        <family val="2"/>
        <scheme val="minor"/>
      </rPr>
      <t>day)</t>
    </r>
  </si>
  <si>
    <r>
      <t xml:space="preserve">Daily Chassis Detention Rate (starting on the </t>
    </r>
    <r>
      <rPr>
        <sz val="11"/>
        <color rgb="FFFF0000"/>
        <rFont val="Calibri"/>
        <family val="2"/>
        <scheme val="minor"/>
      </rPr>
      <t xml:space="preserve">[Xth] </t>
    </r>
    <r>
      <rPr>
        <sz val="11"/>
        <color theme="1"/>
        <rFont val="Calibri"/>
        <family val="2"/>
        <scheme val="minor"/>
      </rPr>
      <t>day)</t>
    </r>
  </si>
  <si>
    <r>
      <t xml:space="preserve">Daily Container Demurrage Rate (20ft, 40ft, 53ft) (starting on the </t>
    </r>
    <r>
      <rPr>
        <sz val="11"/>
        <color rgb="FFFF0000"/>
        <rFont val="Calibri"/>
        <family val="2"/>
        <scheme val="minor"/>
      </rPr>
      <t>[Xth]</t>
    </r>
    <r>
      <rPr>
        <sz val="11"/>
        <rFont val="Calibri"/>
        <family val="2"/>
        <scheme val="minor"/>
      </rPr>
      <t xml:space="preserve"> day)</t>
    </r>
  </si>
  <si>
    <r>
      <t xml:space="preserve">Daily Reefer Container Retention Rate (with </t>
    </r>
    <r>
      <rPr>
        <sz val="11"/>
        <color rgb="FFFF0000"/>
        <rFont val="Calibri"/>
        <family val="2"/>
        <scheme val="minor"/>
      </rPr>
      <t xml:space="preserve">[insert # of days] </t>
    </r>
    <r>
      <rPr>
        <sz val="11"/>
        <color theme="1"/>
        <rFont val="Calibri"/>
        <family val="2"/>
        <scheme val="minor"/>
      </rPr>
      <t>free-of-charge days) (inclusive of maintenance and fuel as necessary)</t>
    </r>
  </si>
  <si>
    <r>
      <t xml:space="preserve">Daily Reefer Container Detention Rate (starting on the </t>
    </r>
    <r>
      <rPr>
        <sz val="11"/>
        <color rgb="FFFF0000"/>
        <rFont val="Calibri"/>
        <family val="2"/>
        <scheme val="minor"/>
      </rPr>
      <t>[Xth]</t>
    </r>
    <r>
      <rPr>
        <sz val="11"/>
        <color theme="1"/>
        <rFont val="Calibri"/>
        <family val="2"/>
        <scheme val="minor"/>
      </rPr>
      <t xml:space="preserve"> day)  (inclusive of maintenance and fuel as necessary)</t>
    </r>
  </si>
  <si>
    <r>
      <t xml:space="preserve">Daily Reefer Container Demurrage Rate (starting on the </t>
    </r>
    <r>
      <rPr>
        <sz val="11"/>
        <color rgb="FFFF0000"/>
        <rFont val="Calibri"/>
        <family val="2"/>
        <scheme val="minor"/>
      </rPr>
      <t>[Xth]</t>
    </r>
    <r>
      <rPr>
        <sz val="11"/>
        <color theme="1"/>
        <rFont val="Calibri"/>
        <family val="2"/>
        <scheme val="minor"/>
      </rPr>
      <t xml:space="preserve"> day)  (inclusive of maintenance and fuel as necessary)</t>
    </r>
  </si>
  <si>
    <t>Reefer Lease  (inclusive of maintenance and fuel as necessary)</t>
  </si>
  <si>
    <t>Chassis Lease</t>
  </si>
  <si>
    <t xml:space="preserve">ISO Tank Lease  </t>
  </si>
  <si>
    <r>
      <t xml:space="preserve">ISO Tank Retention Rate (with </t>
    </r>
    <r>
      <rPr>
        <sz val="11"/>
        <color rgb="FFFF0000"/>
        <rFont val="Calibri"/>
        <family val="2"/>
        <scheme val="minor"/>
      </rPr>
      <t xml:space="preserve">[insert # of days] </t>
    </r>
    <r>
      <rPr>
        <sz val="11"/>
        <color rgb="FF7030A0"/>
        <rFont val="Calibri"/>
        <family val="2"/>
        <scheme val="minor"/>
      </rPr>
      <t>free of charge days)</t>
    </r>
  </si>
  <si>
    <t>0019</t>
  </si>
  <si>
    <r>
      <rPr>
        <b/>
        <sz val="11"/>
        <rFont val="Calibri"/>
        <family val="2"/>
        <scheme val="minor"/>
      </rPr>
      <t>Crossdocking.</t>
    </r>
    <r>
      <rPr>
        <sz val="11"/>
        <rFont val="Calibri"/>
        <family val="2"/>
        <scheme val="minor"/>
      </rPr>
      <t xml:space="preserve"> (Inclusive of container handling (CHE)/material handling (MHE) equipment)</t>
    </r>
  </si>
  <si>
    <t>0019AA</t>
  </si>
  <si>
    <t>Location: Mid-Atlantic Region</t>
  </si>
  <si>
    <t>Containers</t>
  </si>
  <si>
    <t>0019AB</t>
  </si>
  <si>
    <t>Location: South Atlantic Region</t>
  </si>
  <si>
    <t>0019AC</t>
  </si>
  <si>
    <t>Location: Gulf Coast Region</t>
  </si>
  <si>
    <t>0020</t>
  </si>
  <si>
    <r>
      <t xml:space="preserve">Retrograde Commodity Pre-Positioning. </t>
    </r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Deliver Empty Shipping Containers to FEMA designated Point of Need. </t>
    </r>
    <r>
      <rPr>
        <sz val="11"/>
        <color theme="1"/>
        <rFont val="Calibri"/>
        <family val="2"/>
        <scheme val="minor"/>
      </rPr>
      <t>(Inclusive of container handling (CHE)/material handling (MHE) equipment)</t>
    </r>
  </si>
  <si>
    <t>0020AA</t>
  </si>
  <si>
    <t>Destination: USVI locations</t>
  </si>
  <si>
    <t>0020AB</t>
  </si>
  <si>
    <t>Destination: Puerto Rico locations</t>
  </si>
  <si>
    <t>0021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</si>
  <si>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Surface line haul services of containerized retrograde commodities from FEMA designated Point of Need to port of embarkation. </t>
    </r>
    <r>
      <rPr>
        <sz val="11"/>
        <color theme="1"/>
        <rFont val="Calibri"/>
        <family val="2"/>
        <scheme val="minor"/>
      </rPr>
      <t>(Inclusive of container handling (CHE)/material handling (MHE) equipment)</t>
    </r>
  </si>
  <si>
    <t>0021AA</t>
  </si>
  <si>
    <t>Ground Transportation: Port of Embarkation - USVI</t>
  </si>
  <si>
    <t>0021AB</t>
  </si>
  <si>
    <t>Ground Transportation: Port of Embarkation - Puerto Rico</t>
  </si>
  <si>
    <t>0022</t>
  </si>
  <si>
    <r>
      <rPr>
        <b/>
        <u/>
        <sz val="11"/>
        <rFont val="Calibri"/>
        <family val="2"/>
        <scheme val="minor"/>
      </rPr>
      <t>Task</t>
    </r>
    <r>
      <rPr>
        <b/>
        <sz val="11"/>
        <rFont val="Calibri"/>
        <family val="2"/>
        <scheme val="minor"/>
      </rPr>
      <t xml:space="preserve">: Surface line haul services of retrograde Breakbulk Cargo from FEMA designated Point of Need to port of embarkation. </t>
    </r>
    <r>
      <rPr>
        <sz val="11"/>
        <rFont val="Calibri"/>
        <family val="2"/>
        <scheme val="minor"/>
      </rPr>
      <t>(Per Chassis) (Inclusive of container handling (CHE)/material handling (MHE) equipment)</t>
    </r>
  </si>
  <si>
    <t>0022AA</t>
  </si>
  <si>
    <t>0022AB</t>
  </si>
  <si>
    <t>0023</t>
  </si>
  <si>
    <r>
      <t xml:space="preserve">Task: Retrograde fully loaded containerized commodities from USVI to origin loading facility. </t>
    </r>
    <r>
      <rPr>
        <sz val="11"/>
        <color theme="1"/>
        <rFont val="Calibri"/>
        <family val="2"/>
        <scheme val="minor"/>
      </rPr>
      <t>(Inclusive of container handling (CHE)/material handling (MHE) equipment)</t>
    </r>
  </si>
  <si>
    <t>0023AA</t>
  </si>
  <si>
    <t>Ocean Transportation: USVI to Mid Atlantic Region</t>
  </si>
  <si>
    <t>0023AB</t>
  </si>
  <si>
    <t>Ocean Transportation: USVI to South Atlantic Region</t>
  </si>
  <si>
    <t>0023AC</t>
  </si>
  <si>
    <t>Ocean Transportation: USVI to Gulf Coast</t>
  </si>
  <si>
    <t>Ocean Transportation: USVI to FEMA Distribution Center Caribbean, San Juan PR</t>
  </si>
  <si>
    <t>0024</t>
  </si>
  <si>
    <r>
      <rPr>
        <b/>
        <u/>
        <sz val="11"/>
        <rFont val="Calibri"/>
        <family val="2"/>
        <scheme val="minor"/>
      </rPr>
      <t>Task</t>
    </r>
    <r>
      <rPr>
        <b/>
        <sz val="11"/>
        <rFont val="Calibri"/>
        <family val="2"/>
        <scheme val="minor"/>
      </rPr>
      <t xml:space="preserve">: Retrograde fully loaded containerized commodities from Puerto Rico to origin loading facility. </t>
    </r>
    <r>
      <rPr>
        <sz val="11"/>
        <rFont val="Calibri"/>
        <family val="2"/>
        <scheme val="minor"/>
      </rPr>
      <t>(Inclusive of container handling (CHE)/material handling (MHE) equipment)</t>
    </r>
  </si>
  <si>
    <t>0024AA</t>
  </si>
  <si>
    <t>Ocean Transportation: Puerto Rico to Mid Atlantic Region</t>
  </si>
  <si>
    <t>0024AB</t>
  </si>
  <si>
    <t>Ocean Transportation: Puerto Rico to South Atlantic Region</t>
  </si>
  <si>
    <t>0024AC</t>
  </si>
  <si>
    <t>Ocean Transportation: Puerto Rico to Gulf Coast</t>
  </si>
  <si>
    <t>Ocean Transportation: Puerto Rico to FEMA Distribution Center Caribbean, San Juan PR</t>
  </si>
  <si>
    <t>0025</t>
  </si>
  <si>
    <r>
      <rPr>
        <b/>
        <u/>
        <sz val="11"/>
        <color theme="1"/>
        <rFont val="Calibri"/>
        <family val="2"/>
        <scheme val="minor"/>
      </rPr>
      <t>Task:</t>
    </r>
    <r>
      <rPr>
        <b/>
        <sz val="11"/>
        <color theme="1"/>
        <rFont val="Calibri"/>
        <family val="2"/>
        <scheme val="minor"/>
      </rPr>
      <t xml:space="preserve"> Retrograde Breakbulk Cargo (up to 700 cft) </t>
    </r>
    <r>
      <rPr>
        <sz val="11"/>
        <color theme="1"/>
        <rFont val="Calibri"/>
        <family val="2"/>
        <scheme val="minor"/>
      </rPr>
      <t>(Inclusive of container handling (CHE)/material handling (MHE) equipment and services)</t>
    </r>
  </si>
  <si>
    <t>0025AA</t>
  </si>
  <si>
    <t>0025AB</t>
  </si>
  <si>
    <t>0025AC</t>
  </si>
  <si>
    <t>Ocean Transportation: USVI to FEMA Distribution Center Caribbean</t>
  </si>
  <si>
    <t>Ocean Transportation: Puerto Rico to FEMA Distribution Center Caribbean</t>
  </si>
  <si>
    <t>0026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</si>
  <si>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Retrograde Breakbulk Cargo (from 701 to 1200 cft) </t>
    </r>
    <r>
      <rPr>
        <sz val="11"/>
        <color theme="1"/>
        <rFont val="Calibri"/>
        <family val="2"/>
        <scheme val="minor"/>
      </rPr>
      <t>(Inclusive of container handling (CHE)/material handling (MHE) equipment and services)</t>
    </r>
  </si>
  <si>
    <t>0026AA</t>
  </si>
  <si>
    <t>0026AB</t>
  </si>
  <si>
    <t>0027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</si>
  <si>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Retrograde Breakbulk Cargo (above 1200 cft) </t>
    </r>
    <r>
      <rPr>
        <sz val="11"/>
        <color theme="1"/>
        <rFont val="Calibri"/>
        <family val="2"/>
        <scheme val="minor"/>
      </rPr>
      <t>(Inclusive of container handling (CHE)/material handling (MHE) equipment and services)</t>
    </r>
  </si>
  <si>
    <t>0027AA</t>
  </si>
  <si>
    <t>0027AB</t>
  </si>
  <si>
    <t>0027AC</t>
  </si>
  <si>
    <t>0027AD</t>
  </si>
  <si>
    <t>0027AE</t>
  </si>
  <si>
    <t>0027AF</t>
  </si>
  <si>
    <t>0027AG</t>
  </si>
  <si>
    <t>0027AH</t>
  </si>
  <si>
    <t>0028</t>
  </si>
  <si>
    <r>
      <rPr>
        <b/>
        <u/>
        <sz val="11"/>
        <color theme="1"/>
        <rFont val="Calibri"/>
        <family val="2"/>
        <scheme val="minor"/>
      </rPr>
      <t>Task</t>
    </r>
    <r>
      <rPr>
        <b/>
        <sz val="11"/>
        <color theme="1"/>
        <rFont val="Calibri"/>
        <family val="2"/>
        <scheme val="minor"/>
      </rPr>
      <t xml:space="preserve">: Retrograde Container Staging Services. </t>
    </r>
    <r>
      <rPr>
        <sz val="11"/>
        <color theme="1"/>
        <rFont val="Calibri"/>
        <family val="2"/>
        <scheme val="minor"/>
      </rPr>
      <t>(Inclusive of container handling (CHE)/material handling (MHE) equipment)</t>
    </r>
  </si>
  <si>
    <t>0028AA</t>
  </si>
  <si>
    <t>0028AB</t>
  </si>
  <si>
    <r>
      <t xml:space="preserve">Daily Retrograde Container Retention Rate (20ft, 40ft, 53ft) </t>
    </r>
    <r>
      <rPr>
        <sz val="11"/>
        <color theme="1"/>
        <rFont val="Calibri"/>
        <family val="2"/>
        <scheme val="minor"/>
      </rPr>
      <t xml:space="preserve">(with </t>
    </r>
    <r>
      <rPr>
        <sz val="11"/>
        <color rgb="FFFF0000"/>
        <rFont val="Calibri"/>
        <family val="2"/>
        <scheme val="minor"/>
      </rPr>
      <t>[insert # of days]</t>
    </r>
    <r>
      <rPr>
        <sz val="11"/>
        <color theme="1"/>
        <rFont val="Calibri"/>
        <family val="2"/>
        <scheme val="minor"/>
      </rPr>
      <t xml:space="preserve"> free of charge days)</t>
    </r>
  </si>
  <si>
    <r>
      <t xml:space="preserve">Daily Retrograde Container Detention Rate (20ft, 40ft, 53ft) </t>
    </r>
    <r>
      <rPr>
        <sz val="11"/>
        <color theme="1"/>
        <rFont val="Calibri"/>
        <family val="2"/>
        <scheme val="minor"/>
      </rPr>
      <t xml:space="preserve">(starting on the </t>
    </r>
    <r>
      <rPr>
        <sz val="11"/>
        <color rgb="FFFF0000"/>
        <rFont val="Calibri"/>
        <family val="2"/>
        <scheme val="minor"/>
      </rPr>
      <t xml:space="preserve">[Xth] </t>
    </r>
    <r>
      <rPr>
        <sz val="11"/>
        <color theme="1"/>
        <rFont val="Calibri"/>
        <family val="2"/>
        <scheme val="minor"/>
      </rPr>
      <t>day)</t>
    </r>
  </si>
  <si>
    <r>
      <t xml:space="preserve">Daily Retrograde Chassis Detention Rate (starting on the </t>
    </r>
    <r>
      <rPr>
        <sz val="11"/>
        <color rgb="FFFF0000"/>
        <rFont val="Calibri"/>
        <family val="2"/>
        <scheme val="minor"/>
      </rPr>
      <t xml:space="preserve">[Xth] </t>
    </r>
    <r>
      <rPr>
        <sz val="11"/>
        <color theme="1"/>
        <rFont val="Calibri"/>
        <family val="2"/>
        <scheme val="minor"/>
      </rPr>
      <t>day)</t>
    </r>
  </si>
  <si>
    <r>
      <t xml:space="preserve">Daily Retrograde Container Demurrage Rate (20ft, 40ft, 53ft) (starting on the </t>
    </r>
    <r>
      <rPr>
        <sz val="11"/>
        <color rgb="FFFF0000"/>
        <rFont val="Calibri"/>
        <family val="2"/>
        <scheme val="minor"/>
      </rPr>
      <t>[Xth]</t>
    </r>
    <r>
      <rPr>
        <sz val="11"/>
        <rFont val="Calibri"/>
        <family val="2"/>
        <scheme val="minor"/>
      </rPr>
      <t xml:space="preserve"> day)</t>
    </r>
  </si>
  <si>
    <r>
      <t xml:space="preserve">Daily Retrograde Reefer Container Retention Rate (with </t>
    </r>
    <r>
      <rPr>
        <sz val="11"/>
        <color rgb="FFFF0000"/>
        <rFont val="Calibri"/>
        <family val="2"/>
        <scheme val="minor"/>
      </rPr>
      <t xml:space="preserve">[insert # of days] </t>
    </r>
    <r>
      <rPr>
        <sz val="11"/>
        <color theme="1"/>
        <rFont val="Calibri"/>
        <family val="2"/>
        <scheme val="minor"/>
      </rPr>
      <t>free-of-charge days) (inclusive of maintenance and fuel as necessary)</t>
    </r>
  </si>
  <si>
    <r>
      <t xml:space="preserve">Daily Retrograde Reefer Container Detention Rate (starting on the </t>
    </r>
    <r>
      <rPr>
        <sz val="11"/>
        <color rgb="FFFF0000"/>
        <rFont val="Calibri"/>
        <family val="2"/>
        <scheme val="minor"/>
      </rPr>
      <t>[Xth]</t>
    </r>
    <r>
      <rPr>
        <sz val="11"/>
        <color theme="1"/>
        <rFont val="Calibri"/>
        <family val="2"/>
        <scheme val="minor"/>
      </rPr>
      <t xml:space="preserve"> day)  (inclusive of maintenance and fuel as necessary)</t>
    </r>
  </si>
  <si>
    <r>
      <t xml:space="preserve">Daily Retrograde Reefer Container Demurrage Rate (starting on the </t>
    </r>
    <r>
      <rPr>
        <sz val="11"/>
        <color rgb="FFFF0000"/>
        <rFont val="Calibri"/>
        <family val="2"/>
        <scheme val="minor"/>
      </rPr>
      <t>[Xth]</t>
    </r>
    <r>
      <rPr>
        <sz val="11"/>
        <color theme="1"/>
        <rFont val="Calibri"/>
        <family val="2"/>
        <scheme val="minor"/>
      </rPr>
      <t xml:space="preserve"> day)  (inclusive of maintenance and fuel as necessary)</t>
    </r>
  </si>
  <si>
    <t>0030</t>
  </si>
  <si>
    <r>
      <t>Warehouse storage</t>
    </r>
    <r>
      <rPr>
        <sz val="11"/>
        <color theme="1"/>
        <rFont val="Calibri"/>
        <family val="2"/>
        <scheme val="minor"/>
      </rPr>
      <t xml:space="preserve"> (minimum 500,000 Sq. Ft per facility) </t>
    </r>
    <r>
      <rPr>
        <b/>
        <sz val="11"/>
        <color theme="1"/>
        <rFont val="Calibri"/>
        <family val="2"/>
        <scheme val="minor"/>
      </rPr>
      <t>(Monthly Rate per Pallet Position)</t>
    </r>
  </si>
  <si>
    <t>Location: Mid Atlantic Region</t>
  </si>
  <si>
    <t>Location: Gulf Coast</t>
  </si>
  <si>
    <t>0031</t>
  </si>
  <si>
    <t>LO</t>
  </si>
  <si>
    <t>0032</t>
  </si>
  <si>
    <r>
      <rPr>
        <b/>
        <u/>
        <sz val="11"/>
        <color theme="1"/>
        <rFont val="Calibri"/>
        <family val="2"/>
        <scheme val="minor"/>
      </rPr>
      <t>OPTIONAL TASK</t>
    </r>
    <r>
      <rPr>
        <b/>
        <sz val="11"/>
        <color theme="1"/>
        <rFont val="Calibri"/>
        <family val="2"/>
        <scheme val="minor"/>
      </rPr>
      <t xml:space="preserve">: Container handling equipment (CHE) services. </t>
    </r>
    <r>
      <rPr>
        <sz val="11"/>
        <color theme="1"/>
        <rFont val="Calibri"/>
        <family val="2"/>
        <scheme val="minor"/>
      </rPr>
      <t>(For requirements outside of normal operational parameters)</t>
    </r>
  </si>
  <si>
    <t>Location: Point of Origin and Mid Atlantic Region Ports</t>
  </si>
  <si>
    <t>Daily</t>
  </si>
  <si>
    <t>Location: Point of Origin and South Atlantic Region Ports</t>
  </si>
  <si>
    <t>Location: Point of Origin and Gulf Coast Ports</t>
  </si>
  <si>
    <t>Location: Point of Origin and FEMA Distribution Center Caribbean (San Juan, PR)</t>
  </si>
  <si>
    <t>0033</t>
  </si>
  <si>
    <r>
      <rPr>
        <b/>
        <u/>
        <sz val="11"/>
        <color theme="1"/>
        <rFont val="Calibri"/>
        <family val="2"/>
        <scheme val="minor"/>
      </rPr>
      <t xml:space="preserve">OPTIONAL TASK: </t>
    </r>
    <r>
      <rPr>
        <b/>
        <sz val="11"/>
        <color theme="1"/>
        <rFont val="Calibri"/>
        <family val="2"/>
        <scheme val="minor"/>
      </rPr>
      <t xml:space="preserve">Material handling equipment (MHE) services. </t>
    </r>
    <r>
      <rPr>
        <sz val="11"/>
        <color theme="1"/>
        <rFont val="Calibri"/>
        <family val="2"/>
        <scheme val="minor"/>
      </rPr>
      <t>(For requirements outside of normal operational parameters)</t>
    </r>
  </si>
  <si>
    <t>Location: USVI Port and Points of Need</t>
  </si>
  <si>
    <t>Location: Puerto Rico Port and Points of Need</t>
  </si>
  <si>
    <r>
      <rPr>
        <b/>
        <u/>
        <sz val="11"/>
        <color theme="1"/>
        <rFont val="Calibri"/>
        <family val="2"/>
        <scheme val="minor"/>
      </rPr>
      <t>OPTION</t>
    </r>
    <r>
      <rPr>
        <b/>
        <sz val="11"/>
        <color theme="1"/>
        <rFont val="Calibri"/>
        <family val="2"/>
        <scheme val="minor"/>
      </rPr>
      <t xml:space="preserve">: Reefer Container Purchase for Government Use </t>
    </r>
    <r>
      <rPr>
        <sz val="11"/>
        <color theme="1"/>
        <rFont val="Calibri"/>
        <family val="2"/>
        <scheme val="minor"/>
      </rPr>
      <t>(includes dedicated genset)</t>
    </r>
  </si>
  <si>
    <t xml:space="preserve">Grand Total </t>
  </si>
  <si>
    <t>Total Contract Value:</t>
  </si>
  <si>
    <r>
      <t xml:space="preserve">Travel </t>
    </r>
    <r>
      <rPr>
        <sz val="11"/>
        <color theme="1"/>
        <rFont val="Calibri"/>
        <family val="2"/>
        <scheme val="minor"/>
      </rPr>
      <t>(May include Kickoff Meeting, Exercises, Training, and Site Visits). Not-to Exceed: $25,000</t>
    </r>
  </si>
  <si>
    <t>RCTSD - Opt YR 1</t>
  </si>
  <si>
    <t>1001AA</t>
  </si>
  <si>
    <t>1001AB</t>
  </si>
  <si>
    <t>1001AC</t>
  </si>
  <si>
    <t>1001AD</t>
  </si>
  <si>
    <t>1002AA</t>
  </si>
  <si>
    <t>1002AB</t>
  </si>
  <si>
    <t>1002AC</t>
  </si>
  <si>
    <t>1002AD</t>
  </si>
  <si>
    <t>1003AA</t>
  </si>
  <si>
    <t>1003AB</t>
  </si>
  <si>
    <t>1003AC</t>
  </si>
  <si>
    <t>1003AD</t>
  </si>
  <si>
    <t>1004AA</t>
  </si>
  <si>
    <t>1004AB</t>
  </si>
  <si>
    <t>1004AC</t>
  </si>
  <si>
    <t>1004AD</t>
  </si>
  <si>
    <t>1005AA</t>
  </si>
  <si>
    <t>1005AB</t>
  </si>
  <si>
    <t>1005AC</t>
  </si>
  <si>
    <t>1005AD</t>
  </si>
  <si>
    <t>1006AA</t>
  </si>
  <si>
    <t>1006AB</t>
  </si>
  <si>
    <t>1006AC</t>
  </si>
  <si>
    <t>1006AD</t>
  </si>
  <si>
    <t>1007AA</t>
  </si>
  <si>
    <t>1007AB</t>
  </si>
  <si>
    <t>1007AC</t>
  </si>
  <si>
    <t>1007AD</t>
  </si>
  <si>
    <t>1008AA</t>
  </si>
  <si>
    <t>1008AB</t>
  </si>
  <si>
    <t>1008AC</t>
  </si>
  <si>
    <t>1008AD</t>
  </si>
  <si>
    <t>1009AA</t>
  </si>
  <si>
    <t>1009AB</t>
  </si>
  <si>
    <t>1009AC</t>
  </si>
  <si>
    <t>1009AD</t>
  </si>
  <si>
    <t>1010AA</t>
  </si>
  <si>
    <t>1010AB</t>
  </si>
  <si>
    <t>1010AC</t>
  </si>
  <si>
    <t>1010AD</t>
  </si>
  <si>
    <t>1011AA</t>
  </si>
  <si>
    <t>1011AB</t>
  </si>
  <si>
    <t>1011AC</t>
  </si>
  <si>
    <t>1011AD</t>
  </si>
  <si>
    <t>1012AA</t>
  </si>
  <si>
    <t>1012AB</t>
  </si>
  <si>
    <t>1012AC</t>
  </si>
  <si>
    <t>1012AD</t>
  </si>
  <si>
    <t>1012AE</t>
  </si>
  <si>
    <t>1012AF</t>
  </si>
  <si>
    <t>1012AG</t>
  </si>
  <si>
    <t>1012AH</t>
  </si>
  <si>
    <t>1013AA</t>
  </si>
  <si>
    <t>1013AB</t>
  </si>
  <si>
    <t>1013AC</t>
  </si>
  <si>
    <t>1013AD</t>
  </si>
  <si>
    <t>1013AE</t>
  </si>
  <si>
    <t>1013AF</t>
  </si>
  <si>
    <t>1013AG</t>
  </si>
  <si>
    <t>1013AH</t>
  </si>
  <si>
    <t>1014AA</t>
  </si>
  <si>
    <t>1014AB</t>
  </si>
  <si>
    <t>1014AC</t>
  </si>
  <si>
    <t>1014AD</t>
  </si>
  <si>
    <t>1014AE</t>
  </si>
  <si>
    <t>1014AF</t>
  </si>
  <si>
    <t>1014AG</t>
  </si>
  <si>
    <t>1014AH</t>
  </si>
  <si>
    <t>1015AA</t>
  </si>
  <si>
    <t>1015AB</t>
  </si>
  <si>
    <t>1016AA</t>
  </si>
  <si>
    <t>1016AB</t>
  </si>
  <si>
    <t>1017AA</t>
  </si>
  <si>
    <t>1017AB</t>
  </si>
  <si>
    <t>1018AA</t>
  </si>
  <si>
    <t>1018AB</t>
  </si>
  <si>
    <t>1018AC</t>
  </si>
  <si>
    <t>1018AD</t>
  </si>
  <si>
    <t>1018AE</t>
  </si>
  <si>
    <t>1018AF</t>
  </si>
  <si>
    <t>1018AG</t>
  </si>
  <si>
    <t>1018AH</t>
  </si>
  <si>
    <t>1018AI</t>
  </si>
  <si>
    <t>1018AJ</t>
  </si>
  <si>
    <t>1018AK</t>
  </si>
  <si>
    <t>1018AL</t>
  </si>
  <si>
    <t>1018AM</t>
  </si>
  <si>
    <t>1019AA</t>
  </si>
  <si>
    <t>1019AB</t>
  </si>
  <si>
    <t>1019AC</t>
  </si>
  <si>
    <t>1019AD</t>
  </si>
  <si>
    <t>1019AE</t>
  </si>
  <si>
    <t>1020AA</t>
  </si>
  <si>
    <t>1020AB</t>
  </si>
  <si>
    <t>1021AA</t>
  </si>
  <si>
    <t>1021AB</t>
  </si>
  <si>
    <t>1022AA</t>
  </si>
  <si>
    <t>1022AB</t>
  </si>
  <si>
    <t>1023AA</t>
  </si>
  <si>
    <t>1023AB</t>
  </si>
  <si>
    <t>1023AC</t>
  </si>
  <si>
    <t>1023AD</t>
  </si>
  <si>
    <t>1024AA</t>
  </si>
  <si>
    <t>1024AB</t>
  </si>
  <si>
    <t>1024AC</t>
  </si>
  <si>
    <t>1024AD</t>
  </si>
  <si>
    <t>1025AA</t>
  </si>
  <si>
    <t>1025AB</t>
  </si>
  <si>
    <t>1025AC</t>
  </si>
  <si>
    <t>1025AD</t>
  </si>
  <si>
    <t>1025AE</t>
  </si>
  <si>
    <t>1025AF</t>
  </si>
  <si>
    <t>1025AG</t>
  </si>
  <si>
    <t>1025AH</t>
  </si>
  <si>
    <t>1026AA</t>
  </si>
  <si>
    <t>1026AB</t>
  </si>
  <si>
    <t>1026AC</t>
  </si>
  <si>
    <t>1026AD</t>
  </si>
  <si>
    <t>1026AE</t>
  </si>
  <si>
    <t>1026AF</t>
  </si>
  <si>
    <t>1026AG</t>
  </si>
  <si>
    <t>1026AH</t>
  </si>
  <si>
    <t>1027AA</t>
  </si>
  <si>
    <t>1027AB</t>
  </si>
  <si>
    <t>1027AC</t>
  </si>
  <si>
    <t>1027AD</t>
  </si>
  <si>
    <t>1027AE</t>
  </si>
  <si>
    <t>1027AF</t>
  </si>
  <si>
    <t>1027AG</t>
  </si>
  <si>
    <t>1027AH</t>
  </si>
  <si>
    <t>1028AA</t>
  </si>
  <si>
    <t>1028AB</t>
  </si>
  <si>
    <t>1028AC</t>
  </si>
  <si>
    <t>1028AD</t>
  </si>
  <si>
    <t>1028AE</t>
  </si>
  <si>
    <t>1028AF</t>
  </si>
  <si>
    <t>1028AG</t>
  </si>
  <si>
    <t>1028AH</t>
  </si>
  <si>
    <t>1028AI</t>
  </si>
  <si>
    <t>1028AJ</t>
  </si>
  <si>
    <t>1028AK</t>
  </si>
  <si>
    <t>1028AL</t>
  </si>
  <si>
    <t>1028AM</t>
  </si>
  <si>
    <t>1030AA</t>
  </si>
  <si>
    <t>1030AB</t>
  </si>
  <si>
    <t>1030AC</t>
  </si>
  <si>
    <t>1030AD</t>
  </si>
  <si>
    <t>1030AE</t>
  </si>
  <si>
    <t>1032AA</t>
  </si>
  <si>
    <t>1032AB</t>
  </si>
  <si>
    <t>1032AC</t>
  </si>
  <si>
    <t>1032AD</t>
  </si>
  <si>
    <t>1032AE</t>
  </si>
  <si>
    <t>1032AF</t>
  </si>
  <si>
    <t>1033AA</t>
  </si>
  <si>
    <t>1033AB</t>
  </si>
  <si>
    <t>1033AC</t>
  </si>
  <si>
    <t>1033AD</t>
  </si>
  <si>
    <t>1033AE</t>
  </si>
  <si>
    <t>1033AF</t>
  </si>
  <si>
    <t>RCTSD - Opt YR 2</t>
  </si>
  <si>
    <t>2001AA</t>
  </si>
  <si>
    <t>2001AB</t>
  </si>
  <si>
    <t>2001AC</t>
  </si>
  <si>
    <t>2001AD</t>
  </si>
  <si>
    <t>2002AA</t>
  </si>
  <si>
    <t>2002AB</t>
  </si>
  <si>
    <t>2002AC</t>
  </si>
  <si>
    <t>2002AD</t>
  </si>
  <si>
    <t>2003AA</t>
  </si>
  <si>
    <t>2003AB</t>
  </si>
  <si>
    <t>2003AC</t>
  </si>
  <si>
    <t>2003AD</t>
  </si>
  <si>
    <t>2004AA</t>
  </si>
  <si>
    <t>2004AB</t>
  </si>
  <si>
    <t>2004AC</t>
  </si>
  <si>
    <t>2004AD</t>
  </si>
  <si>
    <t>2005AA</t>
  </si>
  <si>
    <t>2005AB</t>
  </si>
  <si>
    <t>2005AC</t>
  </si>
  <si>
    <t>2005AD</t>
  </si>
  <si>
    <t>2006AA</t>
  </si>
  <si>
    <t>2006AB</t>
  </si>
  <si>
    <t>2006AC</t>
  </si>
  <si>
    <t>2006AD</t>
  </si>
  <si>
    <t>2007AA</t>
  </si>
  <si>
    <t>2007AB</t>
  </si>
  <si>
    <t>2007AC</t>
  </si>
  <si>
    <t>2007AD</t>
  </si>
  <si>
    <t>2008AA</t>
  </si>
  <si>
    <t>2008AB</t>
  </si>
  <si>
    <t>2008AC</t>
  </si>
  <si>
    <t>2008AD</t>
  </si>
  <si>
    <t>2009AA</t>
  </si>
  <si>
    <t>2009AB</t>
  </si>
  <si>
    <t>2009AC</t>
  </si>
  <si>
    <t>2009AD</t>
  </si>
  <si>
    <t>2020AA</t>
  </si>
  <si>
    <t>2020AB</t>
  </si>
  <si>
    <t>2011AA</t>
  </si>
  <si>
    <t>2011AB</t>
  </si>
  <si>
    <t>2011AC</t>
  </si>
  <si>
    <t>2011AD</t>
  </si>
  <si>
    <t>2012AA</t>
  </si>
  <si>
    <t>2012AB</t>
  </si>
  <si>
    <t>2012AC</t>
  </si>
  <si>
    <t>2012AD</t>
  </si>
  <si>
    <t>2012AE</t>
  </si>
  <si>
    <t>2012AF</t>
  </si>
  <si>
    <t>2012AG</t>
  </si>
  <si>
    <t>2012AH</t>
  </si>
  <si>
    <t>2013AA</t>
  </si>
  <si>
    <t>2013AB</t>
  </si>
  <si>
    <t>2013AC</t>
  </si>
  <si>
    <t>2013AD</t>
  </si>
  <si>
    <t>2013AE</t>
  </si>
  <si>
    <t>2013AF</t>
  </si>
  <si>
    <t>2013AG</t>
  </si>
  <si>
    <t>2013AH</t>
  </si>
  <si>
    <t>2014AA</t>
  </si>
  <si>
    <t>2014AB</t>
  </si>
  <si>
    <t>2014AC</t>
  </si>
  <si>
    <t>2014AD</t>
  </si>
  <si>
    <t>2014AE</t>
  </si>
  <si>
    <t>2014AF</t>
  </si>
  <si>
    <t>2014AG</t>
  </si>
  <si>
    <t>2014AH</t>
  </si>
  <si>
    <t>2015AA</t>
  </si>
  <si>
    <t>2015AB</t>
  </si>
  <si>
    <t>2016AA</t>
  </si>
  <si>
    <t>2016AB</t>
  </si>
  <si>
    <t>2017AA</t>
  </si>
  <si>
    <t>2017AB</t>
  </si>
  <si>
    <t>2018AA</t>
  </si>
  <si>
    <t>2018AB</t>
  </si>
  <si>
    <t>2018AC</t>
  </si>
  <si>
    <t>2018AD</t>
  </si>
  <si>
    <t>2018AE</t>
  </si>
  <si>
    <t>2018AF</t>
  </si>
  <si>
    <t>2018AG</t>
  </si>
  <si>
    <t>2018AH</t>
  </si>
  <si>
    <t>2018AI</t>
  </si>
  <si>
    <t>2018AJ</t>
  </si>
  <si>
    <t>2018AK</t>
  </si>
  <si>
    <t>2018AL</t>
  </si>
  <si>
    <t>2018AM</t>
  </si>
  <si>
    <t>2019AA</t>
  </si>
  <si>
    <t>2019AB</t>
  </si>
  <si>
    <t>2019AC</t>
  </si>
  <si>
    <t>2019AD</t>
  </si>
  <si>
    <t>2019AE</t>
  </si>
  <si>
    <t>2021AA</t>
  </si>
  <si>
    <t>2021AB</t>
  </si>
  <si>
    <t>2022AA</t>
  </si>
  <si>
    <t>2022AB</t>
  </si>
  <si>
    <t>2023AA</t>
  </si>
  <si>
    <t>2023AB</t>
  </si>
  <si>
    <t>2023AC</t>
  </si>
  <si>
    <t>2023AD</t>
  </si>
  <si>
    <t>2024AA</t>
  </si>
  <si>
    <t>2024AB</t>
  </si>
  <si>
    <t>2024AC</t>
  </si>
  <si>
    <t>2024AD</t>
  </si>
  <si>
    <t>2025AA</t>
  </si>
  <si>
    <t>2025AB</t>
  </si>
  <si>
    <t>2025AC</t>
  </si>
  <si>
    <t>2025AD</t>
  </si>
  <si>
    <t>2025AE</t>
  </si>
  <si>
    <t>2025AF</t>
  </si>
  <si>
    <t>2025AG</t>
  </si>
  <si>
    <t>2025AH</t>
  </si>
  <si>
    <t>2026AA</t>
  </si>
  <si>
    <t>2026AB</t>
  </si>
  <si>
    <t>2026AC</t>
  </si>
  <si>
    <t>2026AD</t>
  </si>
  <si>
    <t>2026AE</t>
  </si>
  <si>
    <t>2026AF</t>
  </si>
  <si>
    <t>2026AG</t>
  </si>
  <si>
    <t>2026AH</t>
  </si>
  <si>
    <t>2027AA</t>
  </si>
  <si>
    <t>2027AB</t>
  </si>
  <si>
    <t>2027AC</t>
  </si>
  <si>
    <t>2027AD</t>
  </si>
  <si>
    <t>2027AE</t>
  </si>
  <si>
    <t>2027AF</t>
  </si>
  <si>
    <t>2027AG</t>
  </si>
  <si>
    <t>2027AH</t>
  </si>
  <si>
    <t>2028AA</t>
  </si>
  <si>
    <t>2028AB</t>
  </si>
  <si>
    <t>2028AC</t>
  </si>
  <si>
    <t>2028AD</t>
  </si>
  <si>
    <t>2028AE</t>
  </si>
  <si>
    <t>2028AF</t>
  </si>
  <si>
    <t>2028AG</t>
  </si>
  <si>
    <t>2028AH</t>
  </si>
  <si>
    <t>2028AI</t>
  </si>
  <si>
    <t>2028AJ</t>
  </si>
  <si>
    <t>2028AK</t>
  </si>
  <si>
    <t>2028AL</t>
  </si>
  <si>
    <t>2028AM</t>
  </si>
  <si>
    <t>2030AA</t>
  </si>
  <si>
    <t>2030AB</t>
  </si>
  <si>
    <t>2030AC</t>
  </si>
  <si>
    <t>2030AD</t>
  </si>
  <si>
    <t>2030AE</t>
  </si>
  <si>
    <t>2032AA</t>
  </si>
  <si>
    <t>2032AB</t>
  </si>
  <si>
    <t>2032AC</t>
  </si>
  <si>
    <t>2032AD</t>
  </si>
  <si>
    <t>2032AE</t>
  </si>
  <si>
    <t>2032AF</t>
  </si>
  <si>
    <t>2033AA</t>
  </si>
  <si>
    <t>2033AB</t>
  </si>
  <si>
    <t>2033AC</t>
  </si>
  <si>
    <t>2033AD</t>
  </si>
  <si>
    <t>2033AE</t>
  </si>
  <si>
    <t>2033AF</t>
  </si>
  <si>
    <t>3001AA</t>
  </si>
  <si>
    <t>3001AB</t>
  </si>
  <si>
    <t>3001AC</t>
  </si>
  <si>
    <t>3001AD</t>
  </si>
  <si>
    <t>3002AA</t>
  </si>
  <si>
    <t>3002AB</t>
  </si>
  <si>
    <t>3002AC</t>
  </si>
  <si>
    <t>3002AD</t>
  </si>
  <si>
    <t>3003AA</t>
  </si>
  <si>
    <t>3003AB</t>
  </si>
  <si>
    <t>3003AC</t>
  </si>
  <si>
    <t>3003AD</t>
  </si>
  <si>
    <t>3004AA</t>
  </si>
  <si>
    <t>3004AB</t>
  </si>
  <si>
    <t>3004AC</t>
  </si>
  <si>
    <t>3004AD</t>
  </si>
  <si>
    <t>3005AA</t>
  </si>
  <si>
    <t>3005AB</t>
  </si>
  <si>
    <t>3005AC</t>
  </si>
  <si>
    <t>3005AD</t>
  </si>
  <si>
    <t>3006AA</t>
  </si>
  <si>
    <t>3006AB</t>
  </si>
  <si>
    <t>3006AC</t>
  </si>
  <si>
    <t>3006AD</t>
  </si>
  <si>
    <t>3007AA</t>
  </si>
  <si>
    <t>3007AB</t>
  </si>
  <si>
    <t>3007AC</t>
  </si>
  <si>
    <t>3007AD</t>
  </si>
  <si>
    <t>3008AA</t>
  </si>
  <si>
    <t>3008AB</t>
  </si>
  <si>
    <t>3008AC</t>
  </si>
  <si>
    <t>3008AD</t>
  </si>
  <si>
    <t>3009AA</t>
  </si>
  <si>
    <t>3009AB</t>
  </si>
  <si>
    <t>3009AC</t>
  </si>
  <si>
    <t>3009AD</t>
  </si>
  <si>
    <t>3030AA</t>
  </si>
  <si>
    <t>3030AB</t>
  </si>
  <si>
    <t>3030AC</t>
  </si>
  <si>
    <t>3030AD</t>
  </si>
  <si>
    <t>3011AA</t>
  </si>
  <si>
    <t>3011AB</t>
  </si>
  <si>
    <t>3011AC</t>
  </si>
  <si>
    <t>3011AD</t>
  </si>
  <si>
    <t>3012AA</t>
  </si>
  <si>
    <t>3012AB</t>
  </si>
  <si>
    <t>3012AC</t>
  </si>
  <si>
    <t>3012AD</t>
  </si>
  <si>
    <t>3012AE</t>
  </si>
  <si>
    <t>3012AF</t>
  </si>
  <si>
    <t>3012AG</t>
  </si>
  <si>
    <t>3012AH</t>
  </si>
  <si>
    <t>3013AA</t>
  </si>
  <si>
    <t>3013AB</t>
  </si>
  <si>
    <t>3013AC</t>
  </si>
  <si>
    <t>3013AD</t>
  </si>
  <si>
    <t>3013AE</t>
  </si>
  <si>
    <t>3013AF</t>
  </si>
  <si>
    <t>3013AG</t>
  </si>
  <si>
    <t>3013AH</t>
  </si>
  <si>
    <t>3014AA</t>
  </si>
  <si>
    <t>3014AB</t>
  </si>
  <si>
    <t>3014AC</t>
  </si>
  <si>
    <t>3014AD</t>
  </si>
  <si>
    <t>3014AE</t>
  </si>
  <si>
    <t>3014AF</t>
  </si>
  <si>
    <t>3014AG</t>
  </si>
  <si>
    <t>3014AH</t>
  </si>
  <si>
    <t>3015AA</t>
  </si>
  <si>
    <t>3015AB</t>
  </si>
  <si>
    <t>3016AA</t>
  </si>
  <si>
    <t>3016AB</t>
  </si>
  <si>
    <t>3017AA</t>
  </si>
  <si>
    <t>3017AB</t>
  </si>
  <si>
    <t>3018AA</t>
  </si>
  <si>
    <t>3018AB</t>
  </si>
  <si>
    <t>3018AC</t>
  </si>
  <si>
    <t>3018AD</t>
  </si>
  <si>
    <t>3018AE</t>
  </si>
  <si>
    <t>3018AF</t>
  </si>
  <si>
    <t>3018AG</t>
  </si>
  <si>
    <t>3018AH</t>
  </si>
  <si>
    <t>3018AI</t>
  </si>
  <si>
    <t>3018AJ</t>
  </si>
  <si>
    <t>3018AK</t>
  </si>
  <si>
    <t>3018AL</t>
  </si>
  <si>
    <t>3018AM</t>
  </si>
  <si>
    <t>3019AA</t>
  </si>
  <si>
    <t>3019AB</t>
  </si>
  <si>
    <t>3019AC</t>
  </si>
  <si>
    <t>3019AD</t>
  </si>
  <si>
    <t>3019AE</t>
  </si>
  <si>
    <t>3021AA</t>
  </si>
  <si>
    <t>3021AB</t>
  </si>
  <si>
    <t>3022AA</t>
  </si>
  <si>
    <t>3022AB</t>
  </si>
  <si>
    <t>3023AA</t>
  </si>
  <si>
    <t>3023AB</t>
  </si>
  <si>
    <t>3023AC</t>
  </si>
  <si>
    <t>3023AD</t>
  </si>
  <si>
    <t>3024AA</t>
  </si>
  <si>
    <t>3024AB</t>
  </si>
  <si>
    <t>3024AC</t>
  </si>
  <si>
    <t>3024AD</t>
  </si>
  <si>
    <t>3025AA</t>
  </si>
  <si>
    <t>3025AB</t>
  </si>
  <si>
    <t>3025AC</t>
  </si>
  <si>
    <t>3025AD</t>
  </si>
  <si>
    <t>3025AE</t>
  </si>
  <si>
    <t>3025AF</t>
  </si>
  <si>
    <t>3025AG</t>
  </si>
  <si>
    <t>3025AH</t>
  </si>
  <si>
    <t>3026AA</t>
  </si>
  <si>
    <t>3026AB</t>
  </si>
  <si>
    <t>3026AC</t>
  </si>
  <si>
    <t>3026AD</t>
  </si>
  <si>
    <t>3026AE</t>
  </si>
  <si>
    <t>3026AF</t>
  </si>
  <si>
    <t>3026AG</t>
  </si>
  <si>
    <t>3026AH</t>
  </si>
  <si>
    <t>3027AA</t>
  </si>
  <si>
    <t>3027AB</t>
  </si>
  <si>
    <t>3027AC</t>
  </si>
  <si>
    <t>3027AD</t>
  </si>
  <si>
    <t>3027AE</t>
  </si>
  <si>
    <t>3027AF</t>
  </si>
  <si>
    <t>3027AG</t>
  </si>
  <si>
    <t>3027AH</t>
  </si>
  <si>
    <t>3028AA</t>
  </si>
  <si>
    <t>3028AB</t>
  </si>
  <si>
    <t>3028AC</t>
  </si>
  <si>
    <t>3028AD</t>
  </si>
  <si>
    <t>3028AE</t>
  </si>
  <si>
    <t>3028AF</t>
  </si>
  <si>
    <t>3028AG</t>
  </si>
  <si>
    <t>3028AH</t>
  </si>
  <si>
    <t>3028AI</t>
  </si>
  <si>
    <t>3028AJ</t>
  </si>
  <si>
    <t>3028AK</t>
  </si>
  <si>
    <t>3028AL</t>
  </si>
  <si>
    <t>3028AM</t>
  </si>
  <si>
    <t>3030AE</t>
  </si>
  <si>
    <t>3032AA</t>
  </si>
  <si>
    <t>3032AB</t>
  </si>
  <si>
    <t>3032AC</t>
  </si>
  <si>
    <t>3032AD</t>
  </si>
  <si>
    <t>3032AE</t>
  </si>
  <si>
    <t>3032AF</t>
  </si>
  <si>
    <t>3033AA</t>
  </si>
  <si>
    <t>3033AB</t>
  </si>
  <si>
    <t>3033AC</t>
  </si>
  <si>
    <t>3033AD</t>
  </si>
  <si>
    <t>3033AE</t>
  </si>
  <si>
    <t>3033AF</t>
  </si>
  <si>
    <t>RCTSD - Opt YR 3</t>
  </si>
  <si>
    <t>RCTSD - Opt YR 4</t>
  </si>
  <si>
    <t>4001AA</t>
  </si>
  <si>
    <t>4001AB</t>
  </si>
  <si>
    <t>4001AC</t>
  </si>
  <si>
    <t>4001AD</t>
  </si>
  <si>
    <t>4002AA</t>
  </si>
  <si>
    <t>4002AB</t>
  </si>
  <si>
    <t>4002AC</t>
  </si>
  <si>
    <t>4002AD</t>
  </si>
  <si>
    <t>4003AA</t>
  </si>
  <si>
    <t>4003AB</t>
  </si>
  <si>
    <t>4003AC</t>
  </si>
  <si>
    <t>4003AD</t>
  </si>
  <si>
    <t>4004AA</t>
  </si>
  <si>
    <t>4004AB</t>
  </si>
  <si>
    <t>4004AC</t>
  </si>
  <si>
    <t>4004AD</t>
  </si>
  <si>
    <t>4005AA</t>
  </si>
  <si>
    <t>4005AB</t>
  </si>
  <si>
    <t>4005AC</t>
  </si>
  <si>
    <t>4005AD</t>
  </si>
  <si>
    <t>4006AA</t>
  </si>
  <si>
    <t>4006AB</t>
  </si>
  <si>
    <t>4006AC</t>
  </si>
  <si>
    <t>4006AD</t>
  </si>
  <si>
    <t>4007AA</t>
  </si>
  <si>
    <t>4007AB</t>
  </si>
  <si>
    <t>4007AC</t>
  </si>
  <si>
    <t>4007AD</t>
  </si>
  <si>
    <t>4008AA</t>
  </si>
  <si>
    <t>4008AB</t>
  </si>
  <si>
    <t>4008AC</t>
  </si>
  <si>
    <t>4008AD</t>
  </si>
  <si>
    <t>4009AA</t>
  </si>
  <si>
    <t>4009AB</t>
  </si>
  <si>
    <t>4009AC</t>
  </si>
  <si>
    <t>4009AD</t>
  </si>
  <si>
    <t>4040AA</t>
  </si>
  <si>
    <t>4040AB</t>
  </si>
  <si>
    <t>4040AC</t>
  </si>
  <si>
    <t>4040AD</t>
  </si>
  <si>
    <t>4011AA</t>
  </si>
  <si>
    <t>4011AB</t>
  </si>
  <si>
    <t>4011AC</t>
  </si>
  <si>
    <t>4011AD</t>
  </si>
  <si>
    <t>4012AA</t>
  </si>
  <si>
    <t>4012AB</t>
  </si>
  <si>
    <t>4012AC</t>
  </si>
  <si>
    <t>4012AD</t>
  </si>
  <si>
    <t>4012AE</t>
  </si>
  <si>
    <t>4012AF</t>
  </si>
  <si>
    <t>4012AG</t>
  </si>
  <si>
    <t>4012AH</t>
  </si>
  <si>
    <t>4013AA</t>
  </si>
  <si>
    <t>4013AB</t>
  </si>
  <si>
    <t>4013AC</t>
  </si>
  <si>
    <t>4013AD</t>
  </si>
  <si>
    <t>4013AE</t>
  </si>
  <si>
    <t>4013AF</t>
  </si>
  <si>
    <t>4013AG</t>
  </si>
  <si>
    <t>4013AH</t>
  </si>
  <si>
    <t>4014AA</t>
  </si>
  <si>
    <t>4014AB</t>
  </si>
  <si>
    <t>4014AC</t>
  </si>
  <si>
    <t>4014AD</t>
  </si>
  <si>
    <t>4014AE</t>
  </si>
  <si>
    <t>4014AF</t>
  </si>
  <si>
    <t>4014AG</t>
  </si>
  <si>
    <t>4014AH</t>
  </si>
  <si>
    <t>4015AA</t>
  </si>
  <si>
    <t>4015AB</t>
  </si>
  <si>
    <t>4016AA</t>
  </si>
  <si>
    <t>4016AB</t>
  </si>
  <si>
    <t>4017AA</t>
  </si>
  <si>
    <t>4017AB</t>
  </si>
  <si>
    <t>4018AA</t>
  </si>
  <si>
    <t>4018AB</t>
  </si>
  <si>
    <t>4018AC</t>
  </si>
  <si>
    <t>4018AD</t>
  </si>
  <si>
    <t>4018AE</t>
  </si>
  <si>
    <t>4018AF</t>
  </si>
  <si>
    <t>4018AG</t>
  </si>
  <si>
    <t>4018AH</t>
  </si>
  <si>
    <t>4018AI</t>
  </si>
  <si>
    <t>4018AJ</t>
  </si>
  <si>
    <t>4018AK</t>
  </si>
  <si>
    <t>4018AL</t>
  </si>
  <si>
    <t>4018AM</t>
  </si>
  <si>
    <t>4019AA</t>
  </si>
  <si>
    <t>4019AB</t>
  </si>
  <si>
    <t>4019AC</t>
  </si>
  <si>
    <t>4019AD</t>
  </si>
  <si>
    <t>4019AE</t>
  </si>
  <si>
    <t>4021AA</t>
  </si>
  <si>
    <t>4021AB</t>
  </si>
  <si>
    <t>4022AA</t>
  </si>
  <si>
    <t>4022AB</t>
  </si>
  <si>
    <t>4023AA</t>
  </si>
  <si>
    <t>4023AB</t>
  </si>
  <si>
    <t>4023AC</t>
  </si>
  <si>
    <t>4023AD</t>
  </si>
  <si>
    <t>4024AA</t>
  </si>
  <si>
    <t>4024AB</t>
  </si>
  <si>
    <t>4024AC</t>
  </si>
  <si>
    <t>4024AD</t>
  </si>
  <si>
    <t>4025AA</t>
  </si>
  <si>
    <t>4025AB</t>
  </si>
  <si>
    <t>4025AC</t>
  </si>
  <si>
    <t>4025AD</t>
  </si>
  <si>
    <t>4025AE</t>
  </si>
  <si>
    <t>4025AF</t>
  </si>
  <si>
    <t>4025AG</t>
  </si>
  <si>
    <t>4025AH</t>
  </si>
  <si>
    <t>4026AA</t>
  </si>
  <si>
    <t>4026AB</t>
  </si>
  <si>
    <t>4026AC</t>
  </si>
  <si>
    <t>4026AD</t>
  </si>
  <si>
    <t>4026AE</t>
  </si>
  <si>
    <t>4026AF</t>
  </si>
  <si>
    <t>4026AG</t>
  </si>
  <si>
    <t>4026AH</t>
  </si>
  <si>
    <t>4027AA</t>
  </si>
  <si>
    <t>4027AB</t>
  </si>
  <si>
    <t>4027AC</t>
  </si>
  <si>
    <t>4027AD</t>
  </si>
  <si>
    <t>4027AE</t>
  </si>
  <si>
    <t>4027AF</t>
  </si>
  <si>
    <t>4027AG</t>
  </si>
  <si>
    <t>4027AH</t>
  </si>
  <si>
    <t>4028AA</t>
  </si>
  <si>
    <t>4028AB</t>
  </si>
  <si>
    <t>4028AC</t>
  </si>
  <si>
    <t>4028AD</t>
  </si>
  <si>
    <t>4028AE</t>
  </si>
  <si>
    <t>4028AF</t>
  </si>
  <si>
    <t>4028AG</t>
  </si>
  <si>
    <t>4028AH</t>
  </si>
  <si>
    <t>4028AI</t>
  </si>
  <si>
    <t>4028AJ</t>
  </si>
  <si>
    <t>4028AK</t>
  </si>
  <si>
    <t>4028AL</t>
  </si>
  <si>
    <t>4028AM</t>
  </si>
  <si>
    <t>4040AE</t>
  </si>
  <si>
    <t>4032AA</t>
  </si>
  <si>
    <t>4032AB</t>
  </si>
  <si>
    <t>4032AC</t>
  </si>
  <si>
    <t>4032AD</t>
  </si>
  <si>
    <t>4032AE</t>
  </si>
  <si>
    <t>4032AF</t>
  </si>
  <si>
    <t>4033AA</t>
  </si>
  <si>
    <t>4033AB</t>
  </si>
  <si>
    <t>4033AC</t>
  </si>
  <si>
    <t>4033AD</t>
  </si>
  <si>
    <t>4033AE</t>
  </si>
  <si>
    <t>4033AF</t>
  </si>
  <si>
    <t>2010</t>
  </si>
  <si>
    <t>2010AA</t>
  </si>
  <si>
    <t>2010AB</t>
  </si>
  <si>
    <t>2010AC</t>
  </si>
  <si>
    <t>2010AD</t>
  </si>
  <si>
    <t>3010AA</t>
  </si>
  <si>
    <t>3010</t>
  </si>
  <si>
    <t>3010AB</t>
  </si>
  <si>
    <t>3010AC</t>
  </si>
  <si>
    <t>3010AD</t>
  </si>
  <si>
    <t>3020</t>
  </si>
  <si>
    <t>3020AA</t>
  </si>
  <si>
    <t>3020AB</t>
  </si>
  <si>
    <t>4020</t>
  </si>
  <si>
    <t>4020AA</t>
  </si>
  <si>
    <t>4020AB</t>
  </si>
  <si>
    <t>4030</t>
  </si>
  <si>
    <t>4030AA</t>
  </si>
  <si>
    <t>4030AB</t>
  </si>
  <si>
    <t>4030AC</t>
  </si>
  <si>
    <t>4030AD</t>
  </si>
  <si>
    <t>Ocean Transportation: FEMA Distribution Center Caribbean, San Juan PR to assigned port in Puerto Rico (i.e. Ponce, Vieques)</t>
  </si>
  <si>
    <t>PWS REF</t>
  </si>
  <si>
    <t>2.2-2.2.1</t>
  </si>
  <si>
    <t>2.2.2</t>
  </si>
  <si>
    <t>2.2.4-2.2.5</t>
  </si>
  <si>
    <t>2.2.6</t>
  </si>
  <si>
    <t>2.2.1</t>
  </si>
  <si>
    <t>2.2.3</t>
  </si>
  <si>
    <t>1001</t>
  </si>
  <si>
    <t>1002</t>
  </si>
  <si>
    <t>1003</t>
  </si>
  <si>
    <t>1004</t>
  </si>
  <si>
    <t>0029</t>
  </si>
  <si>
    <t>0029AA</t>
  </si>
  <si>
    <t>0029AB</t>
  </si>
  <si>
    <t>1029</t>
  </si>
  <si>
    <t>1029AA</t>
  </si>
  <si>
    <t>1029AB</t>
  </si>
  <si>
    <t>1030</t>
  </si>
  <si>
    <t>1031</t>
  </si>
  <si>
    <t>1032</t>
  </si>
  <si>
    <t>1033</t>
  </si>
  <si>
    <t>2.2.5</t>
  </si>
  <si>
    <t>Daily Container Retention Rate (20ft, 40ft, 53ft) (with x days free of charge days)</t>
  </si>
  <si>
    <t>Daily Container Detention Rate (20ft, 40ft, 53ft) (starting on the [Xth] day)</t>
  </si>
  <si>
    <t>Daily Chassis Detention Rate (starting on the [Xth] day)</t>
  </si>
  <si>
    <t>Daily Container Demurrage Rate (20ft, 40ft, 53ft) (starting on the [Xth] day)</t>
  </si>
  <si>
    <t>Daily Reefer Container Retention Rate (with [X days] free-of-charge days) (inclusive of maintenance and fuel as necessary)</t>
  </si>
  <si>
    <t>Daily Reefer Container Detention Rate (starting on the [Xth] day)  (inclusive of maintenance and fuel as necessary)</t>
  </si>
  <si>
    <t>Daily Reefer Container Demurrage Rate (starting on the [Xth] day)  (inclusive of maintenance and fuel as necessary)</t>
  </si>
  <si>
    <t>ISO Tank Retention Rate (with [insert # of days] free of charge days)</t>
  </si>
  <si>
    <r>
      <t>Warehouse storage</t>
    </r>
    <r>
      <rPr>
        <sz val="11"/>
        <rFont val="Calibri"/>
        <family val="2"/>
        <scheme val="minor"/>
      </rPr>
      <t xml:space="preserve"> (minimum 500,000 Sq. Ft per facility) </t>
    </r>
    <r>
      <rPr>
        <b/>
        <sz val="11"/>
        <rFont val="Calibri"/>
        <family val="2"/>
        <scheme val="minor"/>
      </rPr>
      <t>(Monthly Rate per Pallet Position)</t>
    </r>
  </si>
  <si>
    <t>OCEAN TRANSPORTATION</t>
  </si>
  <si>
    <t xml:space="preserve">Surface line haul/Drayage services of containerized commodities from Origin to Port of Embarkation. </t>
  </si>
  <si>
    <t>Surface line haul services of containerized commodities from Port of Debarkation to FEMA designated Point of Need.</t>
  </si>
  <si>
    <t xml:space="preserve">Surface line haul services of containerized retrograde commodities from FEMA designated Point of Need to Port of embarkation. </t>
  </si>
  <si>
    <t xml:space="preserve">Surface line haul/Drayage services of Breakbulk Cargo. (Per Chassis) </t>
  </si>
  <si>
    <t>Surface line haul services of Breakbulk Cargo. (Per Chassis)</t>
  </si>
  <si>
    <t xml:space="preserve">Surface line haul services of retrograde Breakbulk Cargo from FEMA designated Point of Need to port of embarkation. (Per Chassis) </t>
  </si>
  <si>
    <t xml:space="preserve">Transport loaded containers, via ocean vessel from Port of Embarkation to assigned port in the USVI, FOB Destination. </t>
  </si>
  <si>
    <t xml:space="preserve">Transport loaded containers, via ocean vessel from Port of Embarkation to assigned port in Puerto Rico, FOB Destination. </t>
  </si>
  <si>
    <t xml:space="preserve">Transport Breakbulk Cargo (over 1200 cft) </t>
  </si>
  <si>
    <t xml:space="preserve">Retrograde fully loaded containerized commodities from USVI to origin loading facility. </t>
  </si>
  <si>
    <t>Retrograde fully loaded containerized commodities from Puerto Rico to origin loading facility.</t>
  </si>
  <si>
    <t xml:space="preserve">Retrograde Breakbulk Cargo (above 1200 cft) </t>
  </si>
  <si>
    <r>
      <t xml:space="preserve">Container handling equipment (CHE) services. </t>
    </r>
    <r>
      <rPr>
        <sz val="11"/>
        <rFont val="Calibri"/>
        <family val="2"/>
        <scheme val="minor"/>
      </rPr>
      <t>(For requirements outside of normal operational parameters)</t>
    </r>
  </si>
  <si>
    <r>
      <t xml:space="preserve">Material handling equipment (MHE) services. </t>
    </r>
    <r>
      <rPr>
        <sz val="11"/>
        <rFont val="Calibri"/>
        <family val="2"/>
        <scheme val="minor"/>
      </rPr>
      <t>(For requirements outside of normal operational parameters)</t>
    </r>
  </si>
  <si>
    <r>
      <t xml:space="preserve">Reefer Container Purchase for Government Use </t>
    </r>
    <r>
      <rPr>
        <sz val="11"/>
        <rFont val="Calibri"/>
        <family val="2"/>
        <scheme val="minor"/>
      </rPr>
      <t>(includes dedicated genset)</t>
    </r>
  </si>
  <si>
    <t>AIR TRANSPORTATION</t>
  </si>
  <si>
    <t>Ocean Transportation: FEMA Distribution Center Caribbean to/from Destination USVI</t>
  </si>
  <si>
    <t>EA Container/Trailer</t>
  </si>
  <si>
    <t xml:space="preserve">Retrograde Container Staging Services. </t>
  </si>
  <si>
    <t xml:space="preserve">Retrograde Commodity Pre-Positioning. Deliver Empty Shipping Containers to FEMA designated Point of Need. </t>
  </si>
  <si>
    <t xml:space="preserve">Commodity Pre-Positioning. Deliver Empty Shipping Containers to FEMA loading/discharging (receiving) locations. </t>
  </si>
  <si>
    <t>STAGING AND STORAGE SERVICE</t>
  </si>
  <si>
    <t>EQUIPMENT LEASING SERVICE</t>
  </si>
  <si>
    <t xml:space="preserve">GROUND TRANSPORTATION: </t>
  </si>
  <si>
    <t>Inclusive of container handling (CHE)/material handling (MHE) equipment usage, fees, taxes, diversions.</t>
  </si>
  <si>
    <r>
      <t xml:space="preserve">Travel </t>
    </r>
    <r>
      <rPr>
        <sz val="11"/>
        <rFont val="Calibri"/>
        <family val="2"/>
        <scheme val="minor"/>
      </rPr>
      <t>(May include Kickoff Meeting, Exercises, Training, and Site Visits). Must adhere to the Federal Travel Regulation.</t>
    </r>
  </si>
  <si>
    <t>LOT</t>
  </si>
  <si>
    <t>Cross-Docking Services</t>
  </si>
  <si>
    <t>CONUS Loaded Container Catch Yard must be within 20 miles radius of the Cross-Dock facility/port, hold up to 300 trailers</t>
  </si>
  <si>
    <t>Shuttle service of resources Intra-Island (containers/dry van trailers/box trucks/flat beds)</t>
  </si>
  <si>
    <t>OCONUS Container Staging Yard must be within 20 miles radius of the port, hold up to 300 containers</t>
  </si>
  <si>
    <r>
      <t xml:space="preserve">Dedicated Vessel Voyage from Port of Embarkation to assigned port in USVI, FOB Destination </t>
    </r>
    <r>
      <rPr>
        <sz val="11"/>
        <rFont val="Calibri"/>
        <family val="2"/>
        <scheme val="minor"/>
      </rPr>
      <t>(30 day minimum length of dedicated vessel)</t>
    </r>
  </si>
  <si>
    <r>
      <t xml:space="preserve">Dedicated Vessel Voyage from Port of Embarkation to assigned port in Puerto Rico, FOB Destination </t>
    </r>
    <r>
      <rPr>
        <sz val="11"/>
        <rFont val="Calibri"/>
        <family val="2"/>
        <scheme val="minor"/>
      </rPr>
      <t>(30 day minimum length of dedicated vessel)</t>
    </r>
  </si>
  <si>
    <r>
      <t xml:space="preserve">Expedited Air Transportation Services. USVI, FOB Destination. </t>
    </r>
    <r>
      <rPr>
        <sz val="11"/>
        <rFont val="Calibri"/>
        <family val="2"/>
        <scheme val="minor"/>
      </rPr>
      <t xml:space="preserve">Standard Pallet Size (48"L x 40"W x 48"H). Weight: </t>
    </r>
    <r>
      <rPr>
        <u/>
        <sz val="11"/>
        <rFont val="Calibri"/>
        <family val="2"/>
        <scheme val="minor"/>
      </rPr>
      <t>Below 1650lbs</t>
    </r>
    <r>
      <rPr>
        <sz val="11"/>
        <rFont val="Calibri"/>
        <family val="2"/>
        <scheme val="minor"/>
      </rPr>
      <t>.</t>
    </r>
  </si>
  <si>
    <r>
      <t xml:space="preserve">Expedited Air Transportation Services. Puerto Rico, FOB Destination. </t>
    </r>
    <r>
      <rPr>
        <sz val="11"/>
        <rFont val="Calibri"/>
        <family val="2"/>
        <scheme val="minor"/>
      </rPr>
      <t>Standard Pallet Size (48"L x 40"W x 48"H). Weight: Below</t>
    </r>
    <r>
      <rPr>
        <u/>
        <sz val="11"/>
        <rFont val="Calibri"/>
        <family val="2"/>
        <scheme val="minor"/>
      </rPr>
      <t xml:space="preserve"> 1650lbs</t>
    </r>
    <r>
      <rPr>
        <sz val="11"/>
        <rFont val="Calibri"/>
        <family val="2"/>
        <scheme val="minor"/>
      </rPr>
      <t>.</t>
    </r>
  </si>
  <si>
    <r>
      <t xml:space="preserve">Expedited Air Transportation Services. USVI, FOB Destination. </t>
    </r>
    <r>
      <rPr>
        <sz val="11"/>
        <rFont val="Calibri"/>
        <family val="2"/>
        <scheme val="minor"/>
      </rPr>
      <t xml:space="preserve">Standard Pallet Size (48"L x 40"W x 48"H). Weight: </t>
    </r>
    <r>
      <rPr>
        <u/>
        <sz val="11"/>
        <rFont val="Calibri"/>
        <family val="2"/>
        <scheme val="minor"/>
      </rPr>
      <t>1650lbs and above</t>
    </r>
    <r>
      <rPr>
        <sz val="11"/>
        <rFont val="Calibri"/>
        <family val="2"/>
        <scheme val="minor"/>
      </rPr>
      <t>.</t>
    </r>
  </si>
  <si>
    <r>
      <t xml:space="preserve">Expedited Air Transportation Services. Puerto Rico, FOB Destination. </t>
    </r>
    <r>
      <rPr>
        <sz val="11"/>
        <rFont val="Calibri"/>
        <family val="2"/>
        <scheme val="minor"/>
      </rPr>
      <t xml:space="preserve">Standard Pallet Size (48"L x 40"W x 48"H). Weight: </t>
    </r>
    <r>
      <rPr>
        <u/>
        <sz val="11"/>
        <rFont val="Calibri"/>
        <family val="2"/>
        <scheme val="minor"/>
      </rPr>
      <t>1650lbs and above</t>
    </r>
    <r>
      <rPr>
        <sz val="11"/>
        <rFont val="Calibri"/>
        <family val="2"/>
        <scheme val="minor"/>
      </rPr>
      <t>.</t>
    </r>
  </si>
  <si>
    <t>0015AC</t>
  </si>
  <si>
    <t>0016AC</t>
  </si>
  <si>
    <t>0017AC</t>
  </si>
  <si>
    <t>0017AD</t>
  </si>
  <si>
    <t>0017AE</t>
  </si>
  <si>
    <t>0017AF</t>
  </si>
  <si>
    <t>0017AG</t>
  </si>
  <si>
    <t>0020AC</t>
  </si>
  <si>
    <t>0020AD</t>
  </si>
  <si>
    <t>0021AC</t>
  </si>
  <si>
    <t>0022AC</t>
  </si>
  <si>
    <t>0022AD</t>
  </si>
  <si>
    <t>LOT per Month</t>
  </si>
  <si>
    <t>0027AI</t>
  </si>
  <si>
    <t>0030AA</t>
  </si>
  <si>
    <t>0030AB</t>
  </si>
  <si>
    <t>0034</t>
  </si>
  <si>
    <t>0035</t>
  </si>
  <si>
    <t>0036</t>
  </si>
  <si>
    <t>Days</t>
  </si>
  <si>
    <t>Location: CONUS Ports</t>
  </si>
  <si>
    <t>Location: USVI/Puerto Rico</t>
  </si>
  <si>
    <t>1005</t>
  </si>
  <si>
    <t>1006</t>
  </si>
  <si>
    <t>1007</t>
  </si>
  <si>
    <t>1008</t>
  </si>
  <si>
    <t>1009</t>
  </si>
  <si>
    <t>1010</t>
  </si>
  <si>
    <t>1011</t>
  </si>
  <si>
    <t>1012</t>
  </si>
  <si>
    <t>1014</t>
  </si>
  <si>
    <t>1015</t>
  </si>
  <si>
    <t>1015AC</t>
  </si>
  <si>
    <t>1016</t>
  </si>
  <si>
    <t>1016AC</t>
  </si>
  <si>
    <t>1017</t>
  </si>
  <si>
    <t>1017AC</t>
  </si>
  <si>
    <t>1017AD</t>
  </si>
  <si>
    <t>1017AE</t>
  </si>
  <si>
    <t>1017AF</t>
  </si>
  <si>
    <t>1017AG</t>
  </si>
  <si>
    <t>1019</t>
  </si>
  <si>
    <t>1020</t>
  </si>
  <si>
    <t>1020AC</t>
  </si>
  <si>
    <t>1020AD</t>
  </si>
  <si>
    <t>1021</t>
  </si>
  <si>
    <t>1021AC</t>
  </si>
  <si>
    <t>1022</t>
  </si>
  <si>
    <t>1022AC</t>
  </si>
  <si>
    <t>1022AD</t>
  </si>
  <si>
    <t>1023</t>
  </si>
  <si>
    <t>1024</t>
  </si>
  <si>
    <t>1025</t>
  </si>
  <si>
    <t>1026</t>
  </si>
  <si>
    <t>1027</t>
  </si>
  <si>
    <t>1027AI</t>
  </si>
  <si>
    <t>1028</t>
  </si>
  <si>
    <t>1034</t>
  </si>
  <si>
    <t>1035</t>
  </si>
  <si>
    <t>1036</t>
  </si>
  <si>
    <t>Period of Performance</t>
  </si>
  <si>
    <t>BASE YEAR TOTAL</t>
  </si>
  <si>
    <t>OPTION YEAR 1 TOTAL</t>
  </si>
  <si>
    <t>Option Year 1</t>
  </si>
  <si>
    <t>Option Year 2</t>
  </si>
  <si>
    <t>OPTION YEAR 2 TOTAL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</si>
  <si>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</si>
  <si>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</si>
  <si>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</si>
  <si>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</si>
  <si>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</si>
  <si>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</si>
  <si>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</si>
  <si>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</si>
  <si>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</si>
  <si>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</si>
  <si>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</si>
  <si>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2014</t>
  </si>
  <si>
    <t>2015</t>
  </si>
  <si>
    <t>2015AC</t>
  </si>
  <si>
    <t>2016</t>
  </si>
  <si>
    <t>2016AC</t>
  </si>
  <si>
    <t>2017</t>
  </si>
  <si>
    <t>2017AC</t>
  </si>
  <si>
    <t>2017AD</t>
  </si>
  <si>
    <t>2017AE</t>
  </si>
  <si>
    <t>2017AF</t>
  </si>
  <si>
    <t>2017AG</t>
  </si>
  <si>
    <t>2019</t>
  </si>
  <si>
    <t>2020</t>
  </si>
  <si>
    <t>2020AC</t>
  </si>
  <si>
    <t>2020AD</t>
  </si>
  <si>
    <t>2021</t>
  </si>
  <si>
    <t>2021AC</t>
  </si>
  <si>
    <t>2022</t>
  </si>
  <si>
    <t>2022AC</t>
  </si>
  <si>
    <t>2022AD</t>
  </si>
  <si>
    <t>2023</t>
  </si>
  <si>
    <t>2024</t>
  </si>
  <si>
    <t>2025</t>
  </si>
  <si>
    <t>2026</t>
  </si>
  <si>
    <t>2027</t>
  </si>
  <si>
    <t>2027AI</t>
  </si>
  <si>
    <t>2028</t>
  </si>
  <si>
    <t>2029</t>
  </si>
  <si>
    <t>2029AA</t>
  </si>
  <si>
    <t>2029AB</t>
  </si>
  <si>
    <t>2030</t>
  </si>
  <si>
    <t>2031</t>
  </si>
  <si>
    <t>2032</t>
  </si>
  <si>
    <t>2033</t>
  </si>
  <si>
    <t>2034</t>
  </si>
  <si>
    <t>2035</t>
  </si>
  <si>
    <t>2036</t>
  </si>
  <si>
    <t xml:space="preserve">Transport Breakbulk Cargo (up to 1200 cft) </t>
  </si>
  <si>
    <t xml:space="preserve">Retrograde Breakbulk Cargo (up to 1200 cft) </t>
  </si>
  <si>
    <t>2.2.2-2.26</t>
  </si>
  <si>
    <t>2.2.2-2.2.6</t>
  </si>
  <si>
    <t>2.2-2.2.6</t>
  </si>
  <si>
    <t>0013</t>
  </si>
  <si>
    <t>0013AA</t>
  </si>
  <si>
    <t>0013AB</t>
  </si>
  <si>
    <t>0013AC</t>
  </si>
  <si>
    <t>0013AD</t>
  </si>
  <si>
    <t>0013AE</t>
  </si>
  <si>
    <t>0013AF</t>
  </si>
  <si>
    <t>0013AG</t>
  </si>
  <si>
    <t>0028AC</t>
  </si>
  <si>
    <t>0028AD</t>
  </si>
  <si>
    <t>0028AE</t>
  </si>
  <si>
    <t>0014</t>
  </si>
  <si>
    <t>0014AA</t>
  </si>
  <si>
    <t>0014AB</t>
  </si>
  <si>
    <t>0014AC</t>
  </si>
  <si>
    <t>0014AD</t>
  </si>
  <si>
    <t>0016AD</t>
  </si>
  <si>
    <t>0016AE</t>
  </si>
  <si>
    <t>0016AF</t>
  </si>
  <si>
    <t>0016AG</t>
  </si>
  <si>
    <t>0018</t>
  </si>
  <si>
    <t>0018AA</t>
  </si>
  <si>
    <t>0018AB</t>
  </si>
  <si>
    <t>0018AC</t>
  </si>
  <si>
    <t>0018AD</t>
  </si>
  <si>
    <t>0025AD</t>
  </si>
  <si>
    <t>0025AE</t>
  </si>
  <si>
    <t>0025AF</t>
  </si>
  <si>
    <t>0025AG</t>
  </si>
  <si>
    <t>0025AH</t>
  </si>
  <si>
    <t>0025AI</t>
  </si>
  <si>
    <t>1016AG</t>
  </si>
  <si>
    <t>1016AF</t>
  </si>
  <si>
    <t>1016AE</t>
  </si>
  <si>
    <t>1016AD</t>
  </si>
  <si>
    <t>1013</t>
  </si>
  <si>
    <t>2013</t>
  </si>
  <si>
    <t>2016AD</t>
  </si>
  <si>
    <t>2016AE</t>
  </si>
  <si>
    <t>2016AF</t>
  </si>
  <si>
    <t>2016AG</t>
  </si>
  <si>
    <t>1018</t>
  </si>
  <si>
    <t>2018</t>
  </si>
  <si>
    <t>1025AI</t>
  </si>
  <si>
    <t>2025AI</t>
  </si>
  <si>
    <t>Pallet</t>
  </si>
  <si>
    <t>PALLET/MONTH</t>
  </si>
  <si>
    <t>N/A</t>
  </si>
  <si>
    <t>Vendor Pricing: DOTS VIPR Procurement (IDIQ)</t>
  </si>
  <si>
    <t>Vendor:</t>
  </si>
  <si>
    <t>Title:</t>
  </si>
  <si>
    <t>Disaster Overseas Transportation Support (DOTS) - Virgin Islands/Puerto Rico (VIPR)</t>
  </si>
  <si>
    <t>FEMA Component:</t>
  </si>
  <si>
    <t>Logistics Management Directorate</t>
  </si>
  <si>
    <t>Contract Type:</t>
  </si>
  <si>
    <t>IDIQ - Firm Fixed Unit Prices</t>
  </si>
  <si>
    <t>Date Submitted:</t>
  </si>
  <si>
    <t>PoP:</t>
  </si>
  <si>
    <t>2026 - 2029</t>
  </si>
  <si>
    <t>Contract Year</t>
  </si>
  <si>
    <t>CLIN (s)</t>
  </si>
  <si>
    <t>Total Cost</t>
  </si>
  <si>
    <t>Base</t>
  </si>
  <si>
    <t>7/1/2026 - 6/30/2027</t>
  </si>
  <si>
    <t>0001 - 0036</t>
  </si>
  <si>
    <t>7/1/2027 - 6/30/2028</t>
  </si>
  <si>
    <t>1001 - 1035</t>
  </si>
  <si>
    <t>7/1/2028 - 6/30/2029</t>
  </si>
  <si>
    <t>2001 - 2035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</si>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</sst>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Font="1" applyAlignment="1">
      <alignment vertical="top"/>
    </xf>
    <xf numFmtId="49" fontId="3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1" applyNumberFormat="1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top"/>
    </xf>
    <xf numFmtId="49" fontId="3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44" fontId="3" fillId="0" borderId="1" xfId="1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top"/>
    </xf>
    <xf numFmtId="49" fontId="0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vertical="top"/>
    </xf>
    <xf numFmtId="44" fontId="0" fillId="0" borderId="1" xfId="1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Font="1" applyBorder="1" applyAlignment="1">
      <alignment vertical="top"/>
    </xf>
    <xf numFmtId="0" fontId="6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0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vertical="top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5" fillId="0" borderId="1" xfId="0" applyFont="1" applyFill="1" applyBorder="1" applyAlignment="1">
      <alignment vertical="top" wrapText="1"/>
    </xf>
    <xf numFmtId="49" fontId="8" fillId="0" borderId="1" xfId="0" applyNumberFormat="1" applyFont="1" applyFill="1" applyBorder="1" applyAlignment="1">
      <alignment horizontal="center" vertical="top"/>
    </xf>
    <xf numFmtId="0" fontId="8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vertical="top"/>
    </xf>
    <xf numFmtId="49" fontId="6" fillId="0" borderId="1" xfId="0" applyNumberFormat="1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vertical="top"/>
    </xf>
    <xf numFmtId="49" fontId="5" fillId="0" borderId="1" xfId="0" applyNumberFormat="1" applyFont="1" applyFill="1" applyBorder="1" applyAlignment="1">
      <alignment horizontal="center" vertical="top"/>
    </xf>
    <xf numFmtId="0" fontId="0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44" fontId="0" fillId="0" borderId="1" xfId="0" applyNumberFormat="1" applyFont="1" applyBorder="1" applyAlignment="1">
      <alignment horizontal="center" vertical="top" wrapText="1"/>
    </xf>
    <xf numFmtId="49" fontId="0" fillId="0" borderId="0" xfId="0" applyNumberFormat="1" applyFont="1" applyAlignment="1">
      <alignment horizontal="center"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center" vertical="top" wrapText="1"/>
    </xf>
    <xf numFmtId="44" fontId="0" fillId="0" borderId="1" xfId="1" applyFont="1" applyFill="1" applyBorder="1" applyAlignment="1">
      <alignment vertical="top"/>
    </xf>
    <xf numFmtId="44" fontId="0" fillId="0" borderId="0" xfId="1" applyFont="1" applyFill="1" applyAlignment="1">
      <alignment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44" fontId="2" fillId="0" borderId="1" xfId="1" applyFont="1" applyFill="1" applyBorder="1" applyAlignment="1">
      <alignment horizontal="center" vertical="top" wrapText="1"/>
    </xf>
    <xf numFmtId="44" fontId="5" fillId="0" borderId="1" xfId="1" applyFont="1" applyFill="1" applyBorder="1" applyAlignment="1">
      <alignment vertical="top"/>
    </xf>
    <xf numFmtId="0" fontId="5" fillId="0" borderId="0" xfId="0" applyFont="1" applyFill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44" fontId="5" fillId="0" borderId="1" xfId="1" applyFont="1" applyFill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horizontal="center" vertical="top"/>
    </xf>
    <xf numFmtId="3" fontId="5" fillId="0" borderId="1" xfId="0" applyNumberFormat="1" applyFont="1" applyFill="1" applyBorder="1" applyAlignment="1">
      <alignment horizontal="center" vertical="top"/>
    </xf>
    <xf numFmtId="49" fontId="5" fillId="0" borderId="0" xfId="0" applyNumberFormat="1" applyFont="1" applyBorder="1" applyAlignment="1">
      <alignment horizontal="center" vertical="top"/>
    </xf>
    <xf numFmtId="44" fontId="5" fillId="0" borderId="0" xfId="1" applyFont="1" applyFill="1" applyBorder="1" applyAlignment="1">
      <alignment vertical="top"/>
    </xf>
    <xf numFmtId="0" fontId="5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vertical="top"/>
    </xf>
    <xf numFmtId="44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6" fillId="3" borderId="0" xfId="0" applyFont="1" applyFill="1" applyBorder="1" applyAlignment="1">
      <alignment vertical="top" wrapText="1"/>
    </xf>
    <xf numFmtId="44" fontId="5" fillId="0" borderId="0" xfId="1" applyFont="1" applyBorder="1" applyAlignment="1">
      <alignment horizontal="center" vertical="top" wrapText="1"/>
    </xf>
    <xf numFmtId="44" fontId="6" fillId="0" borderId="0" xfId="1" applyFont="1" applyBorder="1" applyAlignment="1">
      <alignment horizontal="center" vertical="top" wrapText="1"/>
    </xf>
    <xf numFmtId="49" fontId="6" fillId="3" borderId="1" xfId="0" applyNumberFormat="1" applyFont="1" applyFill="1" applyBorder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/>
    </xf>
    <xf numFmtId="0" fontId="6" fillId="3" borderId="1" xfId="1" applyNumberFormat="1" applyFont="1" applyFill="1" applyBorder="1" applyAlignment="1">
      <alignment vertical="top" wrapText="1"/>
    </xf>
    <xf numFmtId="49" fontId="10" fillId="3" borderId="1" xfId="0" applyNumberFormat="1" applyFont="1" applyFill="1" applyBorder="1" applyAlignment="1">
      <alignment vertical="top"/>
    </xf>
    <xf numFmtId="49" fontId="6" fillId="0" borderId="1" xfId="0" quotePrefix="1" applyNumberFormat="1" applyFont="1" applyFill="1" applyBorder="1" applyAlignment="1">
      <alignment horizontal="center" vertical="top"/>
    </xf>
    <xf numFmtId="44" fontId="6" fillId="0" borderId="1" xfId="1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vertical="top"/>
    </xf>
    <xf numFmtId="17" fontId="0" fillId="0" borderId="0" xfId="0" applyNumberFormat="1"/>
    <xf numFmtId="44" fontId="6" fillId="5" borderId="1" xfId="0" applyNumberFormat="1" applyFont="1" applyFill="1" applyBorder="1" applyAlignment="1">
      <alignment horizontal="center" vertical="top" wrapText="1"/>
    </xf>
    <xf numFmtId="49" fontId="6" fillId="3" borderId="1" xfId="0" applyNumberFormat="1" applyFont="1" applyFill="1" applyBorder="1" applyAlignment="1">
      <alignment horizontal="left" vertical="top"/>
    </xf>
    <xf numFmtId="49" fontId="10" fillId="3" borderId="1" xfId="0" applyNumberFormat="1" applyFont="1" applyFill="1" applyBorder="1" applyAlignment="1">
      <alignment horizontal="left" vertical="top"/>
    </xf>
    <xf numFmtId="49" fontId="5" fillId="0" borderId="1" xfId="0" applyNumberFormat="1" applyFont="1" applyFill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49" fontId="5" fillId="0" borderId="0" xfId="0" applyNumberFormat="1" applyFont="1" applyBorder="1" applyAlignment="1">
      <alignment horizontal="left" vertical="top"/>
    </xf>
    <xf numFmtId="0" fontId="3" fillId="0" borderId="0" xfId="0" applyFont="1"/>
    <xf numFmtId="0" fontId="0" fillId="6" borderId="1" xfId="0" applyFill="1" applyBorder="1" applyAlignment="1" applyProtection="1">
      <alignment wrapText="1"/>
      <protection locked="0"/>
    </xf>
    <xf numFmtId="0" fontId="0" fillId="0" borderId="0" xfId="0" applyAlignment="1">
      <alignment wrapText="1"/>
    </xf>
    <xf numFmtId="0" fontId="0" fillId="6" borderId="1" xfId="0" applyFill="1" applyBorder="1" applyProtection="1">
      <protection locked="0"/>
    </xf>
    <xf numFmtId="164" fontId="0" fillId="0" borderId="0" xfId="0" applyNumberFormat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13" fillId="0" borderId="0" xfId="0" applyFont="1" applyAlignment="1">
      <alignment horizontal="center" vertical="center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6" fillId="5" borderId="2" xfId="0" applyFont="1" applyFill="1" applyBorder="1" applyAlignment="1">
      <alignment horizontal="right" vertical="top"/>
    </xf>
    <xf numFmtId="0" fontId="6" fillId="5" borderId="3" xfId="0" applyFont="1" applyFill="1" applyBorder="1" applyAlignment="1">
      <alignment horizontal="right" vertical="top"/>
    </xf>
    <xf numFmtId="0" fontId="6" fillId="5" borderId="4" xfId="0" applyFont="1" applyFill="1" applyBorder="1" applyAlignment="1">
      <alignment horizontal="right" vertical="top"/>
    </xf>
    <xf numFmtId="49" fontId="6" fillId="4" borderId="1" xfId="0" applyNumberFormat="1" applyFont="1" applyFill="1" applyBorder="1" applyAlignment="1">
      <alignment horizontal="left" vertical="top"/>
    </xf>
    <xf numFmtId="49" fontId="6" fillId="4" borderId="2" xfId="0" applyNumberFormat="1" applyFont="1" applyFill="1" applyBorder="1" applyAlignment="1">
      <alignment horizontal="left" vertical="top"/>
    </xf>
    <xf numFmtId="49" fontId="6" fillId="4" borderId="3" xfId="0" applyNumberFormat="1" applyFont="1" applyFill="1" applyBorder="1" applyAlignment="1">
      <alignment horizontal="left" vertical="top"/>
    </xf>
    <xf numFmtId="49" fontId="6" fillId="4" borderId="4" xfId="0" applyNumberFormat="1" applyFont="1" applyFill="1" applyBorder="1" applyAlignment="1">
      <alignment horizontal="left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vertical="top" wrapText="1"/>
    </xf>
    <xf numFmtId="49" fontId="0" fillId="0" borderId="1" xfId="0" applyNumberFormat="1" applyFont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4</xdr:row>
      <xdr:rowOff>76200</xdr:rowOff>
    </xdr:from>
    <xdr:to>
      <xdr:col>7</xdr:col>
      <xdr:colOff>373380</xdr:colOff>
      <xdr:row>18</xdr:row>
      <xdr:rowOff>304800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DBF6B6-46F6-3715-7E25-EE1E001EE5BC}"/>
            </a:ext>
          </a:extLst>
        </xdr:cNvPr>
        <xdr:cNvSpPr txBox="1"/>
      </xdr:nvSpPr>
      <xdr:spPr>
        <a:xfrm rot="19732304">
          <a:off x="373380" y="807720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259080</xdr:colOff>
      <xdr:row>2</xdr:row>
      <xdr:rowOff>68581</xdr:rowOff>
    </xdr:from>
    <xdr:to>
      <xdr:col>2</xdr:col>
      <xdr:colOff>457200</xdr:colOff>
      <xdr:row>2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6B3376-7EC3-04E1-FEE4-3BE35232D50E}"/>
            </a:ext>
          </a:extLst>
        </xdr:cNvPr>
        <xdr:cNvSpPr txBox="1"/>
      </xdr:nvSpPr>
      <xdr:spPr>
        <a:xfrm>
          <a:off x="4351020" y="434341"/>
          <a:ext cx="198120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2015072</xdr:colOff>
      <xdr:row>102</xdr:row>
      <xdr:rowOff>127002</xdr:rowOff>
    </xdr:from>
    <xdr:to>
      <xdr:col>3</xdr:col>
      <xdr:colOff>1245452</xdr:colOff>
      <xdr:row>119</xdr:row>
      <xdr:rowOff>69429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FADDEC-DE62-4A62-87D0-52C99D2A94AD}"/>
            </a:ext>
          </a:extLst>
        </xdr:cNvPr>
        <xdr:cNvSpPr txBox="1"/>
      </xdr:nvSpPr>
      <xdr:spPr>
        <a:xfrm rot="19732304">
          <a:off x="2675472" y="19304002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17780</xdr:colOff>
      <xdr:row>29</xdr:row>
      <xdr:rowOff>128694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1B8661-489C-4B82-B08C-02F36BB7492D}"/>
            </a:ext>
          </a:extLst>
        </xdr:cNvPr>
        <xdr:cNvSpPr txBox="1"/>
      </xdr:nvSpPr>
      <xdr:spPr>
        <a:xfrm rot="19732304">
          <a:off x="660400" y="2421467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2</xdr:col>
      <xdr:colOff>17780</xdr:colOff>
      <xdr:row>85</xdr:row>
      <xdr:rowOff>128693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5B289B0-D591-476C-B9CC-D4F341183800}"/>
            </a:ext>
          </a:extLst>
        </xdr:cNvPr>
        <xdr:cNvSpPr txBox="1"/>
      </xdr:nvSpPr>
      <xdr:spPr>
        <a:xfrm rot="19732304">
          <a:off x="660400" y="13030200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153</xdr:row>
      <xdr:rowOff>0</xdr:rowOff>
    </xdr:from>
    <xdr:to>
      <xdr:col>2</xdr:col>
      <xdr:colOff>17780</xdr:colOff>
      <xdr:row>169</xdr:row>
      <xdr:rowOff>128693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A8F574-F391-4F14-8A52-267BD14D008C}"/>
            </a:ext>
          </a:extLst>
        </xdr:cNvPr>
        <xdr:cNvSpPr txBox="1"/>
      </xdr:nvSpPr>
      <xdr:spPr>
        <a:xfrm rot="19732304">
          <a:off x="660400" y="28676600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1592580</xdr:colOff>
      <xdr:row>96</xdr:row>
      <xdr:rowOff>99058</xdr:rowOff>
    </xdr:from>
    <xdr:to>
      <xdr:col>3</xdr:col>
      <xdr:colOff>822960</xdr:colOff>
      <xdr:row>113</xdr:row>
      <xdr:rowOff>99058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421209-9C56-4A68-BE6C-6F09C7A93F8B}"/>
            </a:ext>
          </a:extLst>
        </xdr:cNvPr>
        <xdr:cNvSpPr txBox="1"/>
      </xdr:nvSpPr>
      <xdr:spPr>
        <a:xfrm rot="19732304">
          <a:off x="2255520" y="17846038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143</xdr:row>
      <xdr:rowOff>0</xdr:rowOff>
    </xdr:from>
    <xdr:to>
      <xdr:col>2</xdr:col>
      <xdr:colOff>15240</xdr:colOff>
      <xdr:row>160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43EAA4-0610-416A-895E-B2398EACE2CB}"/>
            </a:ext>
          </a:extLst>
        </xdr:cNvPr>
        <xdr:cNvSpPr txBox="1"/>
      </xdr:nvSpPr>
      <xdr:spPr>
        <a:xfrm rot="19732304">
          <a:off x="662940" y="26342340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15240</xdr:colOff>
      <xdr:row>74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F0A931-3F5D-4269-9172-D370448FEBF0}"/>
            </a:ext>
          </a:extLst>
        </xdr:cNvPr>
        <xdr:cNvSpPr txBox="1"/>
      </xdr:nvSpPr>
      <xdr:spPr>
        <a:xfrm rot="19732304">
          <a:off x="662940" y="10614660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2</xdr:col>
      <xdr:colOff>15240</xdr:colOff>
      <xdr:row>30</xdr:row>
      <xdr:rowOff>175260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578DB6A-1C54-4C78-98DC-33AE94A2BE73}"/>
            </a:ext>
          </a:extLst>
        </xdr:cNvPr>
        <xdr:cNvSpPr txBox="1"/>
      </xdr:nvSpPr>
      <xdr:spPr>
        <a:xfrm rot="19732304">
          <a:off x="662940" y="2560320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1127760</xdr:colOff>
      <xdr:row>10</xdr:row>
      <xdr:rowOff>72573</xdr:rowOff>
    </xdr:from>
    <xdr:to>
      <xdr:col>3</xdr:col>
      <xdr:colOff>358140</xdr:colOff>
      <xdr:row>27</xdr:row>
      <xdr:rowOff>64953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726257-F731-489C-9C47-BE14F387F99B}"/>
            </a:ext>
          </a:extLst>
        </xdr:cNvPr>
        <xdr:cNvSpPr txBox="1"/>
      </xdr:nvSpPr>
      <xdr:spPr>
        <a:xfrm rot="19732304">
          <a:off x="1790700" y="1901373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2</xdr:col>
      <xdr:colOff>15240</xdr:colOff>
      <xdr:row>78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4255EF-B86D-48E8-94FF-BA8211F8119C}"/>
            </a:ext>
          </a:extLst>
        </xdr:cNvPr>
        <xdr:cNvSpPr txBox="1"/>
      </xdr:nvSpPr>
      <xdr:spPr>
        <a:xfrm rot="19732304">
          <a:off x="662940" y="11346180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116</xdr:row>
      <xdr:rowOff>0</xdr:rowOff>
    </xdr:from>
    <xdr:to>
      <xdr:col>2</xdr:col>
      <xdr:colOff>15240</xdr:colOff>
      <xdr:row>133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E135AB1-4750-4394-A06E-FD1E39275927}"/>
            </a:ext>
          </a:extLst>
        </xdr:cNvPr>
        <xdr:cNvSpPr txBox="1"/>
      </xdr:nvSpPr>
      <xdr:spPr>
        <a:xfrm rot="19732304">
          <a:off x="662940" y="21404580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155</xdr:row>
      <xdr:rowOff>0</xdr:rowOff>
    </xdr:from>
    <xdr:to>
      <xdr:col>2</xdr:col>
      <xdr:colOff>15240</xdr:colOff>
      <xdr:row>172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91A2E38-D805-4945-A7D9-A1B1A7F17F51}"/>
            </a:ext>
          </a:extLst>
        </xdr:cNvPr>
        <xdr:cNvSpPr txBox="1"/>
      </xdr:nvSpPr>
      <xdr:spPr>
        <a:xfrm rot="19732304">
          <a:off x="662940" y="28536900"/>
          <a:ext cx="8221980" cy="310896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9900" b="0" kern="120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DRAFT</a:t>
          </a:r>
          <a:endParaRPr lang="en-US" sz="19900" b="0" kern="1200" cap="none" spc="0">
            <a:ln w="0"/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0D54-C0B7-47C8-B608-FA6FF77EBFA0}">
  <dimension ref="A1:D26"/>
  <sheetViews>
    <sheetView workbookViewId="0">
      <selection activeCell="L14" sqref="L14"/>
    </sheetView>
  </sheetViews>
  <sheetFormatPr defaultRowHeight="14.4" x14ac:dyDescent="0.3"/>
  <cols>
    <col min="1" max="1" width="19.109375" customWidth="1"/>
    <col min="2" max="2" width="40.5546875" customWidth="1"/>
    <col min="3" max="3" width="13.21875" customWidth="1"/>
    <col min="4" max="4" width="20.33203125" customWidth="1"/>
  </cols>
  <sheetData>
    <row r="1" spans="1:4" x14ac:dyDescent="0.3">
      <c r="A1" s="96" t="s">
        <v>1124</v>
      </c>
      <c r="B1" s="96"/>
      <c r="C1" s="96"/>
      <c r="D1" s="96"/>
    </row>
    <row r="2" spans="1:4" x14ac:dyDescent="0.3">
      <c r="A2" s="96"/>
      <c r="B2" s="96"/>
      <c r="C2" s="96"/>
      <c r="D2" s="96"/>
    </row>
    <row r="4" spans="1:4" x14ac:dyDescent="0.3">
      <c r="A4" s="88" t="s">
        <v>1125</v>
      </c>
      <c r="B4" s="89"/>
    </row>
    <row r="5" spans="1:4" ht="28.8" x14ac:dyDescent="0.3">
      <c r="A5" s="88" t="s">
        <v>1126</v>
      </c>
      <c r="B5" s="90" t="s">
        <v>1127</v>
      </c>
    </row>
    <row r="6" spans="1:4" x14ac:dyDescent="0.3">
      <c r="A6" s="88" t="s">
        <v>1128</v>
      </c>
      <c r="B6" t="s">
        <v>1129</v>
      </c>
    </row>
    <row r="7" spans="1:4" x14ac:dyDescent="0.3">
      <c r="A7" s="88" t="s">
        <v>1130</v>
      </c>
      <c r="B7" t="s">
        <v>1131</v>
      </c>
    </row>
    <row r="8" spans="1:4" x14ac:dyDescent="0.3">
      <c r="A8" s="88" t="s">
        <v>1132</v>
      </c>
      <c r="B8" s="91"/>
    </row>
    <row r="9" spans="1:4" x14ac:dyDescent="0.3">
      <c r="A9" s="88" t="s">
        <v>1133</v>
      </c>
      <c r="B9" t="s">
        <v>1134</v>
      </c>
    </row>
    <row r="10" spans="1:4" x14ac:dyDescent="0.3">
      <c r="A10" s="88" t="s">
        <v>236</v>
      </c>
      <c r="B10" s="92">
        <f>D18</f>
        <v>0</v>
      </c>
    </row>
    <row r="14" spans="1:4" x14ac:dyDescent="0.3">
      <c r="A14" s="93" t="s">
        <v>1135</v>
      </c>
      <c r="B14" s="93" t="s">
        <v>1017</v>
      </c>
      <c r="C14" s="93" t="s">
        <v>1136</v>
      </c>
      <c r="D14" s="93" t="s">
        <v>1137</v>
      </c>
    </row>
    <row r="15" spans="1:4" x14ac:dyDescent="0.3">
      <c r="A15" s="94" t="s">
        <v>1138</v>
      </c>
      <c r="B15" s="94" t="s">
        <v>1139</v>
      </c>
      <c r="C15" s="94" t="s">
        <v>1140</v>
      </c>
      <c r="D15" s="95">
        <f>Base!G173</f>
        <v>0</v>
      </c>
    </row>
    <row r="16" spans="1:4" ht="18.75" customHeight="1" x14ac:dyDescent="0.3">
      <c r="A16" s="94" t="s">
        <v>1020</v>
      </c>
      <c r="B16" s="94" t="s">
        <v>1141</v>
      </c>
      <c r="C16" s="94" t="s">
        <v>1142</v>
      </c>
      <c r="D16" s="95">
        <f>'OY1'!G173</f>
        <v>0</v>
      </c>
    </row>
    <row r="17" spans="1:4" x14ac:dyDescent="0.3">
      <c r="A17" s="94" t="s">
        <v>1021</v>
      </c>
      <c r="B17" s="94" t="s">
        <v>1143</v>
      </c>
      <c r="C17" s="94" t="s">
        <v>1144</v>
      </c>
      <c r="D17" s="95">
        <f>'OY2'!G173</f>
        <v>0</v>
      </c>
    </row>
    <row r="18" spans="1:4" ht="21" customHeight="1" x14ac:dyDescent="0.3">
      <c r="A18" s="97" t="s">
        <v>1145</v>
      </c>
      <c r="B18" s="98"/>
      <c r="C18" s="99"/>
      <c r="D18" s="95">
        <f>SUM(D15:D17)</f>
        <v>0</v>
      </c>
    </row>
    <row r="19" spans="1:4" ht="24.75" customHeight="1" x14ac:dyDescent="0.3"/>
    <row r="20" spans="1:4" ht="15" customHeight="1" x14ac:dyDescent="0.3"/>
    <row r="26" spans="1:4" x14ac:dyDescent="0.3">
      <c r="B26" s="80"/>
    </row>
  </sheetData>
  <mergeCells count="2">
    <mergeCell ref="A1:D2"/>
    <mergeCell ref="A18:C18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9"/>
  <sheetViews>
    <sheetView zoomScale="90" zoomScaleNormal="90" workbookViewId="0">
      <pane ySplit="1" topLeftCell="A154" activePane="bottomLeft" state="frozen"/>
      <selection activeCell="A4" sqref="A4:C4"/>
      <selection pane="bottomLeft" activeCell="B154" sqref="B154"/>
    </sheetView>
  </sheetViews>
  <sheetFormatPr defaultColWidth="9.109375" defaultRowHeight="14.4" x14ac:dyDescent="0.3"/>
  <cols>
    <col min="1" max="1" width="9.6640625" style="62" customWidth="1"/>
    <col min="2" max="2" width="119.6640625" style="64" customWidth="1"/>
    <col min="3" max="3" width="11.44140625" style="57" customWidth="1"/>
    <col min="4" max="4" width="20.88671875" style="57" customWidth="1"/>
    <col min="5" max="5" width="13" style="63" bestFit="1" customWidth="1"/>
    <col min="6" max="6" width="11" style="63" bestFit="1" customWidth="1"/>
    <col min="7" max="7" width="16.88671875" style="68" bestFit="1" customWidth="1"/>
    <col min="8" max="8" width="10.5546875" style="57" bestFit="1" customWidth="1"/>
    <col min="9" max="16384" width="9.109375" style="58"/>
  </cols>
  <sheetData>
    <row r="1" spans="1:8" s="57" customFormat="1" x14ac:dyDescent="0.3">
      <c r="A1" s="72" t="s">
        <v>1</v>
      </c>
      <c r="B1" s="73" t="s">
        <v>2</v>
      </c>
      <c r="C1" s="73" t="s">
        <v>3</v>
      </c>
      <c r="D1" s="74" t="s">
        <v>4</v>
      </c>
      <c r="E1" s="75" t="s">
        <v>5</v>
      </c>
      <c r="F1" s="75" t="s">
        <v>976</v>
      </c>
      <c r="G1" s="73" t="s">
        <v>6</v>
      </c>
      <c r="H1" s="69" t="s">
        <v>888</v>
      </c>
    </row>
    <row r="2" spans="1:8" s="57" customFormat="1" x14ac:dyDescent="0.3">
      <c r="A2" s="76" t="s">
        <v>944</v>
      </c>
      <c r="B2" s="73"/>
      <c r="C2" s="73"/>
      <c r="D2" s="74"/>
      <c r="E2" s="75"/>
      <c r="F2" s="75"/>
      <c r="G2" s="73"/>
      <c r="H2" s="69"/>
    </row>
    <row r="3" spans="1:8" s="57" customFormat="1" x14ac:dyDescent="0.3">
      <c r="A3" s="103" t="s">
        <v>943</v>
      </c>
      <c r="B3" s="103"/>
      <c r="C3" s="103"/>
      <c r="D3" s="103"/>
      <c r="E3" s="103"/>
      <c r="F3" s="103"/>
      <c r="G3" s="103"/>
    </row>
    <row r="4" spans="1:8" x14ac:dyDescent="0.3">
      <c r="A4" s="77" t="s">
        <v>7</v>
      </c>
      <c r="B4" s="20" t="s">
        <v>920</v>
      </c>
      <c r="C4" s="20"/>
      <c r="D4" s="20"/>
      <c r="E4" s="20"/>
      <c r="F4" s="20"/>
      <c r="G4" s="20"/>
      <c r="H4" s="57" t="s">
        <v>889</v>
      </c>
    </row>
    <row r="5" spans="1:8" x14ac:dyDescent="0.3">
      <c r="A5" s="36" t="s">
        <v>10</v>
      </c>
      <c r="B5" s="28" t="s">
        <v>22</v>
      </c>
      <c r="C5" s="34">
        <v>250</v>
      </c>
      <c r="D5" s="34" t="s">
        <v>937</v>
      </c>
      <c r="E5" s="53"/>
      <c r="F5" s="53" t="s">
        <v>1123</v>
      </c>
      <c r="G5" s="56">
        <f>IF(ISNUMBER(E5),C5*E5,0)</f>
        <v>0</v>
      </c>
    </row>
    <row r="6" spans="1:8" x14ac:dyDescent="0.3">
      <c r="A6" s="36" t="s">
        <v>13</v>
      </c>
      <c r="B6" s="28" t="s">
        <v>24</v>
      </c>
      <c r="C6" s="34">
        <v>500</v>
      </c>
      <c r="D6" s="34" t="s">
        <v>937</v>
      </c>
      <c r="E6" s="53"/>
      <c r="F6" s="53" t="s">
        <v>1123</v>
      </c>
      <c r="G6" s="56">
        <f>IF(ISNUMBER(E6),C6*E6,0)</f>
        <v>0</v>
      </c>
    </row>
    <row r="7" spans="1:8" x14ac:dyDescent="0.3">
      <c r="A7" s="36" t="s">
        <v>15</v>
      </c>
      <c r="B7" s="28" t="s">
        <v>25</v>
      </c>
      <c r="C7" s="34">
        <v>200</v>
      </c>
      <c r="D7" s="34" t="s">
        <v>937</v>
      </c>
      <c r="E7" s="53"/>
      <c r="F7" s="53" t="s">
        <v>1123</v>
      </c>
      <c r="G7" s="56">
        <f>IF(ISNUMBER(E7),C7*E7,0)</f>
        <v>0</v>
      </c>
    </row>
    <row r="8" spans="1:8" x14ac:dyDescent="0.3">
      <c r="A8" s="36" t="s">
        <v>17</v>
      </c>
      <c r="B8" s="28" t="s">
        <v>26</v>
      </c>
      <c r="C8" s="34">
        <v>500</v>
      </c>
      <c r="D8" s="34" t="s">
        <v>937</v>
      </c>
      <c r="E8" s="53"/>
      <c r="F8" s="53" t="s">
        <v>1123</v>
      </c>
      <c r="G8" s="56">
        <f>IF(ISNUMBER(E8),C8*E8,0)</f>
        <v>0</v>
      </c>
    </row>
    <row r="9" spans="1:8" s="59" customFormat="1" x14ac:dyDescent="0.3">
      <c r="A9" s="33" t="s">
        <v>19</v>
      </c>
      <c r="B9" s="20" t="s">
        <v>921</v>
      </c>
      <c r="C9" s="20"/>
      <c r="D9" s="20"/>
      <c r="E9" s="20"/>
      <c r="F9" s="20"/>
      <c r="G9" s="20"/>
      <c r="H9" s="54" t="s">
        <v>891</v>
      </c>
    </row>
    <row r="10" spans="1:8" x14ac:dyDescent="0.3">
      <c r="A10" s="36" t="s">
        <v>21</v>
      </c>
      <c r="B10" s="28" t="s">
        <v>114</v>
      </c>
      <c r="C10" s="34">
        <v>1000</v>
      </c>
      <c r="D10" s="34" t="s">
        <v>937</v>
      </c>
      <c r="E10" s="53"/>
      <c r="F10" s="53" t="s">
        <v>1123</v>
      </c>
      <c r="G10" s="56">
        <f>IF(ISNUMBER(E10),C10*E10,0)</f>
        <v>0</v>
      </c>
    </row>
    <row r="11" spans="1:8" x14ac:dyDescent="0.3">
      <c r="A11" s="36" t="s">
        <v>23</v>
      </c>
      <c r="B11" s="28" t="s">
        <v>116</v>
      </c>
      <c r="C11" s="34">
        <v>2500</v>
      </c>
      <c r="D11" s="34" t="s">
        <v>937</v>
      </c>
      <c r="E11" s="53"/>
      <c r="F11" s="53" t="s">
        <v>1123</v>
      </c>
      <c r="G11" s="56">
        <f>IF(ISNUMBER(E11),C11*E11,0)</f>
        <v>0</v>
      </c>
    </row>
    <row r="12" spans="1:8" x14ac:dyDescent="0.3">
      <c r="A12" s="33" t="s">
        <v>27</v>
      </c>
      <c r="B12" s="20" t="s">
        <v>949</v>
      </c>
      <c r="C12" s="20"/>
      <c r="D12" s="20"/>
      <c r="E12" s="20"/>
      <c r="F12" s="20"/>
      <c r="G12" s="20"/>
      <c r="H12" s="54" t="s">
        <v>891</v>
      </c>
    </row>
    <row r="13" spans="1:8" x14ac:dyDescent="0.3">
      <c r="A13" s="36" t="s">
        <v>29</v>
      </c>
      <c r="B13" s="28" t="s">
        <v>124</v>
      </c>
      <c r="C13" s="34">
        <v>1000</v>
      </c>
      <c r="D13" s="34" t="s">
        <v>937</v>
      </c>
      <c r="E13" s="53"/>
      <c r="F13" s="53" t="s">
        <v>1123</v>
      </c>
      <c r="G13" s="56">
        <f>IF(ISNUMBER(E13),C13*E13,0)</f>
        <v>0</v>
      </c>
    </row>
    <row r="14" spans="1:8" x14ac:dyDescent="0.3">
      <c r="A14" s="36" t="s">
        <v>30</v>
      </c>
      <c r="B14" s="28" t="s">
        <v>126</v>
      </c>
      <c r="C14" s="34">
        <v>2500</v>
      </c>
      <c r="D14" s="34" t="s">
        <v>937</v>
      </c>
      <c r="E14" s="53"/>
      <c r="F14" s="53" t="s">
        <v>1123</v>
      </c>
      <c r="G14" s="56">
        <f>IF(ISNUMBER(E14),C14*E14,0)</f>
        <v>0</v>
      </c>
    </row>
    <row r="15" spans="1:8" s="59" customFormat="1" x14ac:dyDescent="0.3">
      <c r="A15" s="33" t="s">
        <v>31</v>
      </c>
      <c r="B15" s="20" t="s">
        <v>922</v>
      </c>
      <c r="C15" s="20"/>
      <c r="D15" s="20"/>
      <c r="E15" s="20"/>
      <c r="F15" s="20"/>
      <c r="G15" s="20"/>
      <c r="H15" s="54" t="s">
        <v>1075</v>
      </c>
    </row>
    <row r="16" spans="1:8" x14ac:dyDescent="0.3">
      <c r="A16" s="36" t="s">
        <v>33</v>
      </c>
      <c r="B16" s="28" t="s">
        <v>160</v>
      </c>
      <c r="C16" s="34">
        <v>1000</v>
      </c>
      <c r="D16" s="34" t="s">
        <v>937</v>
      </c>
      <c r="E16" s="53"/>
      <c r="F16" s="53" t="s">
        <v>1123</v>
      </c>
      <c r="G16" s="56">
        <f>IF(ISNUMBER(E16),C16*E16,0)</f>
        <v>0</v>
      </c>
    </row>
    <row r="17" spans="1:8" x14ac:dyDescent="0.3">
      <c r="A17" s="36" t="s">
        <v>35</v>
      </c>
      <c r="B17" s="28" t="s">
        <v>162</v>
      </c>
      <c r="C17" s="34">
        <v>2500</v>
      </c>
      <c r="D17" s="34" t="s">
        <v>937</v>
      </c>
      <c r="E17" s="53"/>
      <c r="F17" s="53" t="s">
        <v>1123</v>
      </c>
      <c r="G17" s="56">
        <f>IF(ISNUMBER(E17),C17*E17,0)</f>
        <v>0</v>
      </c>
    </row>
    <row r="18" spans="1:8" x14ac:dyDescent="0.3">
      <c r="A18" s="33" t="s">
        <v>39</v>
      </c>
      <c r="B18" s="20" t="s">
        <v>923</v>
      </c>
      <c r="C18" s="20"/>
      <c r="D18" s="20"/>
      <c r="E18" s="20"/>
      <c r="F18" s="20"/>
      <c r="G18" s="20"/>
      <c r="H18" s="57" t="s">
        <v>889</v>
      </c>
    </row>
    <row r="19" spans="1:8" x14ac:dyDescent="0.3">
      <c r="A19" s="36" t="s">
        <v>41</v>
      </c>
      <c r="B19" s="28" t="s">
        <v>22</v>
      </c>
      <c r="C19" s="34">
        <v>100</v>
      </c>
      <c r="D19" s="34" t="s">
        <v>937</v>
      </c>
      <c r="E19" s="53"/>
      <c r="F19" s="53" t="s">
        <v>1123</v>
      </c>
      <c r="G19" s="56">
        <f>IF(ISNUMBER(E19),C19*E19,0)</f>
        <v>0</v>
      </c>
    </row>
    <row r="20" spans="1:8" x14ac:dyDescent="0.3">
      <c r="A20" s="36" t="s">
        <v>43</v>
      </c>
      <c r="B20" s="28" t="s">
        <v>24</v>
      </c>
      <c r="C20" s="34">
        <v>100</v>
      </c>
      <c r="D20" s="34" t="s">
        <v>937</v>
      </c>
      <c r="E20" s="53"/>
      <c r="F20" s="53" t="s">
        <v>1123</v>
      </c>
      <c r="G20" s="56">
        <f>IF(ISNUMBER(E20),C20*E20,0)</f>
        <v>0</v>
      </c>
    </row>
    <row r="21" spans="1:8" x14ac:dyDescent="0.3">
      <c r="A21" s="36" t="s">
        <v>45</v>
      </c>
      <c r="B21" s="28" t="s">
        <v>25</v>
      </c>
      <c r="C21" s="34">
        <v>100</v>
      </c>
      <c r="D21" s="34" t="s">
        <v>937</v>
      </c>
      <c r="E21" s="53"/>
      <c r="F21" s="53" t="s">
        <v>1123</v>
      </c>
      <c r="G21" s="56">
        <f>IF(ISNUMBER(E21),C21*E21,0)</f>
        <v>0</v>
      </c>
    </row>
    <row r="22" spans="1:8" x14ac:dyDescent="0.3">
      <c r="A22" s="36" t="s">
        <v>47</v>
      </c>
      <c r="B22" s="28" t="s">
        <v>26</v>
      </c>
      <c r="C22" s="34">
        <v>100</v>
      </c>
      <c r="D22" s="34" t="s">
        <v>937</v>
      </c>
      <c r="E22" s="53"/>
      <c r="F22" s="53" t="s">
        <v>1123</v>
      </c>
      <c r="G22" s="56">
        <f>IF(ISNUMBER(E22),C22*E22,0)</f>
        <v>0</v>
      </c>
    </row>
    <row r="23" spans="1:8" x14ac:dyDescent="0.3">
      <c r="A23" s="33" t="s">
        <v>49</v>
      </c>
      <c r="B23" s="20" t="s">
        <v>924</v>
      </c>
      <c r="C23" s="20"/>
      <c r="D23" s="20"/>
      <c r="E23" s="20"/>
      <c r="F23" s="20"/>
      <c r="G23" s="20"/>
      <c r="H23" s="54" t="s">
        <v>891</v>
      </c>
    </row>
    <row r="24" spans="1:8" x14ac:dyDescent="0.3">
      <c r="A24" s="36" t="s">
        <v>51</v>
      </c>
      <c r="B24" s="28" t="s">
        <v>114</v>
      </c>
      <c r="C24" s="34">
        <v>10</v>
      </c>
      <c r="D24" s="34" t="s">
        <v>937</v>
      </c>
      <c r="E24" s="53"/>
      <c r="F24" s="53" t="s">
        <v>1123</v>
      </c>
      <c r="G24" s="56">
        <f>IF(ISNUMBER(E24),C24*E24,0)</f>
        <v>0</v>
      </c>
    </row>
    <row r="25" spans="1:8" x14ac:dyDescent="0.3">
      <c r="A25" s="36" t="s">
        <v>53</v>
      </c>
      <c r="B25" s="28" t="s">
        <v>116</v>
      </c>
      <c r="C25" s="34">
        <v>10</v>
      </c>
      <c r="D25" s="34" t="s">
        <v>937</v>
      </c>
      <c r="E25" s="53"/>
      <c r="F25" s="53" t="s">
        <v>1123</v>
      </c>
      <c r="G25" s="56">
        <f>IF(ISNUMBER(E25),C25*E25,0)</f>
        <v>0</v>
      </c>
    </row>
    <row r="26" spans="1:8" x14ac:dyDescent="0.3">
      <c r="A26" s="33" t="s">
        <v>54</v>
      </c>
      <c r="B26" s="20" t="s">
        <v>925</v>
      </c>
      <c r="C26" s="20"/>
      <c r="D26" s="20"/>
      <c r="E26" s="20"/>
      <c r="F26" s="20"/>
      <c r="G26" s="20"/>
      <c r="H26" s="57" t="s">
        <v>1075</v>
      </c>
    </row>
    <row r="27" spans="1:8" x14ac:dyDescent="0.3">
      <c r="A27" s="36" t="s">
        <v>56</v>
      </c>
      <c r="B27" s="28" t="s">
        <v>160</v>
      </c>
      <c r="C27" s="34">
        <v>10</v>
      </c>
      <c r="D27" s="34" t="s">
        <v>937</v>
      </c>
      <c r="E27" s="53"/>
      <c r="F27" s="53" t="s">
        <v>1123</v>
      </c>
      <c r="G27" s="56">
        <f>IF(ISNUMBER(E27),C27*E27,0)</f>
        <v>0</v>
      </c>
    </row>
    <row r="28" spans="1:8" x14ac:dyDescent="0.3">
      <c r="A28" s="36" t="s">
        <v>57</v>
      </c>
      <c r="B28" s="28" t="s">
        <v>162</v>
      </c>
      <c r="C28" s="34">
        <v>10</v>
      </c>
      <c r="D28" s="34" t="s">
        <v>937</v>
      </c>
      <c r="E28" s="53"/>
      <c r="F28" s="53" t="s">
        <v>1123</v>
      </c>
      <c r="G28" s="56">
        <f>IF(ISNUMBER(E28),C28*E28,0)</f>
        <v>0</v>
      </c>
    </row>
    <row r="29" spans="1:8" x14ac:dyDescent="0.3">
      <c r="A29" s="36"/>
      <c r="B29" s="28"/>
      <c r="C29" s="34"/>
      <c r="D29" s="34"/>
      <c r="E29" s="53"/>
      <c r="F29" s="53"/>
      <c r="G29" s="78">
        <f>SUM(G5:G28)</f>
        <v>0</v>
      </c>
    </row>
    <row r="30" spans="1:8" x14ac:dyDescent="0.3">
      <c r="A30" s="103" t="s">
        <v>919</v>
      </c>
      <c r="B30" s="103"/>
      <c r="C30" s="103"/>
      <c r="D30" s="103"/>
      <c r="E30" s="103"/>
      <c r="F30" s="103"/>
      <c r="G30" s="103"/>
    </row>
    <row r="31" spans="1:8" x14ac:dyDescent="0.3">
      <c r="A31" s="33" t="s">
        <v>58</v>
      </c>
      <c r="B31" s="20" t="s">
        <v>926</v>
      </c>
      <c r="C31" s="20"/>
      <c r="D31" s="20"/>
      <c r="E31" s="20"/>
      <c r="F31" s="20"/>
      <c r="G31" s="20"/>
      <c r="H31" s="57" t="s">
        <v>1074</v>
      </c>
    </row>
    <row r="32" spans="1:8" x14ac:dyDescent="0.3">
      <c r="A32" s="36" t="s">
        <v>60</v>
      </c>
      <c r="B32" s="28" t="s">
        <v>34</v>
      </c>
      <c r="C32" s="34">
        <v>250</v>
      </c>
      <c r="D32" s="50" t="s">
        <v>937</v>
      </c>
      <c r="E32" s="53"/>
      <c r="F32" s="53" t="s">
        <v>1123</v>
      </c>
      <c r="G32" s="56">
        <f>IF(ISNUMBER(E32),C32*E32,0)</f>
        <v>0</v>
      </c>
    </row>
    <row r="33" spans="1:8" x14ac:dyDescent="0.3">
      <c r="A33" s="36" t="s">
        <v>63</v>
      </c>
      <c r="B33" s="28" t="s">
        <v>36</v>
      </c>
      <c r="C33" s="34">
        <v>1000</v>
      </c>
      <c r="D33" s="50" t="s">
        <v>937</v>
      </c>
      <c r="E33" s="53"/>
      <c r="F33" s="53" t="s">
        <v>1123</v>
      </c>
      <c r="G33" s="56">
        <f>IF(ISNUMBER(E33),C33*E33,0)</f>
        <v>0</v>
      </c>
    </row>
    <row r="34" spans="1:8" x14ac:dyDescent="0.3">
      <c r="A34" s="36" t="s">
        <v>65</v>
      </c>
      <c r="B34" s="28" t="s">
        <v>37</v>
      </c>
      <c r="C34" s="34">
        <v>200</v>
      </c>
      <c r="D34" s="50" t="s">
        <v>937</v>
      </c>
      <c r="E34" s="53"/>
      <c r="F34" s="53" t="s">
        <v>1123</v>
      </c>
      <c r="G34" s="56">
        <f>IF(ISNUMBER(E34),C34*E34,0)</f>
        <v>0</v>
      </c>
    </row>
    <row r="35" spans="1:8" x14ac:dyDescent="0.3">
      <c r="A35" s="36" t="s">
        <v>67</v>
      </c>
      <c r="B35" s="28" t="s">
        <v>38</v>
      </c>
      <c r="C35" s="34">
        <v>50</v>
      </c>
      <c r="D35" s="50" t="s">
        <v>937</v>
      </c>
      <c r="E35" s="53"/>
      <c r="F35" s="53" t="s">
        <v>1123</v>
      </c>
      <c r="G35" s="56">
        <f>IF(ISNUMBER(E35),C35*E35,0)</f>
        <v>0</v>
      </c>
    </row>
    <row r="36" spans="1:8" x14ac:dyDescent="0.3">
      <c r="A36" s="33" t="s">
        <v>69</v>
      </c>
      <c r="B36" s="20" t="s">
        <v>927</v>
      </c>
      <c r="C36" s="20"/>
      <c r="D36" s="20"/>
      <c r="E36" s="20"/>
      <c r="F36" s="20"/>
      <c r="G36" s="20"/>
      <c r="H36" s="57" t="s">
        <v>1074</v>
      </c>
    </row>
    <row r="37" spans="1:8" x14ac:dyDescent="0.3">
      <c r="A37" s="36" t="s">
        <v>71</v>
      </c>
      <c r="B37" s="28" t="s">
        <v>42</v>
      </c>
      <c r="C37" s="34">
        <v>250</v>
      </c>
      <c r="D37" s="50" t="s">
        <v>937</v>
      </c>
      <c r="E37" s="53"/>
      <c r="F37" s="53" t="s">
        <v>1123</v>
      </c>
      <c r="G37" s="56">
        <f>IF(ISNUMBER(E37),C37*E37,0)</f>
        <v>0</v>
      </c>
    </row>
    <row r="38" spans="1:8" x14ac:dyDescent="0.3">
      <c r="A38" s="36" t="s">
        <v>73</v>
      </c>
      <c r="B38" s="28" t="s">
        <v>44</v>
      </c>
      <c r="C38" s="34">
        <v>1000</v>
      </c>
      <c r="D38" s="50" t="s">
        <v>937</v>
      </c>
      <c r="E38" s="53"/>
      <c r="F38" s="53" t="s">
        <v>1123</v>
      </c>
      <c r="G38" s="56">
        <f>IF(ISNUMBER(E38),C38*E38,0)</f>
        <v>0</v>
      </c>
    </row>
    <row r="39" spans="1:8" x14ac:dyDescent="0.3">
      <c r="A39" s="36" t="s">
        <v>75</v>
      </c>
      <c r="B39" s="28" t="s">
        <v>46</v>
      </c>
      <c r="C39" s="34">
        <v>200</v>
      </c>
      <c r="D39" s="50" t="s">
        <v>937</v>
      </c>
      <c r="E39" s="53"/>
      <c r="F39" s="53" t="s">
        <v>1123</v>
      </c>
      <c r="G39" s="56">
        <f>IF(ISNUMBER(E39),C39*E39,0)</f>
        <v>0</v>
      </c>
    </row>
    <row r="40" spans="1:8" x14ac:dyDescent="0.3">
      <c r="A40" s="36" t="s">
        <v>77</v>
      </c>
      <c r="B40" s="28" t="s">
        <v>887</v>
      </c>
      <c r="C40" s="34">
        <v>50</v>
      </c>
      <c r="D40" s="50" t="s">
        <v>937</v>
      </c>
      <c r="E40" s="53"/>
      <c r="F40" s="53" t="s">
        <v>1123</v>
      </c>
      <c r="G40" s="56">
        <f>IF(ISNUMBER(E40),C40*E40,0)</f>
        <v>0</v>
      </c>
    </row>
    <row r="41" spans="1:8" x14ac:dyDescent="0.3">
      <c r="A41" s="33" t="s">
        <v>79</v>
      </c>
      <c r="B41" s="20" t="s">
        <v>951</v>
      </c>
      <c r="C41" s="20"/>
      <c r="D41" s="20"/>
      <c r="E41" s="20"/>
      <c r="F41" s="20"/>
      <c r="G41" s="20"/>
      <c r="H41" s="57" t="s">
        <v>1073</v>
      </c>
    </row>
    <row r="42" spans="1:8" x14ac:dyDescent="0.3">
      <c r="A42" s="36" t="s">
        <v>81</v>
      </c>
      <c r="B42" s="28" t="s">
        <v>34</v>
      </c>
      <c r="C42" s="34">
        <v>1</v>
      </c>
      <c r="D42" s="50" t="s">
        <v>52</v>
      </c>
      <c r="E42" s="53"/>
      <c r="F42" s="34">
        <v>30</v>
      </c>
      <c r="G42" s="56">
        <f>+C42*E42*F42</f>
        <v>0</v>
      </c>
    </row>
    <row r="43" spans="1:8" x14ac:dyDescent="0.3">
      <c r="A43" s="36" t="s">
        <v>82</v>
      </c>
      <c r="B43" s="28" t="s">
        <v>36</v>
      </c>
      <c r="C43" s="34">
        <v>1</v>
      </c>
      <c r="D43" s="50" t="s">
        <v>52</v>
      </c>
      <c r="E43" s="53"/>
      <c r="F43" s="34">
        <v>30</v>
      </c>
      <c r="G43" s="56">
        <f t="shared" ref="G43:G45" si="0">+C43*E43*F43</f>
        <v>0</v>
      </c>
    </row>
    <row r="44" spans="1:8" x14ac:dyDescent="0.3">
      <c r="A44" s="36" t="s">
        <v>83</v>
      </c>
      <c r="B44" s="28" t="s">
        <v>37</v>
      </c>
      <c r="C44" s="34">
        <v>1</v>
      </c>
      <c r="D44" s="50" t="s">
        <v>52</v>
      </c>
      <c r="E44" s="53"/>
      <c r="F44" s="34">
        <v>30</v>
      </c>
      <c r="G44" s="56">
        <f t="shared" si="0"/>
        <v>0</v>
      </c>
    </row>
    <row r="45" spans="1:8" x14ac:dyDescent="0.3">
      <c r="A45" s="36" t="s">
        <v>84</v>
      </c>
      <c r="B45" s="28" t="s">
        <v>38</v>
      </c>
      <c r="C45" s="34">
        <v>1</v>
      </c>
      <c r="D45" s="50" t="s">
        <v>52</v>
      </c>
      <c r="E45" s="53"/>
      <c r="F45" s="34">
        <v>30</v>
      </c>
      <c r="G45" s="56">
        <f t="shared" si="0"/>
        <v>0</v>
      </c>
    </row>
    <row r="46" spans="1:8" ht="28.8" x14ac:dyDescent="0.3">
      <c r="A46" s="33" t="s">
        <v>85</v>
      </c>
      <c r="B46" s="20" t="s">
        <v>952</v>
      </c>
      <c r="C46" s="20"/>
      <c r="D46" s="20"/>
      <c r="E46" s="20"/>
      <c r="F46" s="20"/>
      <c r="G46" s="20"/>
      <c r="H46" s="57" t="s">
        <v>1073</v>
      </c>
    </row>
    <row r="47" spans="1:8" x14ac:dyDescent="0.3">
      <c r="A47" s="36" t="s">
        <v>87</v>
      </c>
      <c r="B47" s="28" t="s">
        <v>42</v>
      </c>
      <c r="C47" s="34">
        <v>1</v>
      </c>
      <c r="D47" s="50" t="s">
        <v>52</v>
      </c>
      <c r="E47" s="53"/>
      <c r="F47" s="34">
        <v>30</v>
      </c>
      <c r="G47" s="56">
        <f>+C47*E47*F47</f>
        <v>0</v>
      </c>
    </row>
    <row r="48" spans="1:8" x14ac:dyDescent="0.3">
      <c r="A48" s="36" t="s">
        <v>88</v>
      </c>
      <c r="B48" s="28" t="s">
        <v>44</v>
      </c>
      <c r="C48" s="34">
        <v>1</v>
      </c>
      <c r="D48" s="50" t="s">
        <v>52</v>
      </c>
      <c r="E48" s="53"/>
      <c r="F48" s="34">
        <v>30</v>
      </c>
      <c r="G48" s="56">
        <f t="shared" ref="G48:G50" si="1">+C48*E48*F48</f>
        <v>0</v>
      </c>
    </row>
    <row r="49" spans="1:8" x14ac:dyDescent="0.3">
      <c r="A49" s="36" t="s">
        <v>89</v>
      </c>
      <c r="B49" s="28" t="s">
        <v>46</v>
      </c>
      <c r="C49" s="34">
        <v>1</v>
      </c>
      <c r="D49" s="50" t="s">
        <v>52</v>
      </c>
      <c r="E49" s="53"/>
      <c r="F49" s="34">
        <v>30</v>
      </c>
      <c r="G49" s="56">
        <f t="shared" si="1"/>
        <v>0</v>
      </c>
    </row>
    <row r="50" spans="1:8" x14ac:dyDescent="0.3">
      <c r="A50" s="36" t="s">
        <v>90</v>
      </c>
      <c r="B50" s="28" t="s">
        <v>48</v>
      </c>
      <c r="C50" s="34">
        <v>1</v>
      </c>
      <c r="D50" s="50" t="s">
        <v>52</v>
      </c>
      <c r="E50" s="53"/>
      <c r="F50" s="34">
        <v>30</v>
      </c>
      <c r="G50" s="56">
        <f t="shared" si="1"/>
        <v>0</v>
      </c>
    </row>
    <row r="51" spans="1:8" x14ac:dyDescent="0.3">
      <c r="A51" s="33" t="s">
        <v>91</v>
      </c>
      <c r="B51" s="20" t="s">
        <v>1071</v>
      </c>
      <c r="C51" s="20"/>
      <c r="D51" s="20"/>
      <c r="E51" s="20"/>
      <c r="F51" s="20"/>
      <c r="G51" s="20"/>
      <c r="H51" s="57" t="s">
        <v>890</v>
      </c>
    </row>
    <row r="52" spans="1:8" x14ac:dyDescent="0.3">
      <c r="A52" s="36" t="s">
        <v>93</v>
      </c>
      <c r="B52" s="28" t="s">
        <v>94</v>
      </c>
      <c r="C52" s="34">
        <v>1000</v>
      </c>
      <c r="D52" s="34" t="s">
        <v>95</v>
      </c>
      <c r="E52" s="53"/>
      <c r="F52" s="53" t="s">
        <v>1123</v>
      </c>
      <c r="G52" s="56">
        <f t="shared" ref="G52:G58" si="2">IF(ISNUMBER(E52),C52*E52,0)</f>
        <v>0</v>
      </c>
    </row>
    <row r="53" spans="1:8" x14ac:dyDescent="0.3">
      <c r="A53" s="36" t="s">
        <v>96</v>
      </c>
      <c r="B53" s="28" t="s">
        <v>97</v>
      </c>
      <c r="C53" s="34">
        <v>1000</v>
      </c>
      <c r="D53" s="34" t="s">
        <v>95</v>
      </c>
      <c r="E53" s="53"/>
      <c r="F53" s="53" t="s">
        <v>1123</v>
      </c>
      <c r="G53" s="56">
        <f t="shared" si="2"/>
        <v>0</v>
      </c>
    </row>
    <row r="54" spans="1:8" x14ac:dyDescent="0.3">
      <c r="A54" s="36" t="s">
        <v>98</v>
      </c>
      <c r="B54" s="28" t="s">
        <v>99</v>
      </c>
      <c r="C54" s="34">
        <v>1000</v>
      </c>
      <c r="D54" s="34" t="s">
        <v>95</v>
      </c>
      <c r="E54" s="53"/>
      <c r="F54" s="53" t="s">
        <v>1123</v>
      </c>
      <c r="G54" s="56">
        <f t="shared" si="2"/>
        <v>0</v>
      </c>
    </row>
    <row r="55" spans="1:8" x14ac:dyDescent="0.3">
      <c r="A55" s="36" t="s">
        <v>100</v>
      </c>
      <c r="B55" s="28" t="s">
        <v>101</v>
      </c>
      <c r="C55" s="34">
        <v>1000</v>
      </c>
      <c r="D55" s="34" t="s">
        <v>95</v>
      </c>
      <c r="E55" s="53"/>
      <c r="F55" s="53" t="s">
        <v>1123</v>
      </c>
      <c r="G55" s="56">
        <f t="shared" si="2"/>
        <v>0</v>
      </c>
    </row>
    <row r="56" spans="1:8" x14ac:dyDescent="0.3">
      <c r="A56" s="36" t="s">
        <v>102</v>
      </c>
      <c r="B56" s="28" t="s">
        <v>103</v>
      </c>
      <c r="C56" s="34">
        <v>1000</v>
      </c>
      <c r="D56" s="34" t="s">
        <v>95</v>
      </c>
      <c r="E56" s="53"/>
      <c r="F56" s="53" t="s">
        <v>1123</v>
      </c>
      <c r="G56" s="56">
        <f t="shared" si="2"/>
        <v>0</v>
      </c>
    </row>
    <row r="57" spans="1:8" x14ac:dyDescent="0.3">
      <c r="A57" s="36" t="s">
        <v>104</v>
      </c>
      <c r="B57" s="28" t="s">
        <v>105</v>
      </c>
      <c r="C57" s="34">
        <v>1000</v>
      </c>
      <c r="D57" s="34" t="s">
        <v>95</v>
      </c>
      <c r="E57" s="53"/>
      <c r="F57" s="53" t="s">
        <v>1123</v>
      </c>
      <c r="G57" s="56">
        <f t="shared" si="2"/>
        <v>0</v>
      </c>
    </row>
    <row r="58" spans="1:8" x14ac:dyDescent="0.3">
      <c r="A58" s="36" t="s">
        <v>106</v>
      </c>
      <c r="B58" s="28" t="s">
        <v>936</v>
      </c>
      <c r="C58" s="34">
        <v>1000</v>
      </c>
      <c r="D58" s="34" t="s">
        <v>95</v>
      </c>
      <c r="E58" s="53"/>
      <c r="F58" s="53" t="s">
        <v>1123</v>
      </c>
      <c r="G58" s="56">
        <f t="shared" si="2"/>
        <v>0</v>
      </c>
    </row>
    <row r="59" spans="1:8" x14ac:dyDescent="0.3">
      <c r="A59" s="33" t="s">
        <v>1076</v>
      </c>
      <c r="B59" s="20" t="s">
        <v>928</v>
      </c>
      <c r="C59" s="20"/>
      <c r="D59" s="20"/>
      <c r="E59" s="20"/>
      <c r="F59" s="20"/>
      <c r="G59" s="20"/>
      <c r="H59" s="57" t="s">
        <v>890</v>
      </c>
    </row>
    <row r="60" spans="1:8" x14ac:dyDescent="0.3">
      <c r="A60" s="36" t="s">
        <v>1077</v>
      </c>
      <c r="B60" s="28" t="s">
        <v>94</v>
      </c>
      <c r="C60" s="34">
        <v>2500</v>
      </c>
      <c r="D60" s="34" t="s">
        <v>95</v>
      </c>
      <c r="E60" s="53"/>
      <c r="F60" s="53" t="s">
        <v>1123</v>
      </c>
      <c r="G60" s="56">
        <f t="shared" ref="G60:G66" si="3">IF(ISNUMBER(E60),C60*E60,0)</f>
        <v>0</v>
      </c>
    </row>
    <row r="61" spans="1:8" x14ac:dyDescent="0.3">
      <c r="A61" s="36" t="s">
        <v>1078</v>
      </c>
      <c r="B61" s="28" t="s">
        <v>97</v>
      </c>
      <c r="C61" s="34">
        <v>2500</v>
      </c>
      <c r="D61" s="34" t="s">
        <v>95</v>
      </c>
      <c r="E61" s="53"/>
      <c r="F61" s="53" t="s">
        <v>1123</v>
      </c>
      <c r="G61" s="56">
        <f t="shared" si="3"/>
        <v>0</v>
      </c>
    </row>
    <row r="62" spans="1:8" x14ac:dyDescent="0.3">
      <c r="A62" s="36" t="s">
        <v>1079</v>
      </c>
      <c r="B62" s="28" t="s">
        <v>99</v>
      </c>
      <c r="C62" s="34">
        <v>2500</v>
      </c>
      <c r="D62" s="34" t="s">
        <v>95</v>
      </c>
      <c r="E62" s="53"/>
      <c r="F62" s="53" t="s">
        <v>1123</v>
      </c>
      <c r="G62" s="56">
        <f t="shared" si="3"/>
        <v>0</v>
      </c>
    </row>
    <row r="63" spans="1:8" x14ac:dyDescent="0.3">
      <c r="A63" s="36" t="s">
        <v>1080</v>
      </c>
      <c r="B63" s="28" t="s">
        <v>101</v>
      </c>
      <c r="C63" s="34">
        <v>2500</v>
      </c>
      <c r="D63" s="34" t="s">
        <v>95</v>
      </c>
      <c r="E63" s="53"/>
      <c r="F63" s="53" t="s">
        <v>1123</v>
      </c>
      <c r="G63" s="56">
        <f t="shared" si="3"/>
        <v>0</v>
      </c>
    </row>
    <row r="64" spans="1:8" x14ac:dyDescent="0.3">
      <c r="A64" s="36" t="s">
        <v>1081</v>
      </c>
      <c r="B64" s="28" t="s">
        <v>103</v>
      </c>
      <c r="C64" s="34">
        <v>2500</v>
      </c>
      <c r="D64" s="34" t="s">
        <v>95</v>
      </c>
      <c r="E64" s="53"/>
      <c r="F64" s="53" t="s">
        <v>1123</v>
      </c>
      <c r="G64" s="56">
        <f t="shared" si="3"/>
        <v>0</v>
      </c>
    </row>
    <row r="65" spans="1:8" x14ac:dyDescent="0.3">
      <c r="A65" s="36" t="s">
        <v>1082</v>
      </c>
      <c r="B65" s="28" t="s">
        <v>105</v>
      </c>
      <c r="C65" s="34">
        <v>2500</v>
      </c>
      <c r="D65" s="34" t="s">
        <v>95</v>
      </c>
      <c r="E65" s="53"/>
      <c r="F65" s="53" t="s">
        <v>1123</v>
      </c>
      <c r="G65" s="56">
        <f t="shared" si="3"/>
        <v>0</v>
      </c>
    </row>
    <row r="66" spans="1:8" x14ac:dyDescent="0.3">
      <c r="A66" s="36" t="s">
        <v>1083</v>
      </c>
      <c r="B66" s="28" t="s">
        <v>936</v>
      </c>
      <c r="C66" s="34">
        <v>2500</v>
      </c>
      <c r="D66" s="34" t="s">
        <v>95</v>
      </c>
      <c r="E66" s="53"/>
      <c r="F66" s="53" t="s">
        <v>1123</v>
      </c>
      <c r="G66" s="56">
        <f t="shared" si="3"/>
        <v>0</v>
      </c>
    </row>
    <row r="67" spans="1:8" x14ac:dyDescent="0.3">
      <c r="A67" s="33" t="s">
        <v>1087</v>
      </c>
      <c r="B67" s="20" t="s">
        <v>929</v>
      </c>
      <c r="C67" s="20"/>
      <c r="D67" s="20"/>
      <c r="E67" s="20"/>
      <c r="F67" s="20"/>
      <c r="G67" s="20"/>
      <c r="H67" s="57" t="s">
        <v>1075</v>
      </c>
    </row>
    <row r="68" spans="1:8" x14ac:dyDescent="0.3">
      <c r="A68" s="36" t="s">
        <v>1088</v>
      </c>
      <c r="B68" s="28" t="s">
        <v>170</v>
      </c>
      <c r="C68" s="34">
        <v>125</v>
      </c>
      <c r="D68" s="50" t="s">
        <v>937</v>
      </c>
      <c r="E68" s="53"/>
      <c r="F68" s="53" t="s">
        <v>1123</v>
      </c>
      <c r="G68" s="56">
        <f>IF(ISNUMBER(E68),C68*E68,0)</f>
        <v>0</v>
      </c>
    </row>
    <row r="69" spans="1:8" x14ac:dyDescent="0.3">
      <c r="A69" s="36" t="s">
        <v>1089</v>
      </c>
      <c r="B69" s="28" t="s">
        <v>172</v>
      </c>
      <c r="C69" s="34">
        <v>1750</v>
      </c>
      <c r="D69" s="50" t="s">
        <v>937</v>
      </c>
      <c r="E69" s="53"/>
      <c r="F69" s="53" t="s">
        <v>1123</v>
      </c>
      <c r="G69" s="56">
        <f>IF(ISNUMBER(E69),C69*E69,0)</f>
        <v>0</v>
      </c>
    </row>
    <row r="70" spans="1:8" x14ac:dyDescent="0.3">
      <c r="A70" s="36" t="s">
        <v>1090</v>
      </c>
      <c r="B70" s="28" t="s">
        <v>174</v>
      </c>
      <c r="C70" s="34">
        <v>100</v>
      </c>
      <c r="D70" s="50" t="s">
        <v>937</v>
      </c>
      <c r="E70" s="53"/>
      <c r="F70" s="53" t="s">
        <v>1123</v>
      </c>
      <c r="G70" s="56">
        <f>IF(ISNUMBER(E70),C70*E70,0)</f>
        <v>0</v>
      </c>
    </row>
    <row r="71" spans="1:8" x14ac:dyDescent="0.3">
      <c r="A71" s="36" t="s">
        <v>1091</v>
      </c>
      <c r="B71" s="28" t="s">
        <v>175</v>
      </c>
      <c r="C71" s="34">
        <v>25</v>
      </c>
      <c r="D71" s="50" t="s">
        <v>937</v>
      </c>
      <c r="E71" s="53"/>
      <c r="F71" s="53" t="s">
        <v>1123</v>
      </c>
      <c r="G71" s="56">
        <f>IF(ISNUMBER(E71),C71*E71,0)</f>
        <v>0</v>
      </c>
    </row>
    <row r="72" spans="1:8" x14ac:dyDescent="0.3">
      <c r="A72" s="33" t="s">
        <v>111</v>
      </c>
      <c r="B72" s="20" t="s">
        <v>930</v>
      </c>
      <c r="C72" s="20"/>
      <c r="D72" s="20"/>
      <c r="E72" s="20"/>
      <c r="F72" s="20"/>
      <c r="G72" s="20"/>
      <c r="H72" s="57" t="s">
        <v>1075</v>
      </c>
    </row>
    <row r="73" spans="1:8" x14ac:dyDescent="0.3">
      <c r="A73" s="36" t="s">
        <v>113</v>
      </c>
      <c r="B73" s="28" t="s">
        <v>179</v>
      </c>
      <c r="C73" s="34">
        <v>125</v>
      </c>
      <c r="D73" s="50" t="s">
        <v>937</v>
      </c>
      <c r="E73" s="53"/>
      <c r="F73" s="53" t="s">
        <v>1123</v>
      </c>
      <c r="G73" s="56">
        <f>IF(ISNUMBER(E73),C73*E73,0)</f>
        <v>0</v>
      </c>
    </row>
    <row r="74" spans="1:8" x14ac:dyDescent="0.3">
      <c r="A74" s="36" t="s">
        <v>115</v>
      </c>
      <c r="B74" s="28" t="s">
        <v>181</v>
      </c>
      <c r="C74" s="34">
        <v>1750</v>
      </c>
      <c r="D74" s="50" t="s">
        <v>937</v>
      </c>
      <c r="E74" s="53"/>
      <c r="F74" s="53" t="s">
        <v>1123</v>
      </c>
      <c r="G74" s="56">
        <f>IF(ISNUMBER(E74),C74*E74,0)</f>
        <v>0</v>
      </c>
    </row>
    <row r="75" spans="1:8" s="59" customFormat="1" x14ac:dyDescent="0.3">
      <c r="A75" s="36" t="s">
        <v>957</v>
      </c>
      <c r="B75" s="28" t="s">
        <v>183</v>
      </c>
      <c r="C75" s="34">
        <v>100</v>
      </c>
      <c r="D75" s="50" t="s">
        <v>937</v>
      </c>
      <c r="E75" s="53"/>
      <c r="F75" s="53" t="s">
        <v>1123</v>
      </c>
      <c r="G75" s="56">
        <f>IF(ISNUMBER(E75),C75*E75,0)</f>
        <v>0</v>
      </c>
      <c r="H75" s="54"/>
    </row>
    <row r="76" spans="1:8" x14ac:dyDescent="0.3">
      <c r="A76" s="33" t="s">
        <v>117</v>
      </c>
      <c r="B76" s="20" t="s">
        <v>1072</v>
      </c>
      <c r="C76" s="20"/>
      <c r="D76" s="50"/>
      <c r="E76" s="20"/>
      <c r="F76" s="20"/>
      <c r="G76" s="20"/>
      <c r="H76" s="57" t="s">
        <v>1075</v>
      </c>
    </row>
    <row r="77" spans="1:8" x14ac:dyDescent="0.3">
      <c r="A77" s="36" t="s">
        <v>119</v>
      </c>
      <c r="B77" s="28" t="s">
        <v>170</v>
      </c>
      <c r="C77" s="34">
        <v>500</v>
      </c>
      <c r="D77" s="34" t="s">
        <v>95</v>
      </c>
      <c r="E77" s="53"/>
      <c r="F77" s="53" t="s">
        <v>1123</v>
      </c>
      <c r="G77" s="56">
        <f t="shared" ref="G77:G83" si="4">IF(ISNUMBER(E77),C77*E77,0)</f>
        <v>0</v>
      </c>
    </row>
    <row r="78" spans="1:8" x14ac:dyDescent="0.3">
      <c r="A78" s="36" t="s">
        <v>120</v>
      </c>
      <c r="B78" s="28" t="s">
        <v>172</v>
      </c>
      <c r="C78" s="34">
        <v>500</v>
      </c>
      <c r="D78" s="34" t="s">
        <v>95</v>
      </c>
      <c r="E78" s="53"/>
      <c r="F78" s="53" t="s">
        <v>1123</v>
      </c>
      <c r="G78" s="56">
        <f t="shared" si="4"/>
        <v>0</v>
      </c>
    </row>
    <row r="79" spans="1:8" x14ac:dyDescent="0.3">
      <c r="A79" s="36" t="s">
        <v>958</v>
      </c>
      <c r="B79" s="28" t="s">
        <v>174</v>
      </c>
      <c r="C79" s="34">
        <v>500</v>
      </c>
      <c r="D79" s="34" t="s">
        <v>95</v>
      </c>
      <c r="E79" s="53"/>
      <c r="F79" s="53" t="s">
        <v>1123</v>
      </c>
      <c r="G79" s="56">
        <f t="shared" si="4"/>
        <v>0</v>
      </c>
    </row>
    <row r="80" spans="1:8" x14ac:dyDescent="0.3">
      <c r="A80" s="36" t="s">
        <v>1092</v>
      </c>
      <c r="B80" s="28" t="s">
        <v>190</v>
      </c>
      <c r="C80" s="34">
        <v>500</v>
      </c>
      <c r="D80" s="34" t="s">
        <v>95</v>
      </c>
      <c r="E80" s="53"/>
      <c r="F80" s="53" t="s">
        <v>1123</v>
      </c>
      <c r="G80" s="56">
        <f t="shared" si="4"/>
        <v>0</v>
      </c>
    </row>
    <row r="81" spans="1:8" x14ac:dyDescent="0.3">
      <c r="A81" s="36" t="s">
        <v>1093</v>
      </c>
      <c r="B81" s="28" t="s">
        <v>179</v>
      </c>
      <c r="C81" s="34">
        <v>500</v>
      </c>
      <c r="D81" s="34" t="s">
        <v>95</v>
      </c>
      <c r="E81" s="53"/>
      <c r="F81" s="53" t="s">
        <v>1123</v>
      </c>
      <c r="G81" s="56">
        <f t="shared" si="4"/>
        <v>0</v>
      </c>
    </row>
    <row r="82" spans="1:8" x14ac:dyDescent="0.3">
      <c r="A82" s="36" t="s">
        <v>1094</v>
      </c>
      <c r="B82" s="28" t="s">
        <v>181</v>
      </c>
      <c r="C82" s="34">
        <v>500</v>
      </c>
      <c r="D82" s="34" t="s">
        <v>95</v>
      </c>
      <c r="E82" s="53"/>
      <c r="F82" s="53" t="s">
        <v>1123</v>
      </c>
      <c r="G82" s="56">
        <f t="shared" si="4"/>
        <v>0</v>
      </c>
    </row>
    <row r="83" spans="1:8" x14ac:dyDescent="0.3">
      <c r="A83" s="36" t="s">
        <v>1095</v>
      </c>
      <c r="B83" s="28" t="s">
        <v>183</v>
      </c>
      <c r="C83" s="34">
        <v>500</v>
      </c>
      <c r="D83" s="34" t="s">
        <v>95</v>
      </c>
      <c r="E83" s="53"/>
      <c r="F83" s="53" t="s">
        <v>1123</v>
      </c>
      <c r="G83" s="56">
        <f t="shared" si="4"/>
        <v>0</v>
      </c>
    </row>
    <row r="84" spans="1:8" x14ac:dyDescent="0.3">
      <c r="A84" s="33" t="s">
        <v>121</v>
      </c>
      <c r="B84" s="20" t="s">
        <v>931</v>
      </c>
      <c r="C84" s="20"/>
      <c r="D84" s="20"/>
      <c r="E84" s="20"/>
      <c r="F84" s="20"/>
      <c r="G84" s="20"/>
      <c r="H84" s="57" t="s">
        <v>1075</v>
      </c>
    </row>
    <row r="85" spans="1:8" x14ac:dyDescent="0.3">
      <c r="A85" s="36" t="s">
        <v>123</v>
      </c>
      <c r="B85" s="28" t="s">
        <v>170</v>
      </c>
      <c r="C85" s="34">
        <v>1750</v>
      </c>
      <c r="D85" s="34" t="s">
        <v>95</v>
      </c>
      <c r="E85" s="53"/>
      <c r="F85" s="53" t="s">
        <v>1123</v>
      </c>
      <c r="G85" s="56">
        <f t="shared" ref="G85:G91" si="5">IF(ISNUMBER(E85),C85*E85,0)</f>
        <v>0</v>
      </c>
    </row>
    <row r="86" spans="1:8" x14ac:dyDescent="0.3">
      <c r="A86" s="36" t="s">
        <v>125</v>
      </c>
      <c r="B86" s="28" t="s">
        <v>172</v>
      </c>
      <c r="C86" s="34">
        <v>1750</v>
      </c>
      <c r="D86" s="34" t="s">
        <v>95</v>
      </c>
      <c r="E86" s="53"/>
      <c r="F86" s="53" t="s">
        <v>1123</v>
      </c>
      <c r="G86" s="56">
        <f t="shared" si="5"/>
        <v>0</v>
      </c>
    </row>
    <row r="87" spans="1:8" x14ac:dyDescent="0.3">
      <c r="A87" s="36" t="s">
        <v>959</v>
      </c>
      <c r="B87" s="28" t="s">
        <v>174</v>
      </c>
      <c r="C87" s="34">
        <v>1750</v>
      </c>
      <c r="D87" s="34" t="s">
        <v>95</v>
      </c>
      <c r="E87" s="53"/>
      <c r="F87" s="53" t="s">
        <v>1123</v>
      </c>
      <c r="G87" s="56">
        <f t="shared" si="5"/>
        <v>0</v>
      </c>
    </row>
    <row r="88" spans="1:8" x14ac:dyDescent="0.3">
      <c r="A88" s="36" t="s">
        <v>960</v>
      </c>
      <c r="B88" s="28" t="s">
        <v>190</v>
      </c>
      <c r="C88" s="34">
        <v>1750</v>
      </c>
      <c r="D88" s="34" t="s">
        <v>95</v>
      </c>
      <c r="E88" s="53"/>
      <c r="F88" s="53" t="s">
        <v>1123</v>
      </c>
      <c r="G88" s="56">
        <f t="shared" si="5"/>
        <v>0</v>
      </c>
    </row>
    <row r="89" spans="1:8" x14ac:dyDescent="0.3">
      <c r="A89" s="36" t="s">
        <v>961</v>
      </c>
      <c r="B89" s="28" t="s">
        <v>179</v>
      </c>
      <c r="C89" s="34">
        <v>1750</v>
      </c>
      <c r="D89" s="34" t="s">
        <v>95</v>
      </c>
      <c r="E89" s="53"/>
      <c r="F89" s="53" t="s">
        <v>1123</v>
      </c>
      <c r="G89" s="56">
        <f t="shared" si="5"/>
        <v>0</v>
      </c>
    </row>
    <row r="90" spans="1:8" x14ac:dyDescent="0.3">
      <c r="A90" s="36" t="s">
        <v>962</v>
      </c>
      <c r="B90" s="28" t="s">
        <v>181</v>
      </c>
      <c r="C90" s="34">
        <v>1750</v>
      </c>
      <c r="D90" s="34" t="s">
        <v>95</v>
      </c>
      <c r="E90" s="53"/>
      <c r="F90" s="53" t="s">
        <v>1123</v>
      </c>
      <c r="G90" s="56">
        <f t="shared" si="5"/>
        <v>0</v>
      </c>
    </row>
    <row r="91" spans="1:8" x14ac:dyDescent="0.3">
      <c r="A91" s="36" t="s">
        <v>963</v>
      </c>
      <c r="B91" s="28" t="s">
        <v>183</v>
      </c>
      <c r="C91" s="34">
        <v>1750</v>
      </c>
      <c r="D91" s="34" t="s">
        <v>95</v>
      </c>
      <c r="E91" s="53"/>
      <c r="F91" s="53" t="s">
        <v>1123</v>
      </c>
      <c r="G91" s="56">
        <f t="shared" si="5"/>
        <v>0</v>
      </c>
    </row>
    <row r="92" spans="1:8" x14ac:dyDescent="0.3">
      <c r="A92" s="36"/>
      <c r="B92" s="28"/>
      <c r="C92" s="34"/>
      <c r="D92" s="34"/>
      <c r="E92" s="53"/>
      <c r="F92" s="53"/>
      <c r="G92" s="78">
        <f>SUM(G32:G91)</f>
        <v>0</v>
      </c>
    </row>
    <row r="93" spans="1:8" x14ac:dyDescent="0.3">
      <c r="A93" s="103" t="s">
        <v>935</v>
      </c>
      <c r="B93" s="103"/>
      <c r="C93" s="103"/>
      <c r="D93" s="103"/>
      <c r="E93" s="103"/>
      <c r="F93" s="103"/>
      <c r="G93" s="103"/>
    </row>
    <row r="94" spans="1:8" x14ac:dyDescent="0.3">
      <c r="A94" s="33" t="s">
        <v>1096</v>
      </c>
      <c r="B94" s="20" t="s">
        <v>953</v>
      </c>
      <c r="C94" s="20"/>
      <c r="D94" s="20"/>
      <c r="E94" s="20"/>
      <c r="F94" s="20"/>
      <c r="G94" s="20"/>
      <c r="H94" s="57">
        <v>2.2999999999999998</v>
      </c>
    </row>
    <row r="95" spans="1:8" x14ac:dyDescent="0.3">
      <c r="A95" s="36" t="s">
        <v>1097</v>
      </c>
      <c r="B95" s="28" t="s">
        <v>61</v>
      </c>
      <c r="C95" s="34">
        <v>200</v>
      </c>
      <c r="D95" s="34" t="s">
        <v>1121</v>
      </c>
      <c r="E95" s="53"/>
      <c r="F95" s="53" t="s">
        <v>1123</v>
      </c>
      <c r="G95" s="56">
        <f>IF(ISNUMBER(E95),C95*E95,0)</f>
        <v>0</v>
      </c>
    </row>
    <row r="96" spans="1:8" x14ac:dyDescent="0.3">
      <c r="A96" s="36" t="s">
        <v>1098</v>
      </c>
      <c r="B96" s="28" t="s">
        <v>64</v>
      </c>
      <c r="C96" s="34">
        <v>200</v>
      </c>
      <c r="D96" s="34" t="s">
        <v>1121</v>
      </c>
      <c r="E96" s="53"/>
      <c r="F96" s="53" t="s">
        <v>1123</v>
      </c>
      <c r="G96" s="56">
        <f>IF(ISNUMBER(E96),C96*E96,0)</f>
        <v>0</v>
      </c>
    </row>
    <row r="97" spans="1:8" x14ac:dyDescent="0.3">
      <c r="A97" s="36" t="s">
        <v>1099</v>
      </c>
      <c r="B97" s="28" t="s">
        <v>66</v>
      </c>
      <c r="C97" s="34">
        <v>200</v>
      </c>
      <c r="D97" s="34" t="s">
        <v>1121</v>
      </c>
      <c r="E97" s="53"/>
      <c r="F97" s="53" t="s">
        <v>1123</v>
      </c>
      <c r="G97" s="56">
        <f>IF(ISNUMBER(E97),C97*E97,0)</f>
        <v>0</v>
      </c>
    </row>
    <row r="98" spans="1:8" x14ac:dyDescent="0.3">
      <c r="A98" s="36" t="s">
        <v>1100</v>
      </c>
      <c r="B98" s="28" t="s">
        <v>68</v>
      </c>
      <c r="C98" s="34">
        <v>200</v>
      </c>
      <c r="D98" s="34" t="s">
        <v>1121</v>
      </c>
      <c r="E98" s="53"/>
      <c r="F98" s="53" t="s">
        <v>1123</v>
      </c>
      <c r="G98" s="56">
        <f>IF(ISNUMBER(E98),C98*E98,0)</f>
        <v>0</v>
      </c>
    </row>
    <row r="99" spans="1:8" x14ac:dyDescent="0.3">
      <c r="A99" s="33" t="s">
        <v>142</v>
      </c>
      <c r="B99" s="20" t="s">
        <v>954</v>
      </c>
      <c r="C99" s="20"/>
      <c r="D99" s="20"/>
      <c r="E99" s="20"/>
      <c r="F99" s="20"/>
      <c r="G99" s="20"/>
      <c r="H99" s="57">
        <v>2.2999999999999998</v>
      </c>
    </row>
    <row r="100" spans="1:8" x14ac:dyDescent="0.3">
      <c r="A100" s="36" t="s">
        <v>144</v>
      </c>
      <c r="B100" s="28" t="s">
        <v>72</v>
      </c>
      <c r="C100" s="34">
        <v>200</v>
      </c>
      <c r="D100" s="34" t="s">
        <v>1121</v>
      </c>
      <c r="E100" s="53"/>
      <c r="F100" s="53" t="s">
        <v>1123</v>
      </c>
      <c r="G100" s="56">
        <f>IF(ISNUMBER(E100),C100*E100,0)</f>
        <v>0</v>
      </c>
    </row>
    <row r="101" spans="1:8" x14ac:dyDescent="0.3">
      <c r="A101" s="36" t="s">
        <v>147</v>
      </c>
      <c r="B101" s="28" t="s">
        <v>74</v>
      </c>
      <c r="C101" s="34">
        <v>200</v>
      </c>
      <c r="D101" s="34" t="s">
        <v>1121</v>
      </c>
      <c r="E101" s="53"/>
      <c r="F101" s="53" t="s">
        <v>1123</v>
      </c>
      <c r="G101" s="56">
        <f>IF(ISNUMBER(E101),C101*E101,0)</f>
        <v>0</v>
      </c>
    </row>
    <row r="102" spans="1:8" x14ac:dyDescent="0.3">
      <c r="A102" s="36" t="s">
        <v>149</v>
      </c>
      <c r="B102" s="28" t="s">
        <v>76</v>
      </c>
      <c r="C102" s="34">
        <v>200</v>
      </c>
      <c r="D102" s="34" t="s">
        <v>1121</v>
      </c>
      <c r="E102" s="53"/>
      <c r="F102" s="53" t="s">
        <v>1123</v>
      </c>
      <c r="G102" s="56">
        <f>IF(ISNUMBER(E102),C102*E102,0)</f>
        <v>0</v>
      </c>
    </row>
    <row r="103" spans="1:8" x14ac:dyDescent="0.3">
      <c r="A103" s="33" t="s">
        <v>151</v>
      </c>
      <c r="B103" s="20" t="s">
        <v>955</v>
      </c>
      <c r="C103" s="20"/>
      <c r="D103" s="20"/>
      <c r="E103" s="20"/>
      <c r="F103" s="20"/>
      <c r="G103" s="20"/>
      <c r="H103" s="57">
        <v>2.2999999999999998</v>
      </c>
    </row>
    <row r="104" spans="1:8" x14ac:dyDescent="0.3">
      <c r="A104" s="36" t="s">
        <v>153</v>
      </c>
      <c r="B104" s="28" t="s">
        <v>61</v>
      </c>
      <c r="C104" s="34">
        <v>200</v>
      </c>
      <c r="D104" s="34" t="s">
        <v>1121</v>
      </c>
      <c r="E104" s="53"/>
      <c r="F104" s="53" t="s">
        <v>1123</v>
      </c>
      <c r="G104" s="56">
        <f>IF(ISNUMBER(E104),C104*E104,0)</f>
        <v>0</v>
      </c>
    </row>
    <row r="105" spans="1:8" x14ac:dyDescent="0.3">
      <c r="A105" s="36" t="s">
        <v>155</v>
      </c>
      <c r="B105" s="28" t="s">
        <v>64</v>
      </c>
      <c r="C105" s="34">
        <v>200</v>
      </c>
      <c r="D105" s="34" t="s">
        <v>1121</v>
      </c>
      <c r="E105" s="53"/>
      <c r="F105" s="53" t="s">
        <v>1123</v>
      </c>
      <c r="G105" s="56">
        <f>IF(ISNUMBER(E105),C105*E105,0)</f>
        <v>0</v>
      </c>
    </row>
    <row r="106" spans="1:8" x14ac:dyDescent="0.3">
      <c r="A106" s="36" t="s">
        <v>964</v>
      </c>
      <c r="B106" s="28" t="s">
        <v>66</v>
      </c>
      <c r="C106" s="34">
        <v>200</v>
      </c>
      <c r="D106" s="34" t="s">
        <v>1121</v>
      </c>
      <c r="E106" s="53"/>
      <c r="F106" s="53" t="s">
        <v>1123</v>
      </c>
      <c r="G106" s="56">
        <f>IF(ISNUMBER(E106),C106*E106,0)</f>
        <v>0</v>
      </c>
    </row>
    <row r="107" spans="1:8" x14ac:dyDescent="0.3">
      <c r="A107" s="36" t="s">
        <v>965</v>
      </c>
      <c r="B107" s="28" t="s">
        <v>68</v>
      </c>
      <c r="C107" s="34">
        <v>200</v>
      </c>
      <c r="D107" s="34" t="s">
        <v>1121</v>
      </c>
      <c r="E107" s="53"/>
      <c r="F107" s="53" t="s">
        <v>1123</v>
      </c>
      <c r="G107" s="56">
        <f>IF(ISNUMBER(E107),C107*E107,0)</f>
        <v>0</v>
      </c>
    </row>
    <row r="108" spans="1:8" x14ac:dyDescent="0.3">
      <c r="A108" s="33" t="s">
        <v>157</v>
      </c>
      <c r="B108" s="20" t="s">
        <v>956</v>
      </c>
      <c r="C108" s="20"/>
      <c r="D108" s="20"/>
      <c r="E108" s="20"/>
      <c r="F108" s="20"/>
      <c r="G108" s="20"/>
      <c r="H108" s="57">
        <v>2.2999999999999998</v>
      </c>
    </row>
    <row r="109" spans="1:8" x14ac:dyDescent="0.3">
      <c r="A109" s="36" t="s">
        <v>159</v>
      </c>
      <c r="B109" s="28" t="s">
        <v>72</v>
      </c>
      <c r="C109" s="34">
        <v>200</v>
      </c>
      <c r="D109" s="34" t="s">
        <v>1121</v>
      </c>
      <c r="E109" s="53"/>
      <c r="F109" s="53" t="s">
        <v>1123</v>
      </c>
      <c r="G109" s="56">
        <f>IF(ISNUMBER(E109),C109*E109,0)</f>
        <v>0</v>
      </c>
    </row>
    <row r="110" spans="1:8" x14ac:dyDescent="0.3">
      <c r="A110" s="36" t="s">
        <v>161</v>
      </c>
      <c r="B110" s="28" t="s">
        <v>74</v>
      </c>
      <c r="C110" s="34">
        <v>200</v>
      </c>
      <c r="D110" s="34" t="s">
        <v>1121</v>
      </c>
      <c r="E110" s="53"/>
      <c r="F110" s="53" t="s">
        <v>1123</v>
      </c>
      <c r="G110" s="56">
        <f>IF(ISNUMBER(E110),C110*E110,0)</f>
        <v>0</v>
      </c>
    </row>
    <row r="111" spans="1:8" x14ac:dyDescent="0.3">
      <c r="A111" s="36" t="s">
        <v>966</v>
      </c>
      <c r="B111" s="28" t="s">
        <v>76</v>
      </c>
      <c r="C111" s="34">
        <v>200</v>
      </c>
      <c r="D111" s="34" t="s">
        <v>1121</v>
      </c>
      <c r="E111" s="53"/>
      <c r="F111" s="53" t="s">
        <v>1123</v>
      </c>
      <c r="G111" s="56">
        <f>IF(ISNUMBER(E111),C111*E111,0)</f>
        <v>0</v>
      </c>
    </row>
    <row r="112" spans="1:8" x14ac:dyDescent="0.3">
      <c r="A112" s="36"/>
      <c r="B112" s="28"/>
      <c r="C112" s="34"/>
      <c r="D112" s="34"/>
      <c r="E112" s="53"/>
      <c r="F112" s="53"/>
      <c r="G112" s="78">
        <f>SUM(G95:G111)</f>
        <v>0</v>
      </c>
    </row>
    <row r="113" spans="1:8" x14ac:dyDescent="0.3">
      <c r="A113" s="104" t="s">
        <v>941</v>
      </c>
      <c r="B113" s="105"/>
      <c r="C113" s="105"/>
      <c r="D113" s="105"/>
      <c r="E113" s="105"/>
      <c r="F113" s="105"/>
      <c r="G113" s="106"/>
    </row>
    <row r="114" spans="1:8" s="54" customFormat="1" x14ac:dyDescent="0.3">
      <c r="A114" s="33" t="s">
        <v>163</v>
      </c>
      <c r="B114" s="20" t="s">
        <v>940</v>
      </c>
      <c r="C114" s="20"/>
      <c r="D114" s="20"/>
      <c r="E114" s="20"/>
      <c r="F114" s="20"/>
      <c r="G114" s="20"/>
      <c r="H114" s="54">
        <v>2.1</v>
      </c>
    </row>
    <row r="115" spans="1:8" x14ac:dyDescent="0.3">
      <c r="A115" s="55" t="s">
        <v>165</v>
      </c>
      <c r="B115" s="13" t="s">
        <v>11</v>
      </c>
      <c r="C115" s="47">
        <v>250</v>
      </c>
      <c r="D115" s="50" t="s">
        <v>937</v>
      </c>
      <c r="E115" s="53"/>
      <c r="F115" s="53" t="s">
        <v>1123</v>
      </c>
      <c r="G115" s="56">
        <f>IF(ISNUMBER(E115),C115*E115,0)</f>
        <v>0</v>
      </c>
    </row>
    <row r="116" spans="1:8" x14ac:dyDescent="0.3">
      <c r="A116" s="55" t="s">
        <v>166</v>
      </c>
      <c r="B116" s="13" t="s">
        <v>14</v>
      </c>
      <c r="C116" s="47">
        <v>500</v>
      </c>
      <c r="D116" s="50" t="s">
        <v>937</v>
      </c>
      <c r="E116" s="53"/>
      <c r="F116" s="53" t="s">
        <v>1123</v>
      </c>
      <c r="G116" s="56">
        <f>IF(ISNUMBER(E116),C116*E116,0)</f>
        <v>0</v>
      </c>
    </row>
    <row r="117" spans="1:8" x14ac:dyDescent="0.3">
      <c r="A117" s="55" t="s">
        <v>967</v>
      </c>
      <c r="B117" s="13" t="s">
        <v>16</v>
      </c>
      <c r="C117" s="47">
        <v>200</v>
      </c>
      <c r="D117" s="50" t="s">
        <v>937</v>
      </c>
      <c r="E117" s="53"/>
      <c r="F117" s="53" t="s">
        <v>1123</v>
      </c>
      <c r="G117" s="56">
        <f>IF(ISNUMBER(E117),C117*E117,0)</f>
        <v>0</v>
      </c>
    </row>
    <row r="118" spans="1:8" x14ac:dyDescent="0.3">
      <c r="A118" s="55" t="s">
        <v>968</v>
      </c>
      <c r="B118" s="28" t="s">
        <v>18</v>
      </c>
      <c r="C118" s="34">
        <v>500</v>
      </c>
      <c r="D118" s="50" t="s">
        <v>937</v>
      </c>
      <c r="E118" s="53"/>
      <c r="F118" s="53" t="s">
        <v>1123</v>
      </c>
      <c r="G118" s="56">
        <f>IF(ISNUMBER(E118),C118*E118,0)</f>
        <v>0</v>
      </c>
    </row>
    <row r="119" spans="1:8" s="59" customFormat="1" x14ac:dyDescent="0.3">
      <c r="A119" s="33" t="s">
        <v>167</v>
      </c>
      <c r="B119" s="20" t="s">
        <v>948</v>
      </c>
      <c r="C119" s="28"/>
      <c r="D119" s="28"/>
      <c r="E119" s="28"/>
      <c r="F119" s="28"/>
      <c r="G119" s="28"/>
      <c r="H119" s="54" t="s">
        <v>893</v>
      </c>
    </row>
    <row r="120" spans="1:8" s="59" customFormat="1" x14ac:dyDescent="0.3">
      <c r="A120" s="36" t="s">
        <v>169</v>
      </c>
      <c r="B120" s="28" t="s">
        <v>145</v>
      </c>
      <c r="C120" s="34">
        <v>1</v>
      </c>
      <c r="D120" s="34" t="s">
        <v>969</v>
      </c>
      <c r="E120" s="53"/>
      <c r="F120" s="34">
        <v>1</v>
      </c>
      <c r="G120" s="56">
        <f>+C120*E120*F120</f>
        <v>0</v>
      </c>
      <c r="H120" s="54"/>
    </row>
    <row r="121" spans="1:8" s="59" customFormat="1" x14ac:dyDescent="0.3">
      <c r="A121" s="36" t="s">
        <v>171</v>
      </c>
      <c r="B121" s="28" t="s">
        <v>148</v>
      </c>
      <c r="C121" s="34">
        <v>1</v>
      </c>
      <c r="D121" s="34" t="s">
        <v>969</v>
      </c>
      <c r="E121" s="53"/>
      <c r="F121" s="34">
        <v>1</v>
      </c>
      <c r="G121" s="56">
        <f t="shared" ref="G121:G122" si="6">+C121*E121*F121</f>
        <v>0</v>
      </c>
      <c r="H121" s="54"/>
    </row>
    <row r="122" spans="1:8" s="59" customFormat="1" x14ac:dyDescent="0.3">
      <c r="A122" s="36" t="s">
        <v>173</v>
      </c>
      <c r="B122" s="28" t="s">
        <v>150</v>
      </c>
      <c r="C122" s="34">
        <v>0</v>
      </c>
      <c r="D122" s="34" t="s">
        <v>969</v>
      </c>
      <c r="E122" s="53"/>
      <c r="F122" s="34">
        <v>1</v>
      </c>
      <c r="G122" s="56">
        <f t="shared" si="6"/>
        <v>0</v>
      </c>
      <c r="H122" s="54"/>
    </row>
    <row r="123" spans="1:8" s="59" customFormat="1" x14ac:dyDescent="0.3">
      <c r="A123" s="33" t="s">
        <v>176</v>
      </c>
      <c r="B123" s="20" t="s">
        <v>947</v>
      </c>
      <c r="C123" s="34"/>
      <c r="D123" s="34"/>
      <c r="E123" s="53"/>
      <c r="F123" s="53"/>
      <c r="G123" s="56"/>
      <c r="H123" s="54"/>
    </row>
    <row r="124" spans="1:8" s="59" customFormat="1" x14ac:dyDescent="0.3">
      <c r="A124" s="36" t="s">
        <v>178</v>
      </c>
      <c r="B124" s="28" t="s">
        <v>145</v>
      </c>
      <c r="C124" s="47">
        <v>1000</v>
      </c>
      <c r="D124" s="50" t="s">
        <v>937</v>
      </c>
      <c r="E124" s="53"/>
      <c r="F124" s="53" t="s">
        <v>1123</v>
      </c>
      <c r="G124" s="56">
        <f>IF(ISNUMBER(E124),C124*E124,0)</f>
        <v>0</v>
      </c>
      <c r="H124" s="54"/>
    </row>
    <row r="125" spans="1:8" s="59" customFormat="1" x14ac:dyDescent="0.3">
      <c r="A125" s="36" t="s">
        <v>180</v>
      </c>
      <c r="B125" s="28" t="s">
        <v>148</v>
      </c>
      <c r="C125" s="47">
        <v>3000</v>
      </c>
      <c r="D125" s="50" t="s">
        <v>937</v>
      </c>
      <c r="E125" s="53"/>
      <c r="F125" s="53" t="s">
        <v>1123</v>
      </c>
      <c r="G125" s="56">
        <f t="shared" ref="G125:G126" si="7">IF(ISNUMBER(E125),C125*E125,0)</f>
        <v>0</v>
      </c>
      <c r="H125" s="54"/>
    </row>
    <row r="126" spans="1:8" s="59" customFormat="1" x14ac:dyDescent="0.3">
      <c r="A126" s="36" t="s">
        <v>182</v>
      </c>
      <c r="B126" s="28" t="s">
        <v>150</v>
      </c>
      <c r="C126" s="47">
        <v>1000</v>
      </c>
      <c r="D126" s="50" t="s">
        <v>937</v>
      </c>
      <c r="E126" s="53"/>
      <c r="F126" s="53" t="s">
        <v>1123</v>
      </c>
      <c r="G126" s="56">
        <f t="shared" si="7"/>
        <v>0</v>
      </c>
      <c r="H126" s="54"/>
    </row>
    <row r="127" spans="1:8" x14ac:dyDescent="0.3">
      <c r="A127" s="33" t="s">
        <v>185</v>
      </c>
      <c r="B127" s="20" t="s">
        <v>950</v>
      </c>
      <c r="C127" s="20"/>
      <c r="D127" s="20"/>
      <c r="E127" s="20"/>
      <c r="F127" s="20"/>
      <c r="G127" s="20"/>
      <c r="H127" s="57" t="s">
        <v>892</v>
      </c>
    </row>
    <row r="128" spans="1:8" s="59" customFormat="1" x14ac:dyDescent="0.3">
      <c r="A128" s="36" t="s">
        <v>187</v>
      </c>
      <c r="B128" s="28" t="s">
        <v>128</v>
      </c>
      <c r="C128" s="34">
        <v>1</v>
      </c>
      <c r="D128" s="34" t="s">
        <v>969</v>
      </c>
      <c r="E128" s="53"/>
      <c r="F128" s="34">
        <v>1</v>
      </c>
      <c r="G128" s="56">
        <f>+C128*E128*F128</f>
        <v>0</v>
      </c>
      <c r="H128" s="54"/>
    </row>
    <row r="129" spans="1:8" x14ac:dyDescent="0.3">
      <c r="A129" s="36" t="s">
        <v>188</v>
      </c>
      <c r="B129" s="28" t="s">
        <v>129</v>
      </c>
      <c r="C129" s="34">
        <v>1</v>
      </c>
      <c r="D129" s="34" t="s">
        <v>969</v>
      </c>
      <c r="E129" s="53"/>
      <c r="F129" s="34">
        <v>1</v>
      </c>
      <c r="G129" s="56">
        <f t="shared" ref="G129:G136" si="8">+C129*E129*F129</f>
        <v>0</v>
      </c>
    </row>
    <row r="130" spans="1:8" x14ac:dyDescent="0.3">
      <c r="A130" s="36" t="s">
        <v>189</v>
      </c>
      <c r="B130" s="28" t="s">
        <v>910</v>
      </c>
      <c r="C130" s="34">
        <v>1000</v>
      </c>
      <c r="D130" s="34" t="s">
        <v>131</v>
      </c>
      <c r="E130" s="53"/>
      <c r="F130" s="34">
        <v>60</v>
      </c>
      <c r="G130" s="56">
        <f t="shared" si="8"/>
        <v>0</v>
      </c>
      <c r="H130" s="60"/>
    </row>
    <row r="131" spans="1:8" x14ac:dyDescent="0.3">
      <c r="A131" s="36" t="s">
        <v>1101</v>
      </c>
      <c r="B131" s="28" t="s">
        <v>911</v>
      </c>
      <c r="C131" s="34">
        <v>1000</v>
      </c>
      <c r="D131" s="34" t="s">
        <v>131</v>
      </c>
      <c r="E131" s="53"/>
      <c r="F131" s="34">
        <v>60</v>
      </c>
      <c r="G131" s="56">
        <f t="shared" si="8"/>
        <v>0</v>
      </c>
      <c r="H131" s="60"/>
    </row>
    <row r="132" spans="1:8" x14ac:dyDescent="0.3">
      <c r="A132" s="36" t="s">
        <v>1102</v>
      </c>
      <c r="B132" s="28" t="s">
        <v>912</v>
      </c>
      <c r="C132" s="34">
        <v>1000</v>
      </c>
      <c r="D132" s="34" t="s">
        <v>131</v>
      </c>
      <c r="E132" s="53"/>
      <c r="F132" s="34">
        <v>60</v>
      </c>
      <c r="G132" s="56">
        <f t="shared" si="8"/>
        <v>0</v>
      </c>
      <c r="H132" s="60"/>
    </row>
    <row r="133" spans="1:8" x14ac:dyDescent="0.3">
      <c r="A133" s="36" t="s">
        <v>1103</v>
      </c>
      <c r="B133" s="28" t="s">
        <v>913</v>
      </c>
      <c r="C133" s="34">
        <v>1000</v>
      </c>
      <c r="D133" s="34" t="s">
        <v>131</v>
      </c>
      <c r="E133" s="53"/>
      <c r="F133" s="34">
        <v>60</v>
      </c>
      <c r="G133" s="56">
        <f t="shared" si="8"/>
        <v>0</v>
      </c>
      <c r="H133" s="60"/>
    </row>
    <row r="134" spans="1:8" x14ac:dyDescent="0.3">
      <c r="A134" s="36" t="s">
        <v>1104</v>
      </c>
      <c r="B134" s="28" t="s">
        <v>914</v>
      </c>
      <c r="C134" s="34">
        <v>50</v>
      </c>
      <c r="D134" s="34" t="s">
        <v>131</v>
      </c>
      <c r="E134" s="53"/>
      <c r="F134" s="34">
        <v>60</v>
      </c>
      <c r="G134" s="56">
        <f t="shared" si="8"/>
        <v>0</v>
      </c>
      <c r="H134" s="60"/>
    </row>
    <row r="135" spans="1:8" x14ac:dyDescent="0.3">
      <c r="A135" s="36" t="s">
        <v>1105</v>
      </c>
      <c r="B135" s="28" t="s">
        <v>915</v>
      </c>
      <c r="C135" s="34">
        <v>50</v>
      </c>
      <c r="D135" s="34" t="s">
        <v>131</v>
      </c>
      <c r="E135" s="53"/>
      <c r="F135" s="34">
        <v>60</v>
      </c>
      <c r="G135" s="56">
        <f t="shared" si="8"/>
        <v>0</v>
      </c>
      <c r="H135" s="60"/>
    </row>
    <row r="136" spans="1:8" x14ac:dyDescent="0.3">
      <c r="A136" s="36" t="s">
        <v>1106</v>
      </c>
      <c r="B136" s="28" t="s">
        <v>916</v>
      </c>
      <c r="C136" s="34">
        <v>50</v>
      </c>
      <c r="D136" s="34" t="s">
        <v>131</v>
      </c>
      <c r="E136" s="53"/>
      <c r="F136" s="34">
        <v>60</v>
      </c>
      <c r="G136" s="56">
        <f t="shared" si="8"/>
        <v>0</v>
      </c>
      <c r="H136" s="60"/>
    </row>
    <row r="137" spans="1:8" s="59" customFormat="1" x14ac:dyDescent="0.3">
      <c r="A137" s="33" t="s">
        <v>192</v>
      </c>
      <c r="B137" s="20" t="s">
        <v>939</v>
      </c>
      <c r="C137" s="20"/>
      <c r="D137" s="20"/>
      <c r="E137" s="20"/>
      <c r="F137" s="20"/>
      <c r="G137" s="20"/>
      <c r="H137" s="54">
        <v>2.1</v>
      </c>
    </row>
    <row r="138" spans="1:8" s="59" customFormat="1" x14ac:dyDescent="0.3">
      <c r="A138" s="34" t="s">
        <v>194</v>
      </c>
      <c r="B138" s="28" t="s">
        <v>154</v>
      </c>
      <c r="C138" s="34">
        <v>500</v>
      </c>
      <c r="D138" s="50" t="s">
        <v>937</v>
      </c>
      <c r="E138" s="53"/>
      <c r="F138" s="53" t="s">
        <v>1123</v>
      </c>
      <c r="G138" s="56">
        <f>IF(ISNUMBER(E138),C138*E138,0)</f>
        <v>0</v>
      </c>
      <c r="H138" s="54"/>
    </row>
    <row r="139" spans="1:8" s="59" customFormat="1" x14ac:dyDescent="0.3">
      <c r="A139" s="34" t="s">
        <v>195</v>
      </c>
      <c r="B139" s="28" t="s">
        <v>156</v>
      </c>
      <c r="C139" s="34">
        <v>1000</v>
      </c>
      <c r="D139" s="50" t="s">
        <v>937</v>
      </c>
      <c r="E139" s="53"/>
      <c r="F139" s="53" t="s">
        <v>1123</v>
      </c>
      <c r="G139" s="56">
        <f>IF(ISNUMBER(E139),C139*E139,0)</f>
        <v>0</v>
      </c>
      <c r="H139" s="54"/>
    </row>
    <row r="140" spans="1:8" x14ac:dyDescent="0.3">
      <c r="A140" s="33" t="s">
        <v>196</v>
      </c>
      <c r="B140" s="20" t="s">
        <v>938</v>
      </c>
      <c r="C140" s="20"/>
      <c r="D140" s="20"/>
      <c r="E140" s="20"/>
      <c r="F140" s="20"/>
      <c r="G140" s="20"/>
      <c r="H140" s="57" t="s">
        <v>909</v>
      </c>
    </row>
    <row r="141" spans="1:8" x14ac:dyDescent="0.3">
      <c r="A141" s="36" t="s">
        <v>198</v>
      </c>
      <c r="B141" s="28" t="s">
        <v>128</v>
      </c>
      <c r="C141" s="34">
        <v>1</v>
      </c>
      <c r="D141" s="34" t="s">
        <v>946</v>
      </c>
      <c r="E141" s="53"/>
      <c r="F141" s="34">
        <v>1</v>
      </c>
      <c r="G141" s="56">
        <f>+C141*E141*F141</f>
        <v>0</v>
      </c>
    </row>
    <row r="142" spans="1:8" x14ac:dyDescent="0.3">
      <c r="A142" s="36" t="s">
        <v>199</v>
      </c>
      <c r="B142" s="28" t="s">
        <v>129</v>
      </c>
      <c r="C142" s="34">
        <v>1</v>
      </c>
      <c r="D142" s="34" t="s">
        <v>946</v>
      </c>
      <c r="E142" s="53"/>
      <c r="F142" s="34">
        <v>1</v>
      </c>
      <c r="G142" s="56">
        <f t="shared" ref="G142:G149" si="9">+C142*E142*F142</f>
        <v>0</v>
      </c>
    </row>
    <row r="143" spans="1:8" s="59" customFormat="1" x14ac:dyDescent="0.3">
      <c r="A143" s="36" t="s">
        <v>200</v>
      </c>
      <c r="B143" s="28" t="s">
        <v>910</v>
      </c>
      <c r="C143" s="34">
        <v>1000</v>
      </c>
      <c r="D143" s="34" t="s">
        <v>131</v>
      </c>
      <c r="E143" s="53"/>
      <c r="F143" s="34">
        <v>20</v>
      </c>
      <c r="G143" s="56">
        <f t="shared" si="9"/>
        <v>0</v>
      </c>
      <c r="H143" s="54"/>
    </row>
    <row r="144" spans="1:8" x14ac:dyDescent="0.3">
      <c r="A144" s="36" t="s">
        <v>201</v>
      </c>
      <c r="B144" s="28" t="s">
        <v>911</v>
      </c>
      <c r="C144" s="34">
        <v>1000</v>
      </c>
      <c r="D144" s="34" t="s">
        <v>131</v>
      </c>
      <c r="E144" s="53"/>
      <c r="F144" s="34">
        <v>20</v>
      </c>
      <c r="G144" s="56">
        <f t="shared" si="9"/>
        <v>0</v>
      </c>
    </row>
    <row r="145" spans="1:8" x14ac:dyDescent="0.3">
      <c r="A145" s="36" t="s">
        <v>202</v>
      </c>
      <c r="B145" s="28" t="s">
        <v>912</v>
      </c>
      <c r="C145" s="34">
        <v>1000</v>
      </c>
      <c r="D145" s="34" t="s">
        <v>131</v>
      </c>
      <c r="E145" s="53"/>
      <c r="F145" s="34">
        <v>20</v>
      </c>
      <c r="G145" s="56">
        <f t="shared" si="9"/>
        <v>0</v>
      </c>
    </row>
    <row r="146" spans="1:8" x14ac:dyDescent="0.3">
      <c r="A146" s="36" t="s">
        <v>203</v>
      </c>
      <c r="B146" s="28" t="s">
        <v>913</v>
      </c>
      <c r="C146" s="34">
        <v>1000</v>
      </c>
      <c r="D146" s="34" t="s">
        <v>131</v>
      </c>
      <c r="E146" s="53"/>
      <c r="F146" s="34">
        <v>20</v>
      </c>
      <c r="G146" s="56">
        <f t="shared" si="9"/>
        <v>0</v>
      </c>
    </row>
    <row r="147" spans="1:8" x14ac:dyDescent="0.3">
      <c r="A147" s="36" t="s">
        <v>204</v>
      </c>
      <c r="B147" s="28" t="s">
        <v>914</v>
      </c>
      <c r="C147" s="34">
        <v>50</v>
      </c>
      <c r="D147" s="34" t="s">
        <v>131</v>
      </c>
      <c r="E147" s="53"/>
      <c r="F147" s="34">
        <v>20</v>
      </c>
      <c r="G147" s="56">
        <f t="shared" si="9"/>
        <v>0</v>
      </c>
    </row>
    <row r="148" spans="1:8" x14ac:dyDescent="0.3">
      <c r="A148" s="36" t="s">
        <v>205</v>
      </c>
      <c r="B148" s="28" t="s">
        <v>915</v>
      </c>
      <c r="C148" s="34">
        <v>50</v>
      </c>
      <c r="D148" s="34" t="s">
        <v>131</v>
      </c>
      <c r="E148" s="53"/>
      <c r="F148" s="34">
        <v>20</v>
      </c>
      <c r="G148" s="56">
        <f t="shared" si="9"/>
        <v>0</v>
      </c>
    </row>
    <row r="149" spans="1:8" x14ac:dyDescent="0.3">
      <c r="A149" s="36" t="s">
        <v>970</v>
      </c>
      <c r="B149" s="28" t="s">
        <v>916</v>
      </c>
      <c r="C149" s="34">
        <v>50</v>
      </c>
      <c r="D149" s="34" t="s">
        <v>131</v>
      </c>
      <c r="E149" s="53"/>
      <c r="F149" s="34">
        <v>20</v>
      </c>
      <c r="G149" s="56">
        <f t="shared" si="9"/>
        <v>0</v>
      </c>
    </row>
    <row r="150" spans="1:8" x14ac:dyDescent="0.3">
      <c r="A150" s="33" t="s">
        <v>206</v>
      </c>
      <c r="B150" s="20" t="s">
        <v>918</v>
      </c>
      <c r="C150" s="20"/>
      <c r="D150" s="20"/>
      <c r="E150" s="20"/>
      <c r="F150" s="20"/>
      <c r="G150" s="20"/>
      <c r="H150" s="57" t="s">
        <v>894</v>
      </c>
    </row>
    <row r="151" spans="1:8" x14ac:dyDescent="0.3">
      <c r="A151" s="36" t="s">
        <v>208</v>
      </c>
      <c r="B151" s="28" t="s">
        <v>219</v>
      </c>
      <c r="C151" s="61">
        <v>10000</v>
      </c>
      <c r="D151" s="34" t="s">
        <v>1122</v>
      </c>
      <c r="E151" s="53"/>
      <c r="F151" s="34">
        <v>1</v>
      </c>
      <c r="G151" s="56">
        <f>+C151*E151*F151</f>
        <v>0</v>
      </c>
    </row>
    <row r="152" spans="1:8" x14ac:dyDescent="0.3">
      <c r="A152" s="36" t="s">
        <v>209</v>
      </c>
      <c r="B152" s="28" t="s">
        <v>148</v>
      </c>
      <c r="C152" s="61">
        <v>20000</v>
      </c>
      <c r="D152" s="34" t="s">
        <v>1122</v>
      </c>
      <c r="E152" s="53"/>
      <c r="F152" s="34">
        <v>1</v>
      </c>
      <c r="G152" s="56">
        <f t="shared" ref="G152:G155" si="10">+C152*E152*F152</f>
        <v>0</v>
      </c>
    </row>
    <row r="153" spans="1:8" s="66" customFormat="1" x14ac:dyDescent="0.3">
      <c r="A153" s="36" t="s">
        <v>1084</v>
      </c>
      <c r="B153" s="28" t="s">
        <v>220</v>
      </c>
      <c r="C153" s="61">
        <v>5000</v>
      </c>
      <c r="D153" s="34" t="s">
        <v>1122</v>
      </c>
      <c r="E153" s="53"/>
      <c r="F153" s="34">
        <v>1</v>
      </c>
      <c r="G153" s="56">
        <f t="shared" si="10"/>
        <v>0</v>
      </c>
      <c r="H153" s="65"/>
    </row>
    <row r="154" spans="1:8" x14ac:dyDescent="0.3">
      <c r="A154" s="36" t="s">
        <v>1085</v>
      </c>
      <c r="B154" s="28" t="s">
        <v>128</v>
      </c>
      <c r="C154" s="61">
        <v>5000</v>
      </c>
      <c r="D154" s="34" t="s">
        <v>1122</v>
      </c>
      <c r="E154" s="53"/>
      <c r="F154" s="34">
        <v>1</v>
      </c>
      <c r="G154" s="56">
        <f t="shared" si="10"/>
        <v>0</v>
      </c>
    </row>
    <row r="155" spans="1:8" x14ac:dyDescent="0.3">
      <c r="A155" s="36" t="s">
        <v>1086</v>
      </c>
      <c r="B155" s="28" t="s">
        <v>129</v>
      </c>
      <c r="C155" s="61">
        <v>20000</v>
      </c>
      <c r="D155" s="34" t="s">
        <v>1122</v>
      </c>
      <c r="E155" s="53"/>
      <c r="F155" s="34">
        <v>1</v>
      </c>
      <c r="G155" s="56">
        <f t="shared" si="10"/>
        <v>0</v>
      </c>
    </row>
    <row r="156" spans="1:8" x14ac:dyDescent="0.3">
      <c r="A156" s="36"/>
      <c r="B156" s="28"/>
      <c r="C156" s="61"/>
      <c r="D156" s="34"/>
      <c r="E156" s="53"/>
      <c r="F156" s="53"/>
      <c r="G156" s="78">
        <f>SUM(G115:G155)</f>
        <v>0</v>
      </c>
    </row>
    <row r="157" spans="1:8" x14ac:dyDescent="0.3">
      <c r="A157" s="104" t="s">
        <v>942</v>
      </c>
      <c r="B157" s="105"/>
      <c r="C157" s="105"/>
      <c r="D157" s="105"/>
      <c r="E157" s="105"/>
      <c r="F157" s="105"/>
      <c r="G157" s="106"/>
    </row>
    <row r="158" spans="1:8" x14ac:dyDescent="0.3">
      <c r="A158" s="33" t="s">
        <v>899</v>
      </c>
      <c r="B158" s="20" t="s">
        <v>932</v>
      </c>
      <c r="C158" s="20"/>
      <c r="D158" s="20"/>
      <c r="E158" s="20"/>
      <c r="F158" s="20"/>
      <c r="G158" s="20"/>
    </row>
    <row r="159" spans="1:8" x14ac:dyDescent="0.3">
      <c r="A159" s="36" t="s">
        <v>900</v>
      </c>
      <c r="B159" s="28" t="s">
        <v>977</v>
      </c>
      <c r="C159" s="34">
        <v>30</v>
      </c>
      <c r="D159" s="34" t="s">
        <v>226</v>
      </c>
      <c r="E159" s="53"/>
      <c r="F159" s="34">
        <v>30</v>
      </c>
      <c r="G159" s="56">
        <f>IF(ISNUMBER(E159),C159*E159*F159,0)</f>
        <v>0</v>
      </c>
    </row>
    <row r="160" spans="1:8" s="59" customFormat="1" x14ac:dyDescent="0.3">
      <c r="A160" s="36" t="s">
        <v>901</v>
      </c>
      <c r="B160" s="28" t="s">
        <v>978</v>
      </c>
      <c r="C160" s="34">
        <v>30</v>
      </c>
      <c r="D160" s="34" t="s">
        <v>226</v>
      </c>
      <c r="E160" s="53"/>
      <c r="F160" s="34">
        <v>30</v>
      </c>
      <c r="G160" s="56">
        <f t="shared" ref="G160:G168" si="11">IF(ISNUMBER(E160),C160*E160*F160,0)</f>
        <v>0</v>
      </c>
      <c r="H160" s="54"/>
    </row>
    <row r="161" spans="1:8" x14ac:dyDescent="0.3">
      <c r="A161" s="33" t="s">
        <v>217</v>
      </c>
      <c r="B161" s="20" t="s">
        <v>933</v>
      </c>
      <c r="C161" s="20"/>
      <c r="D161" s="20"/>
      <c r="E161" s="20"/>
      <c r="F161" s="20"/>
      <c r="G161" s="56">
        <f t="shared" si="11"/>
        <v>0</v>
      </c>
    </row>
    <row r="162" spans="1:8" x14ac:dyDescent="0.3">
      <c r="A162" s="36" t="s">
        <v>971</v>
      </c>
      <c r="B162" s="28" t="s">
        <v>977</v>
      </c>
      <c r="C162" s="34">
        <v>30</v>
      </c>
      <c r="D162" s="34" t="s">
        <v>226</v>
      </c>
      <c r="E162" s="53"/>
      <c r="F162" s="34">
        <v>30</v>
      </c>
      <c r="G162" s="56">
        <f t="shared" si="11"/>
        <v>0</v>
      </c>
    </row>
    <row r="163" spans="1:8" s="59" customFormat="1" x14ac:dyDescent="0.3">
      <c r="A163" s="36" t="s">
        <v>972</v>
      </c>
      <c r="B163" s="28" t="s">
        <v>978</v>
      </c>
      <c r="C163" s="34">
        <v>30</v>
      </c>
      <c r="D163" s="34" t="s">
        <v>226</v>
      </c>
      <c r="E163" s="53"/>
      <c r="F163" s="34">
        <v>30</v>
      </c>
      <c r="G163" s="56">
        <f t="shared" si="11"/>
        <v>0</v>
      </c>
      <c r="H163" s="54"/>
    </row>
    <row r="164" spans="1:8" x14ac:dyDescent="0.3">
      <c r="A164" s="33" t="s">
        <v>221</v>
      </c>
      <c r="B164" s="20" t="s">
        <v>934</v>
      </c>
      <c r="C164" s="34">
        <v>50</v>
      </c>
      <c r="D164" s="34" t="s">
        <v>12</v>
      </c>
      <c r="E164" s="53"/>
      <c r="F164" s="53"/>
      <c r="G164" s="56">
        <f>+C164*E164</f>
        <v>0</v>
      </c>
    </row>
    <row r="165" spans="1:8" x14ac:dyDescent="0.3">
      <c r="A165" s="33" t="s">
        <v>223</v>
      </c>
      <c r="B165" s="20" t="s">
        <v>138</v>
      </c>
      <c r="C165" s="34">
        <v>50</v>
      </c>
      <c r="D165" s="34" t="s">
        <v>131</v>
      </c>
      <c r="E165" s="53"/>
      <c r="F165" s="34">
        <v>60</v>
      </c>
      <c r="G165" s="56">
        <f>IF(ISNUMBER(E165),C165*E165*F165,0)</f>
        <v>0</v>
      </c>
    </row>
    <row r="166" spans="1:8" x14ac:dyDescent="0.3">
      <c r="A166" s="33" t="s">
        <v>230</v>
      </c>
      <c r="B166" s="20" t="s">
        <v>139</v>
      </c>
      <c r="C166" s="34">
        <v>1000</v>
      </c>
      <c r="D166" s="34" t="s">
        <v>131</v>
      </c>
      <c r="E166" s="53"/>
      <c r="F166" s="34">
        <v>60</v>
      </c>
      <c r="G166" s="56">
        <f t="shared" si="11"/>
        <v>0</v>
      </c>
    </row>
    <row r="167" spans="1:8" x14ac:dyDescent="0.3">
      <c r="A167" s="33" t="s">
        <v>973</v>
      </c>
      <c r="B167" s="79" t="s">
        <v>140</v>
      </c>
      <c r="C167" s="34">
        <v>50</v>
      </c>
      <c r="D167" s="34" t="s">
        <v>131</v>
      </c>
      <c r="E167" s="53"/>
      <c r="F167" s="34">
        <v>60</v>
      </c>
      <c r="G167" s="56">
        <f t="shared" si="11"/>
        <v>0</v>
      </c>
    </row>
    <row r="168" spans="1:8" x14ac:dyDescent="0.3">
      <c r="A168" s="33" t="s">
        <v>974</v>
      </c>
      <c r="B168" s="79" t="s">
        <v>917</v>
      </c>
      <c r="C168" s="34">
        <v>50</v>
      </c>
      <c r="D168" s="34" t="s">
        <v>131</v>
      </c>
      <c r="E168" s="53"/>
      <c r="F168" s="34">
        <v>60</v>
      </c>
      <c r="G168" s="56">
        <f t="shared" si="11"/>
        <v>0</v>
      </c>
    </row>
    <row r="169" spans="1:8" x14ac:dyDescent="0.3">
      <c r="A169" s="33"/>
      <c r="B169" s="79"/>
      <c r="C169" s="34"/>
      <c r="D169" s="34"/>
      <c r="E169" s="53"/>
      <c r="F169" s="53"/>
      <c r="G169" s="78">
        <f>SUM(G159:G168)</f>
        <v>0</v>
      </c>
    </row>
    <row r="170" spans="1:8" x14ac:dyDescent="0.3">
      <c r="A170" s="33"/>
      <c r="B170" s="20"/>
      <c r="C170" s="34"/>
      <c r="D170" s="34"/>
      <c r="E170" s="53"/>
      <c r="F170" s="53"/>
      <c r="G170" s="56"/>
    </row>
    <row r="171" spans="1:8" x14ac:dyDescent="0.3">
      <c r="A171" s="33" t="s">
        <v>975</v>
      </c>
      <c r="B171" s="17" t="s">
        <v>945</v>
      </c>
      <c r="C171" s="61">
        <v>1</v>
      </c>
      <c r="D171" s="47" t="s">
        <v>222</v>
      </c>
      <c r="E171" s="53"/>
      <c r="F171" s="53" t="s">
        <v>1123</v>
      </c>
      <c r="G171" s="78">
        <f>IF(ISNUMBER(E171),C171*E171,0)</f>
        <v>0</v>
      </c>
    </row>
    <row r="172" spans="1:8" x14ac:dyDescent="0.3">
      <c r="A172" s="55"/>
      <c r="B172" s="13"/>
      <c r="C172" s="47"/>
      <c r="D172" s="47"/>
      <c r="E172" s="53"/>
      <c r="F172" s="53"/>
      <c r="G172" s="49"/>
    </row>
    <row r="173" spans="1:8" x14ac:dyDescent="0.3">
      <c r="A173" s="100" t="s">
        <v>1018</v>
      </c>
      <c r="B173" s="101"/>
      <c r="C173" s="101"/>
      <c r="D173" s="101"/>
      <c r="E173" s="101"/>
      <c r="F173" s="102"/>
      <c r="G173" s="81">
        <f>+G171+G169+G156+G112+G92+G29</f>
        <v>0</v>
      </c>
      <c r="H173" s="58"/>
    </row>
    <row r="174" spans="1:8" x14ac:dyDescent="0.3">
      <c r="A174" s="58"/>
      <c r="B174" s="58"/>
      <c r="C174" s="58"/>
      <c r="D174" s="58"/>
      <c r="E174" s="58"/>
      <c r="F174" s="58"/>
      <c r="G174" s="71"/>
      <c r="H174" s="58"/>
    </row>
    <row r="175" spans="1:8" x14ac:dyDescent="0.3">
      <c r="G175" s="70"/>
    </row>
    <row r="176" spans="1:8" x14ac:dyDescent="0.3">
      <c r="G176" s="70"/>
    </row>
    <row r="179" spans="7:7" x14ac:dyDescent="0.3">
      <c r="G179" s="67"/>
    </row>
  </sheetData>
  <protectedRanges>
    <protectedRange sqref="E158:F158 E127:F127 E164:F164 E123:F123 E120:E122 E137:F140 E128:E136 E141:E149 E166:F166 E165 E169:F171 E167:E168 E150:F156 E159:E163 E1:F119" name="Unit Prices"/>
    <protectedRange sqref="B4:B29 B94:B113 B115:B156 B158:B171 B31:B92" name="Description"/>
    <protectedRange sqref="E124:F126" name="Unit Prices_1"/>
  </protectedRanges>
  <autoFilter ref="A1:G171" xr:uid="{2377AC89-626C-4E94-8A7B-917A33DCE5F0}"/>
  <mergeCells count="6">
    <mergeCell ref="A173:F173"/>
    <mergeCell ref="A30:G30"/>
    <mergeCell ref="A93:G93"/>
    <mergeCell ref="A3:G3"/>
    <mergeCell ref="A113:G113"/>
    <mergeCell ref="A157:G157"/>
  </mergeCells>
  <phoneticPr fontId="12" type="noConversion"/>
  <pageMargins left="0.45" right="0.45" top="0.5" bottom="0.5" header="0.05" footer="0.05"/>
  <pageSetup scale="60" fitToHeight="7" orientation="landscape" r:id="rId1"/>
  <headerFooter>
    <oddHeader>&amp;LRCTSD - VIPR &amp;CBASE YEAR</oddHeader>
    <oddFooter>&amp;C&amp;P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D52D-64CA-442C-BEF5-4EB61758AF10}">
  <sheetPr>
    <pageSetUpPr fitToPage="1"/>
  </sheetPr>
  <dimension ref="A1:H179"/>
  <sheetViews>
    <sheetView zoomScaleNormal="100" workbookViewId="0">
      <pane ySplit="1" topLeftCell="A156" activePane="bottomLeft" state="frozen"/>
      <selection activeCell="A4" sqref="A4:C4"/>
      <selection pane="bottomLeft" activeCell="B15" sqref="B15"/>
    </sheetView>
  </sheetViews>
  <sheetFormatPr defaultColWidth="9.109375" defaultRowHeight="14.4" x14ac:dyDescent="0.3"/>
  <cols>
    <col min="1" max="1" width="9.6640625" style="87" customWidth="1"/>
    <col min="2" max="2" width="119.6640625" style="64" customWidth="1"/>
    <col min="3" max="3" width="11.44140625" style="57" customWidth="1"/>
    <col min="4" max="4" width="20.88671875" style="57" customWidth="1"/>
    <col min="5" max="5" width="13" style="63" customWidth="1"/>
    <col min="6" max="6" width="11" style="63" customWidth="1"/>
    <col min="7" max="7" width="16.88671875" style="68" customWidth="1"/>
    <col min="8" max="8" width="10.5546875" style="57" bestFit="1" customWidth="1"/>
    <col min="9" max="16384" width="9.109375" style="58"/>
  </cols>
  <sheetData>
    <row r="1" spans="1:8" s="57" customFormat="1" x14ac:dyDescent="0.3">
      <c r="A1" s="82" t="s">
        <v>1</v>
      </c>
      <c r="B1" s="73" t="s">
        <v>2</v>
      </c>
      <c r="C1" s="73" t="s">
        <v>3</v>
      </c>
      <c r="D1" s="74" t="s">
        <v>4</v>
      </c>
      <c r="E1" s="75" t="s">
        <v>5</v>
      </c>
      <c r="F1" s="75" t="s">
        <v>976</v>
      </c>
      <c r="G1" s="73" t="s">
        <v>6</v>
      </c>
      <c r="H1" s="69" t="s">
        <v>888</v>
      </c>
    </row>
    <row r="2" spans="1:8" s="57" customFormat="1" x14ac:dyDescent="0.3">
      <c r="A2" s="83" t="s">
        <v>944</v>
      </c>
      <c r="B2" s="73"/>
      <c r="C2" s="73"/>
      <c r="D2" s="74"/>
      <c r="E2" s="75"/>
      <c r="F2" s="75"/>
      <c r="G2" s="73"/>
      <c r="H2" s="69"/>
    </row>
    <row r="3" spans="1:8" s="57" customFormat="1" x14ac:dyDescent="0.3">
      <c r="A3" s="103" t="s">
        <v>943</v>
      </c>
      <c r="B3" s="103"/>
      <c r="C3" s="103"/>
      <c r="D3" s="103"/>
      <c r="E3" s="103"/>
      <c r="F3" s="103"/>
      <c r="G3" s="103"/>
    </row>
    <row r="4" spans="1:8" x14ac:dyDescent="0.3">
      <c r="A4" s="77" t="s">
        <v>895</v>
      </c>
      <c r="B4" s="20" t="s">
        <v>920</v>
      </c>
      <c r="C4" s="20"/>
      <c r="D4" s="20"/>
      <c r="E4" s="20"/>
      <c r="F4" s="20"/>
      <c r="G4" s="20"/>
      <c r="H4" s="57" t="s">
        <v>889</v>
      </c>
    </row>
    <row r="5" spans="1:8" x14ac:dyDescent="0.3">
      <c r="A5" s="36" t="s">
        <v>239</v>
      </c>
      <c r="B5" s="28" t="s">
        <v>22</v>
      </c>
      <c r="C5" s="34">
        <v>250</v>
      </c>
      <c r="D5" s="34" t="s">
        <v>937</v>
      </c>
      <c r="E5" s="53"/>
      <c r="F5" s="53" t="s">
        <v>1123</v>
      </c>
      <c r="G5" s="56">
        <f>IF(ISNUMBER(E5),C5*E5,0)</f>
        <v>0</v>
      </c>
    </row>
    <row r="6" spans="1:8" x14ac:dyDescent="0.3">
      <c r="A6" s="36" t="s">
        <v>240</v>
      </c>
      <c r="B6" s="28" t="s">
        <v>24</v>
      </c>
      <c r="C6" s="34">
        <v>500</v>
      </c>
      <c r="D6" s="34" t="s">
        <v>937</v>
      </c>
      <c r="E6" s="53"/>
      <c r="F6" s="53" t="s">
        <v>1123</v>
      </c>
      <c r="G6" s="56">
        <f>IF(ISNUMBER(E6),C6*E6,0)</f>
        <v>0</v>
      </c>
    </row>
    <row r="7" spans="1:8" x14ac:dyDescent="0.3">
      <c r="A7" s="36" t="s">
        <v>241</v>
      </c>
      <c r="B7" s="28" t="s">
        <v>25</v>
      </c>
      <c r="C7" s="34">
        <v>200</v>
      </c>
      <c r="D7" s="34" t="s">
        <v>937</v>
      </c>
      <c r="E7" s="53"/>
      <c r="F7" s="53" t="s">
        <v>1123</v>
      </c>
      <c r="G7" s="56">
        <f>IF(ISNUMBER(E7),C7*E7,0)</f>
        <v>0</v>
      </c>
    </row>
    <row r="8" spans="1:8" x14ac:dyDescent="0.3">
      <c r="A8" s="36" t="s">
        <v>242</v>
      </c>
      <c r="B8" s="28" t="s">
        <v>26</v>
      </c>
      <c r="C8" s="34">
        <v>500</v>
      </c>
      <c r="D8" s="34" t="s">
        <v>937</v>
      </c>
      <c r="E8" s="53"/>
      <c r="F8" s="53" t="s">
        <v>1123</v>
      </c>
      <c r="G8" s="56">
        <f>IF(ISNUMBER(E8),C8*E8,0)</f>
        <v>0</v>
      </c>
    </row>
    <row r="9" spans="1:8" s="59" customFormat="1" x14ac:dyDescent="0.3">
      <c r="A9" s="33" t="s">
        <v>896</v>
      </c>
      <c r="B9" s="20" t="s">
        <v>921</v>
      </c>
      <c r="C9" s="20"/>
      <c r="D9" s="20"/>
      <c r="E9" s="53"/>
      <c r="F9" s="20"/>
      <c r="G9" s="20"/>
      <c r="H9" s="54" t="s">
        <v>891</v>
      </c>
    </row>
    <row r="10" spans="1:8" x14ac:dyDescent="0.3">
      <c r="A10" s="36" t="s">
        <v>243</v>
      </c>
      <c r="B10" s="28" t="s">
        <v>114</v>
      </c>
      <c r="C10" s="34">
        <v>1000</v>
      </c>
      <c r="D10" s="34" t="s">
        <v>937</v>
      </c>
      <c r="E10" s="53"/>
      <c r="F10" s="53" t="s">
        <v>1123</v>
      </c>
      <c r="G10" s="56">
        <f>IF(ISNUMBER(E10),C10*E10,0)</f>
        <v>0</v>
      </c>
    </row>
    <row r="11" spans="1:8" x14ac:dyDescent="0.3">
      <c r="A11" s="36" t="s">
        <v>244</v>
      </c>
      <c r="B11" s="28" t="s">
        <v>116</v>
      </c>
      <c r="C11" s="34">
        <v>2500</v>
      </c>
      <c r="D11" s="34" t="s">
        <v>937</v>
      </c>
      <c r="E11" s="53"/>
      <c r="F11" s="53" t="s">
        <v>1123</v>
      </c>
      <c r="G11" s="56">
        <f>IF(ISNUMBER(E11),C11*E11,0)</f>
        <v>0</v>
      </c>
    </row>
    <row r="12" spans="1:8" x14ac:dyDescent="0.3">
      <c r="A12" s="33" t="s">
        <v>897</v>
      </c>
      <c r="B12" s="20" t="s">
        <v>949</v>
      </c>
      <c r="C12" s="20"/>
      <c r="D12" s="20"/>
      <c r="E12" s="53"/>
      <c r="F12" s="20"/>
      <c r="G12" s="20"/>
      <c r="H12" s="54" t="s">
        <v>891</v>
      </c>
    </row>
    <row r="13" spans="1:8" x14ac:dyDescent="0.3">
      <c r="A13" s="36" t="s">
        <v>247</v>
      </c>
      <c r="B13" s="28" t="s">
        <v>124</v>
      </c>
      <c r="C13" s="34">
        <v>1000</v>
      </c>
      <c r="D13" s="34" t="s">
        <v>937</v>
      </c>
      <c r="E13" s="53"/>
      <c r="F13" s="53" t="s">
        <v>1123</v>
      </c>
      <c r="G13" s="56">
        <f>IF(ISNUMBER(E13),C13*E13,0)</f>
        <v>0</v>
      </c>
    </row>
    <row r="14" spans="1:8" x14ac:dyDescent="0.3">
      <c r="A14" s="36" t="s">
        <v>248</v>
      </c>
      <c r="B14" s="28" t="s">
        <v>126</v>
      </c>
      <c r="C14" s="34">
        <v>2500</v>
      </c>
      <c r="D14" s="34" t="s">
        <v>937</v>
      </c>
      <c r="E14" s="53"/>
      <c r="F14" s="53" t="s">
        <v>1123</v>
      </c>
      <c r="G14" s="56">
        <f>IF(ISNUMBER(E14),C14*E14,0)</f>
        <v>0</v>
      </c>
    </row>
    <row r="15" spans="1:8" s="59" customFormat="1" x14ac:dyDescent="0.3">
      <c r="A15" s="33" t="s">
        <v>898</v>
      </c>
      <c r="B15" s="20" t="s">
        <v>922</v>
      </c>
      <c r="C15" s="20"/>
      <c r="D15" s="20"/>
      <c r="E15" s="53"/>
      <c r="F15" s="20"/>
      <c r="G15" s="20"/>
      <c r="H15" s="54" t="s">
        <v>1075</v>
      </c>
    </row>
    <row r="16" spans="1:8" x14ac:dyDescent="0.3">
      <c r="A16" s="36" t="s">
        <v>251</v>
      </c>
      <c r="B16" s="28" t="s">
        <v>160</v>
      </c>
      <c r="C16" s="34">
        <v>1000</v>
      </c>
      <c r="D16" s="34" t="s">
        <v>937</v>
      </c>
      <c r="E16" s="53"/>
      <c r="F16" s="53" t="s">
        <v>1123</v>
      </c>
      <c r="G16" s="56">
        <f>IF(ISNUMBER(E16),C16*E16,0)</f>
        <v>0</v>
      </c>
    </row>
    <row r="17" spans="1:8" x14ac:dyDescent="0.3">
      <c r="A17" s="36" t="s">
        <v>252</v>
      </c>
      <c r="B17" s="28" t="s">
        <v>162</v>
      </c>
      <c r="C17" s="34">
        <v>2500</v>
      </c>
      <c r="D17" s="34" t="s">
        <v>937</v>
      </c>
      <c r="E17" s="53"/>
      <c r="F17" s="53" t="s">
        <v>1123</v>
      </c>
      <c r="G17" s="56">
        <f>IF(ISNUMBER(E17),C17*E17,0)</f>
        <v>0</v>
      </c>
    </row>
    <row r="18" spans="1:8" x14ac:dyDescent="0.3">
      <c r="A18" s="33" t="s">
        <v>979</v>
      </c>
      <c r="B18" s="20" t="s">
        <v>923</v>
      </c>
      <c r="C18" s="20"/>
      <c r="D18" s="20"/>
      <c r="E18" s="53"/>
      <c r="F18" s="20"/>
      <c r="G18" s="20"/>
      <c r="H18" s="57" t="s">
        <v>889</v>
      </c>
    </row>
    <row r="19" spans="1:8" x14ac:dyDescent="0.3">
      <c r="A19" s="36" t="s">
        <v>255</v>
      </c>
      <c r="B19" s="28" t="s">
        <v>22</v>
      </c>
      <c r="C19" s="34">
        <v>100</v>
      </c>
      <c r="D19" s="34" t="s">
        <v>937</v>
      </c>
      <c r="E19" s="53"/>
      <c r="F19" s="53" t="s">
        <v>1123</v>
      </c>
      <c r="G19" s="56">
        <f>IF(ISNUMBER(E19),C19*E19,0)</f>
        <v>0</v>
      </c>
    </row>
    <row r="20" spans="1:8" x14ac:dyDescent="0.3">
      <c r="A20" s="36" t="s">
        <v>256</v>
      </c>
      <c r="B20" s="28" t="s">
        <v>24</v>
      </c>
      <c r="C20" s="34">
        <v>100</v>
      </c>
      <c r="D20" s="34" t="s">
        <v>937</v>
      </c>
      <c r="E20" s="53"/>
      <c r="F20" s="53" t="s">
        <v>1123</v>
      </c>
      <c r="G20" s="56">
        <f>IF(ISNUMBER(E20),C20*E20,0)</f>
        <v>0</v>
      </c>
    </row>
    <row r="21" spans="1:8" x14ac:dyDescent="0.3">
      <c r="A21" s="36" t="s">
        <v>257</v>
      </c>
      <c r="B21" s="28" t="s">
        <v>25</v>
      </c>
      <c r="C21" s="34">
        <v>100</v>
      </c>
      <c r="D21" s="34" t="s">
        <v>937</v>
      </c>
      <c r="E21" s="53"/>
      <c r="F21" s="53" t="s">
        <v>1123</v>
      </c>
      <c r="G21" s="56">
        <f>IF(ISNUMBER(E21),C21*E21,0)</f>
        <v>0</v>
      </c>
    </row>
    <row r="22" spans="1:8" x14ac:dyDescent="0.3">
      <c r="A22" s="36" t="s">
        <v>258</v>
      </c>
      <c r="B22" s="28" t="s">
        <v>26</v>
      </c>
      <c r="C22" s="34">
        <v>100</v>
      </c>
      <c r="D22" s="34" t="s">
        <v>937</v>
      </c>
      <c r="E22" s="53"/>
      <c r="F22" s="53" t="s">
        <v>1123</v>
      </c>
      <c r="G22" s="56">
        <f>IF(ISNUMBER(E22),C22*E22,0)</f>
        <v>0</v>
      </c>
    </row>
    <row r="23" spans="1:8" x14ac:dyDescent="0.3">
      <c r="A23" s="33" t="s">
        <v>980</v>
      </c>
      <c r="B23" s="20" t="s">
        <v>924</v>
      </c>
      <c r="C23" s="20"/>
      <c r="D23" s="20"/>
      <c r="E23" s="53"/>
      <c r="F23" s="20"/>
      <c r="G23" s="20"/>
      <c r="H23" s="54" t="s">
        <v>891</v>
      </c>
    </row>
    <row r="24" spans="1:8" x14ac:dyDescent="0.3">
      <c r="A24" s="36" t="s">
        <v>259</v>
      </c>
      <c r="B24" s="28" t="s">
        <v>114</v>
      </c>
      <c r="C24" s="34">
        <v>10</v>
      </c>
      <c r="D24" s="34" t="s">
        <v>937</v>
      </c>
      <c r="E24" s="53"/>
      <c r="F24" s="53" t="s">
        <v>1123</v>
      </c>
      <c r="G24" s="56">
        <f>IF(ISNUMBER(E24),C24*E24,0)</f>
        <v>0</v>
      </c>
    </row>
    <row r="25" spans="1:8" x14ac:dyDescent="0.3">
      <c r="A25" s="36" t="s">
        <v>260</v>
      </c>
      <c r="B25" s="28" t="s">
        <v>116</v>
      </c>
      <c r="C25" s="34">
        <v>10</v>
      </c>
      <c r="D25" s="34" t="s">
        <v>937</v>
      </c>
      <c r="E25" s="53"/>
      <c r="F25" s="53" t="s">
        <v>1123</v>
      </c>
      <c r="G25" s="56">
        <f>IF(ISNUMBER(E25),C25*E25,0)</f>
        <v>0</v>
      </c>
    </row>
    <row r="26" spans="1:8" ht="15" customHeight="1" x14ac:dyDescent="0.3">
      <c r="A26" s="33" t="s">
        <v>981</v>
      </c>
      <c r="B26" s="20" t="s">
        <v>925</v>
      </c>
      <c r="C26" s="20"/>
      <c r="D26" s="20"/>
      <c r="E26" s="53"/>
      <c r="F26" s="20"/>
      <c r="G26" s="20"/>
      <c r="H26" s="57" t="s">
        <v>1075</v>
      </c>
    </row>
    <row r="27" spans="1:8" x14ac:dyDescent="0.3">
      <c r="A27" s="36" t="s">
        <v>263</v>
      </c>
      <c r="B27" s="28" t="s">
        <v>160</v>
      </c>
      <c r="C27" s="34">
        <v>10</v>
      </c>
      <c r="D27" s="34" t="s">
        <v>937</v>
      </c>
      <c r="E27" s="53"/>
      <c r="F27" s="53" t="s">
        <v>1123</v>
      </c>
      <c r="G27" s="56">
        <f>IF(ISNUMBER(E27),C27*E27,0)</f>
        <v>0</v>
      </c>
    </row>
    <row r="28" spans="1:8" x14ac:dyDescent="0.3">
      <c r="A28" s="36" t="s">
        <v>264</v>
      </c>
      <c r="B28" s="28" t="s">
        <v>162</v>
      </c>
      <c r="C28" s="34">
        <v>10</v>
      </c>
      <c r="D28" s="34" t="s">
        <v>937</v>
      </c>
      <c r="E28" s="53"/>
      <c r="F28" s="53" t="s">
        <v>1123</v>
      </c>
      <c r="G28" s="56">
        <f>IF(ISNUMBER(E28),C28*E28,0)</f>
        <v>0</v>
      </c>
    </row>
    <row r="29" spans="1:8" x14ac:dyDescent="0.3">
      <c r="A29" s="84"/>
      <c r="B29" s="28"/>
      <c r="C29" s="34"/>
      <c r="D29" s="34"/>
      <c r="E29" s="53"/>
      <c r="F29" s="53"/>
      <c r="G29" s="78">
        <f>SUM(G5:G28)</f>
        <v>0</v>
      </c>
    </row>
    <row r="30" spans="1:8" x14ac:dyDescent="0.3">
      <c r="A30" s="104" t="s">
        <v>919</v>
      </c>
      <c r="B30" s="105"/>
      <c r="C30" s="105"/>
      <c r="D30" s="105"/>
      <c r="E30" s="105"/>
      <c r="F30" s="105"/>
      <c r="G30" s="106"/>
    </row>
    <row r="31" spans="1:8" x14ac:dyDescent="0.3">
      <c r="A31" s="33" t="s">
        <v>982</v>
      </c>
      <c r="B31" s="20" t="s">
        <v>926</v>
      </c>
      <c r="C31" s="20"/>
      <c r="D31" s="20"/>
      <c r="E31" s="20"/>
      <c r="F31" s="20"/>
      <c r="G31" s="20"/>
      <c r="H31" s="57" t="s">
        <v>1074</v>
      </c>
    </row>
    <row r="32" spans="1:8" x14ac:dyDescent="0.3">
      <c r="A32" s="36" t="s">
        <v>267</v>
      </c>
      <c r="B32" s="28" t="s">
        <v>34</v>
      </c>
      <c r="C32" s="34">
        <v>250</v>
      </c>
      <c r="D32" s="50" t="s">
        <v>937</v>
      </c>
      <c r="E32" s="53"/>
      <c r="F32" s="53" t="s">
        <v>1123</v>
      </c>
      <c r="G32" s="56">
        <f>IF(ISNUMBER(E32),C32*E32,0)</f>
        <v>0</v>
      </c>
    </row>
    <row r="33" spans="1:8" x14ac:dyDescent="0.3">
      <c r="A33" s="36" t="s">
        <v>268</v>
      </c>
      <c r="B33" s="28" t="s">
        <v>36</v>
      </c>
      <c r="C33" s="34">
        <v>1000</v>
      </c>
      <c r="D33" s="50" t="s">
        <v>937</v>
      </c>
      <c r="E33" s="53"/>
      <c r="F33" s="53" t="s">
        <v>1123</v>
      </c>
      <c r="G33" s="56">
        <f>IF(ISNUMBER(E33),C33*E33,0)</f>
        <v>0</v>
      </c>
    </row>
    <row r="34" spans="1:8" x14ac:dyDescent="0.3">
      <c r="A34" s="36" t="s">
        <v>269</v>
      </c>
      <c r="B34" s="28" t="s">
        <v>37</v>
      </c>
      <c r="C34" s="34">
        <v>200</v>
      </c>
      <c r="D34" s="50" t="s">
        <v>937</v>
      </c>
      <c r="E34" s="53"/>
      <c r="F34" s="53" t="s">
        <v>1123</v>
      </c>
      <c r="G34" s="56">
        <f>IF(ISNUMBER(E34),C34*E34,0)</f>
        <v>0</v>
      </c>
    </row>
    <row r="35" spans="1:8" x14ac:dyDescent="0.3">
      <c r="A35" s="36" t="s">
        <v>270</v>
      </c>
      <c r="B35" s="28" t="s">
        <v>38</v>
      </c>
      <c r="C35" s="34">
        <v>50</v>
      </c>
      <c r="D35" s="50" t="s">
        <v>937</v>
      </c>
      <c r="E35" s="53"/>
      <c r="F35" s="53" t="s">
        <v>1123</v>
      </c>
      <c r="G35" s="56">
        <f>IF(ISNUMBER(E35),C35*E35,0)</f>
        <v>0</v>
      </c>
    </row>
    <row r="36" spans="1:8" x14ac:dyDescent="0.3">
      <c r="A36" s="33" t="s">
        <v>983</v>
      </c>
      <c r="B36" s="20" t="s">
        <v>927</v>
      </c>
      <c r="C36" s="20"/>
      <c r="D36" s="20"/>
      <c r="E36" s="20"/>
      <c r="F36" s="20"/>
      <c r="G36" s="20"/>
      <c r="H36" s="57" t="s">
        <v>1074</v>
      </c>
    </row>
    <row r="37" spans="1:8" x14ac:dyDescent="0.3">
      <c r="A37" s="36" t="s">
        <v>271</v>
      </c>
      <c r="B37" s="28" t="s">
        <v>42</v>
      </c>
      <c r="C37" s="34">
        <v>250</v>
      </c>
      <c r="D37" s="50" t="s">
        <v>937</v>
      </c>
      <c r="E37" s="53"/>
      <c r="F37" s="53" t="s">
        <v>1123</v>
      </c>
      <c r="G37" s="56">
        <f>IF(ISNUMBER(E37),C37*E37,0)</f>
        <v>0</v>
      </c>
    </row>
    <row r="38" spans="1:8" x14ac:dyDescent="0.3">
      <c r="A38" s="36" t="s">
        <v>272</v>
      </c>
      <c r="B38" s="28" t="s">
        <v>44</v>
      </c>
      <c r="C38" s="34">
        <v>1000</v>
      </c>
      <c r="D38" s="50" t="s">
        <v>937</v>
      </c>
      <c r="E38" s="53"/>
      <c r="F38" s="53" t="s">
        <v>1123</v>
      </c>
      <c r="G38" s="56">
        <f>IF(ISNUMBER(E38),C38*E38,0)</f>
        <v>0</v>
      </c>
    </row>
    <row r="39" spans="1:8" x14ac:dyDescent="0.3">
      <c r="A39" s="36" t="s">
        <v>273</v>
      </c>
      <c r="B39" s="28" t="s">
        <v>46</v>
      </c>
      <c r="C39" s="34">
        <v>200</v>
      </c>
      <c r="D39" s="50" t="s">
        <v>937</v>
      </c>
      <c r="E39" s="53"/>
      <c r="F39" s="53" t="s">
        <v>1123</v>
      </c>
      <c r="G39" s="56">
        <f>IF(ISNUMBER(E39),C39*E39,0)</f>
        <v>0</v>
      </c>
    </row>
    <row r="40" spans="1:8" x14ac:dyDescent="0.3">
      <c r="A40" s="36" t="s">
        <v>274</v>
      </c>
      <c r="B40" s="28" t="s">
        <v>887</v>
      </c>
      <c r="C40" s="34">
        <v>50</v>
      </c>
      <c r="D40" s="50" t="s">
        <v>937</v>
      </c>
      <c r="E40" s="53"/>
      <c r="F40" s="53" t="s">
        <v>1123</v>
      </c>
      <c r="G40" s="56">
        <f>IF(ISNUMBER(E40),C40*E40,0)</f>
        <v>0</v>
      </c>
    </row>
    <row r="41" spans="1:8" x14ac:dyDescent="0.3">
      <c r="A41" s="33" t="s">
        <v>984</v>
      </c>
      <c r="B41" s="20" t="s">
        <v>951</v>
      </c>
      <c r="C41" s="20"/>
      <c r="D41" s="20"/>
      <c r="E41" s="20"/>
      <c r="F41" s="20"/>
      <c r="G41" s="20"/>
      <c r="H41" s="57" t="s">
        <v>1073</v>
      </c>
    </row>
    <row r="42" spans="1:8" x14ac:dyDescent="0.3">
      <c r="A42" s="36" t="s">
        <v>275</v>
      </c>
      <c r="B42" s="28" t="s">
        <v>34</v>
      </c>
      <c r="C42" s="34">
        <v>1</v>
      </c>
      <c r="D42" s="50" t="s">
        <v>52</v>
      </c>
      <c r="E42" s="53"/>
      <c r="F42" s="34">
        <v>30</v>
      </c>
      <c r="G42" s="56">
        <f>+C42*E42*F42</f>
        <v>0</v>
      </c>
    </row>
    <row r="43" spans="1:8" x14ac:dyDescent="0.3">
      <c r="A43" s="36" t="s">
        <v>276</v>
      </c>
      <c r="B43" s="28" t="s">
        <v>36</v>
      </c>
      <c r="C43" s="34">
        <v>1</v>
      </c>
      <c r="D43" s="50" t="s">
        <v>52</v>
      </c>
      <c r="E43" s="53"/>
      <c r="F43" s="34">
        <v>30</v>
      </c>
      <c r="G43" s="56">
        <f t="shared" ref="G43:G45" si="0">+C43*E43*F43</f>
        <v>0</v>
      </c>
    </row>
    <row r="44" spans="1:8" x14ac:dyDescent="0.3">
      <c r="A44" s="36" t="s">
        <v>277</v>
      </c>
      <c r="B44" s="28" t="s">
        <v>37</v>
      </c>
      <c r="C44" s="34">
        <v>1</v>
      </c>
      <c r="D44" s="50" t="s">
        <v>52</v>
      </c>
      <c r="E44" s="53"/>
      <c r="F44" s="34">
        <v>30</v>
      </c>
      <c r="G44" s="56">
        <f t="shared" si="0"/>
        <v>0</v>
      </c>
    </row>
    <row r="45" spans="1:8" x14ac:dyDescent="0.3">
      <c r="A45" s="36" t="s">
        <v>278</v>
      </c>
      <c r="B45" s="28" t="s">
        <v>38</v>
      </c>
      <c r="C45" s="34">
        <v>1</v>
      </c>
      <c r="D45" s="50" t="s">
        <v>52</v>
      </c>
      <c r="E45" s="53"/>
      <c r="F45" s="34">
        <v>30</v>
      </c>
      <c r="G45" s="56">
        <f t="shared" si="0"/>
        <v>0</v>
      </c>
    </row>
    <row r="46" spans="1:8" ht="28.8" x14ac:dyDescent="0.3">
      <c r="A46" s="33" t="s">
        <v>985</v>
      </c>
      <c r="B46" s="20" t="s">
        <v>952</v>
      </c>
      <c r="C46" s="20"/>
      <c r="D46" s="20"/>
      <c r="E46" s="20"/>
      <c r="F46" s="20"/>
      <c r="G46" s="20"/>
      <c r="H46" s="57" t="s">
        <v>1073</v>
      </c>
    </row>
    <row r="47" spans="1:8" x14ac:dyDescent="0.3">
      <c r="A47" s="36" t="s">
        <v>279</v>
      </c>
      <c r="B47" s="28" t="s">
        <v>42</v>
      </c>
      <c r="C47" s="34">
        <v>1</v>
      </c>
      <c r="D47" s="50" t="s">
        <v>52</v>
      </c>
      <c r="E47" s="53"/>
      <c r="F47" s="34">
        <v>30</v>
      </c>
      <c r="G47" s="56">
        <f>+C47*E47*F47</f>
        <v>0</v>
      </c>
    </row>
    <row r="48" spans="1:8" x14ac:dyDescent="0.3">
      <c r="A48" s="36" t="s">
        <v>280</v>
      </c>
      <c r="B48" s="28" t="s">
        <v>44</v>
      </c>
      <c r="C48" s="34">
        <v>1</v>
      </c>
      <c r="D48" s="50" t="s">
        <v>52</v>
      </c>
      <c r="E48" s="53"/>
      <c r="F48" s="34">
        <v>30</v>
      </c>
      <c r="G48" s="56">
        <f t="shared" ref="G48:G50" si="1">+C48*E48*F48</f>
        <v>0</v>
      </c>
    </row>
    <row r="49" spans="1:8" x14ac:dyDescent="0.3">
      <c r="A49" s="36" t="s">
        <v>281</v>
      </c>
      <c r="B49" s="28" t="s">
        <v>46</v>
      </c>
      <c r="C49" s="34">
        <v>1</v>
      </c>
      <c r="D49" s="50" t="s">
        <v>52</v>
      </c>
      <c r="E49" s="53"/>
      <c r="F49" s="34">
        <v>30</v>
      </c>
      <c r="G49" s="56">
        <f t="shared" si="1"/>
        <v>0</v>
      </c>
    </row>
    <row r="50" spans="1:8" x14ac:dyDescent="0.3">
      <c r="A50" s="36" t="s">
        <v>282</v>
      </c>
      <c r="B50" s="28" t="s">
        <v>48</v>
      </c>
      <c r="C50" s="34">
        <v>1</v>
      </c>
      <c r="D50" s="50" t="s">
        <v>52</v>
      </c>
      <c r="E50" s="53"/>
      <c r="F50" s="34">
        <v>30</v>
      </c>
      <c r="G50" s="56">
        <f t="shared" si="1"/>
        <v>0</v>
      </c>
    </row>
    <row r="51" spans="1:8" x14ac:dyDescent="0.3">
      <c r="A51" s="33" t="s">
        <v>986</v>
      </c>
      <c r="B51" s="20" t="s">
        <v>1071</v>
      </c>
      <c r="C51" s="20"/>
      <c r="D51" s="20"/>
      <c r="E51" s="20"/>
      <c r="F51" s="20"/>
      <c r="G51" s="20"/>
      <c r="H51" s="57" t="s">
        <v>890</v>
      </c>
    </row>
    <row r="52" spans="1:8" x14ac:dyDescent="0.3">
      <c r="A52" s="36" t="s">
        <v>283</v>
      </c>
      <c r="B52" s="28" t="s">
        <v>94</v>
      </c>
      <c r="C52" s="34">
        <v>1000</v>
      </c>
      <c r="D52" s="34" t="s">
        <v>95</v>
      </c>
      <c r="E52" s="53"/>
      <c r="F52" s="53" t="s">
        <v>1123</v>
      </c>
      <c r="G52" s="56">
        <f t="shared" ref="G52:G58" si="2">IF(ISNUMBER(E52),C52*E52,0)</f>
        <v>0</v>
      </c>
    </row>
    <row r="53" spans="1:8" x14ac:dyDescent="0.3">
      <c r="A53" s="36" t="s">
        <v>284</v>
      </c>
      <c r="B53" s="28" t="s">
        <v>97</v>
      </c>
      <c r="C53" s="34">
        <v>1000</v>
      </c>
      <c r="D53" s="34" t="s">
        <v>95</v>
      </c>
      <c r="E53" s="53"/>
      <c r="F53" s="53" t="s">
        <v>1123</v>
      </c>
      <c r="G53" s="56">
        <f t="shared" si="2"/>
        <v>0</v>
      </c>
    </row>
    <row r="54" spans="1:8" x14ac:dyDescent="0.3">
      <c r="A54" s="36" t="s">
        <v>285</v>
      </c>
      <c r="B54" s="28" t="s">
        <v>99</v>
      </c>
      <c r="C54" s="34">
        <v>1000</v>
      </c>
      <c r="D54" s="34" t="s">
        <v>95</v>
      </c>
      <c r="E54" s="53"/>
      <c r="F54" s="53" t="s">
        <v>1123</v>
      </c>
      <c r="G54" s="56">
        <f t="shared" si="2"/>
        <v>0</v>
      </c>
    </row>
    <row r="55" spans="1:8" x14ac:dyDescent="0.3">
      <c r="A55" s="36" t="s">
        <v>286</v>
      </c>
      <c r="B55" s="28" t="s">
        <v>101</v>
      </c>
      <c r="C55" s="34">
        <v>1000</v>
      </c>
      <c r="D55" s="34" t="s">
        <v>95</v>
      </c>
      <c r="E55" s="53"/>
      <c r="F55" s="53" t="s">
        <v>1123</v>
      </c>
      <c r="G55" s="56">
        <f t="shared" si="2"/>
        <v>0</v>
      </c>
    </row>
    <row r="56" spans="1:8" x14ac:dyDescent="0.3">
      <c r="A56" s="36" t="s">
        <v>287</v>
      </c>
      <c r="B56" s="28" t="s">
        <v>103</v>
      </c>
      <c r="C56" s="34">
        <v>1000</v>
      </c>
      <c r="D56" s="34" t="s">
        <v>95</v>
      </c>
      <c r="E56" s="53"/>
      <c r="F56" s="53" t="s">
        <v>1123</v>
      </c>
      <c r="G56" s="56">
        <f t="shared" si="2"/>
        <v>0</v>
      </c>
    </row>
    <row r="57" spans="1:8" x14ac:dyDescent="0.3">
      <c r="A57" s="36" t="s">
        <v>288</v>
      </c>
      <c r="B57" s="28" t="s">
        <v>105</v>
      </c>
      <c r="C57" s="34">
        <v>1000</v>
      </c>
      <c r="D57" s="34" t="s">
        <v>95</v>
      </c>
      <c r="E57" s="53"/>
      <c r="F57" s="53" t="s">
        <v>1123</v>
      </c>
      <c r="G57" s="56">
        <f t="shared" si="2"/>
        <v>0</v>
      </c>
    </row>
    <row r="58" spans="1:8" x14ac:dyDescent="0.3">
      <c r="A58" s="36" t="s">
        <v>289</v>
      </c>
      <c r="B58" s="28" t="s">
        <v>936</v>
      </c>
      <c r="C58" s="34">
        <v>1000</v>
      </c>
      <c r="D58" s="34" t="s">
        <v>95</v>
      </c>
      <c r="E58" s="53"/>
      <c r="F58" s="53" t="s">
        <v>1123</v>
      </c>
      <c r="G58" s="56">
        <f t="shared" si="2"/>
        <v>0</v>
      </c>
    </row>
    <row r="59" spans="1:8" x14ac:dyDescent="0.3">
      <c r="A59" s="33" t="s">
        <v>1111</v>
      </c>
      <c r="B59" s="20" t="s">
        <v>928</v>
      </c>
      <c r="C59" s="20"/>
      <c r="D59" s="20"/>
      <c r="E59" s="20"/>
      <c r="F59" s="20"/>
      <c r="G59" s="20"/>
      <c r="H59" s="57" t="s">
        <v>890</v>
      </c>
    </row>
    <row r="60" spans="1:8" x14ac:dyDescent="0.3">
      <c r="A60" s="36" t="s">
        <v>291</v>
      </c>
      <c r="B60" s="28" t="s">
        <v>94</v>
      </c>
      <c r="C60" s="34">
        <v>2500</v>
      </c>
      <c r="D60" s="34" t="s">
        <v>95</v>
      </c>
      <c r="E60" s="53"/>
      <c r="F60" s="53" t="s">
        <v>1123</v>
      </c>
      <c r="G60" s="56">
        <f t="shared" ref="G60:G66" si="3">IF(ISNUMBER(E60),C60*E60,0)</f>
        <v>0</v>
      </c>
    </row>
    <row r="61" spans="1:8" x14ac:dyDescent="0.3">
      <c r="A61" s="36" t="s">
        <v>292</v>
      </c>
      <c r="B61" s="28" t="s">
        <v>97</v>
      </c>
      <c r="C61" s="34">
        <v>2500</v>
      </c>
      <c r="D61" s="34" t="s">
        <v>95</v>
      </c>
      <c r="E61" s="53"/>
      <c r="F61" s="53" t="s">
        <v>1123</v>
      </c>
      <c r="G61" s="56">
        <f t="shared" si="3"/>
        <v>0</v>
      </c>
    </row>
    <row r="62" spans="1:8" x14ac:dyDescent="0.3">
      <c r="A62" s="36" t="s">
        <v>293</v>
      </c>
      <c r="B62" s="28" t="s">
        <v>99</v>
      </c>
      <c r="C62" s="34">
        <v>2500</v>
      </c>
      <c r="D62" s="34" t="s">
        <v>95</v>
      </c>
      <c r="E62" s="53"/>
      <c r="F62" s="53" t="s">
        <v>1123</v>
      </c>
      <c r="G62" s="56">
        <f t="shared" si="3"/>
        <v>0</v>
      </c>
    </row>
    <row r="63" spans="1:8" x14ac:dyDescent="0.3">
      <c r="A63" s="36" t="s">
        <v>294</v>
      </c>
      <c r="B63" s="28" t="s">
        <v>101</v>
      </c>
      <c r="C63" s="34">
        <v>2500</v>
      </c>
      <c r="D63" s="34" t="s">
        <v>95</v>
      </c>
      <c r="E63" s="53"/>
      <c r="F63" s="53" t="s">
        <v>1123</v>
      </c>
      <c r="G63" s="56">
        <f t="shared" si="3"/>
        <v>0</v>
      </c>
    </row>
    <row r="64" spans="1:8" x14ac:dyDescent="0.3">
      <c r="A64" s="36" t="s">
        <v>295</v>
      </c>
      <c r="B64" s="28" t="s">
        <v>103</v>
      </c>
      <c r="C64" s="34">
        <v>2500</v>
      </c>
      <c r="D64" s="34" t="s">
        <v>95</v>
      </c>
      <c r="E64" s="53"/>
      <c r="F64" s="53" t="s">
        <v>1123</v>
      </c>
      <c r="G64" s="56">
        <f t="shared" si="3"/>
        <v>0</v>
      </c>
    </row>
    <row r="65" spans="1:8" x14ac:dyDescent="0.3">
      <c r="A65" s="36" t="s">
        <v>296</v>
      </c>
      <c r="B65" s="28" t="s">
        <v>105</v>
      </c>
      <c r="C65" s="34">
        <v>2500</v>
      </c>
      <c r="D65" s="34" t="s">
        <v>95</v>
      </c>
      <c r="E65" s="53"/>
      <c r="F65" s="53" t="s">
        <v>1123</v>
      </c>
      <c r="G65" s="56">
        <f t="shared" si="3"/>
        <v>0</v>
      </c>
    </row>
    <row r="66" spans="1:8" x14ac:dyDescent="0.3">
      <c r="A66" s="36" t="s">
        <v>297</v>
      </c>
      <c r="B66" s="28" t="s">
        <v>936</v>
      </c>
      <c r="C66" s="34">
        <v>2500</v>
      </c>
      <c r="D66" s="34" t="s">
        <v>95</v>
      </c>
      <c r="E66" s="53"/>
      <c r="F66" s="53" t="s">
        <v>1123</v>
      </c>
      <c r="G66" s="56">
        <f t="shared" si="3"/>
        <v>0</v>
      </c>
    </row>
    <row r="67" spans="1:8" x14ac:dyDescent="0.3">
      <c r="A67" s="33" t="s">
        <v>987</v>
      </c>
      <c r="B67" s="20" t="s">
        <v>929</v>
      </c>
      <c r="C67" s="20"/>
      <c r="D67" s="20"/>
      <c r="E67" s="20"/>
      <c r="F67" s="20"/>
      <c r="G67" s="20"/>
      <c r="H67" s="57" t="s">
        <v>1075</v>
      </c>
    </row>
    <row r="68" spans="1:8" x14ac:dyDescent="0.3">
      <c r="A68" s="36" t="s">
        <v>299</v>
      </c>
      <c r="B68" s="28" t="s">
        <v>170</v>
      </c>
      <c r="C68" s="34">
        <v>125</v>
      </c>
      <c r="D68" s="50" t="s">
        <v>937</v>
      </c>
      <c r="E68" s="53"/>
      <c r="F68" s="53" t="s">
        <v>1123</v>
      </c>
      <c r="G68" s="56">
        <f>IF(ISNUMBER(E68),C68*E68,0)</f>
        <v>0</v>
      </c>
    </row>
    <row r="69" spans="1:8" x14ac:dyDescent="0.3">
      <c r="A69" s="36" t="s">
        <v>300</v>
      </c>
      <c r="B69" s="28" t="s">
        <v>172</v>
      </c>
      <c r="C69" s="34">
        <v>1750</v>
      </c>
      <c r="D69" s="50" t="s">
        <v>937</v>
      </c>
      <c r="E69" s="53"/>
      <c r="F69" s="53" t="s">
        <v>1123</v>
      </c>
      <c r="G69" s="56">
        <f>IF(ISNUMBER(E69),C69*E69,0)</f>
        <v>0</v>
      </c>
    </row>
    <row r="70" spans="1:8" x14ac:dyDescent="0.3">
      <c r="A70" s="36" t="s">
        <v>301</v>
      </c>
      <c r="B70" s="28" t="s">
        <v>174</v>
      </c>
      <c r="C70" s="34">
        <v>100</v>
      </c>
      <c r="D70" s="50" t="s">
        <v>937</v>
      </c>
      <c r="E70" s="53"/>
      <c r="F70" s="53" t="s">
        <v>1123</v>
      </c>
      <c r="G70" s="56">
        <f>IF(ISNUMBER(E70),C70*E70,0)</f>
        <v>0</v>
      </c>
    </row>
    <row r="71" spans="1:8" x14ac:dyDescent="0.3">
      <c r="A71" s="36" t="s">
        <v>302</v>
      </c>
      <c r="B71" s="28" t="s">
        <v>175</v>
      </c>
      <c r="C71" s="34">
        <v>25</v>
      </c>
      <c r="D71" s="50" t="s">
        <v>937</v>
      </c>
      <c r="E71" s="53"/>
      <c r="F71" s="53" t="s">
        <v>1123</v>
      </c>
      <c r="G71" s="56">
        <f>IF(ISNUMBER(E71),C71*E71,0)</f>
        <v>0</v>
      </c>
    </row>
    <row r="72" spans="1:8" x14ac:dyDescent="0.3">
      <c r="A72" s="33" t="s">
        <v>988</v>
      </c>
      <c r="B72" s="20" t="s">
        <v>930</v>
      </c>
      <c r="C72" s="20"/>
      <c r="D72" s="20"/>
      <c r="E72" s="20"/>
      <c r="F72" s="20"/>
      <c r="G72" s="20"/>
      <c r="H72" s="57" t="s">
        <v>1075</v>
      </c>
    </row>
    <row r="73" spans="1:8" x14ac:dyDescent="0.3">
      <c r="A73" s="36" t="s">
        <v>307</v>
      </c>
      <c r="B73" s="28" t="s">
        <v>179</v>
      </c>
      <c r="C73" s="34">
        <v>125</v>
      </c>
      <c r="D73" s="50" t="s">
        <v>937</v>
      </c>
      <c r="E73" s="53"/>
      <c r="F73" s="53" t="s">
        <v>1123</v>
      </c>
      <c r="G73" s="56">
        <f>IF(ISNUMBER(E73),C73*E73,0)</f>
        <v>0</v>
      </c>
    </row>
    <row r="74" spans="1:8" x14ac:dyDescent="0.3">
      <c r="A74" s="36" t="s">
        <v>308</v>
      </c>
      <c r="B74" s="28" t="s">
        <v>181</v>
      </c>
      <c r="C74" s="34">
        <v>1750</v>
      </c>
      <c r="D74" s="50" t="s">
        <v>937</v>
      </c>
      <c r="E74" s="53"/>
      <c r="F74" s="53" t="s">
        <v>1123</v>
      </c>
      <c r="G74" s="56">
        <f>IF(ISNUMBER(E74),C74*E74,0)</f>
        <v>0</v>
      </c>
    </row>
    <row r="75" spans="1:8" s="59" customFormat="1" x14ac:dyDescent="0.3">
      <c r="A75" s="36" t="s">
        <v>989</v>
      </c>
      <c r="B75" s="28" t="s">
        <v>183</v>
      </c>
      <c r="C75" s="34">
        <v>100</v>
      </c>
      <c r="D75" s="50" t="s">
        <v>937</v>
      </c>
      <c r="E75" s="53"/>
      <c r="F75" s="53" t="s">
        <v>1123</v>
      </c>
      <c r="G75" s="56">
        <f>IF(ISNUMBER(E75),C75*E75,0)</f>
        <v>0</v>
      </c>
      <c r="H75" s="54"/>
    </row>
    <row r="76" spans="1:8" x14ac:dyDescent="0.3">
      <c r="A76" s="33" t="s">
        <v>990</v>
      </c>
      <c r="B76" s="20" t="s">
        <v>1072</v>
      </c>
      <c r="C76" s="20"/>
      <c r="D76" s="50"/>
      <c r="E76" s="20"/>
      <c r="F76" s="20"/>
      <c r="G76" s="20"/>
      <c r="H76" s="57" t="s">
        <v>1075</v>
      </c>
    </row>
    <row r="77" spans="1:8" x14ac:dyDescent="0.3">
      <c r="A77" s="36" t="s">
        <v>309</v>
      </c>
      <c r="B77" s="28" t="s">
        <v>170</v>
      </c>
      <c r="C77" s="34">
        <v>500</v>
      </c>
      <c r="D77" s="34" t="s">
        <v>95</v>
      </c>
      <c r="E77" s="53"/>
      <c r="F77" s="53" t="s">
        <v>1123</v>
      </c>
      <c r="G77" s="56">
        <f t="shared" ref="G77:G83" si="4">IF(ISNUMBER(E77),C77*E77,0)</f>
        <v>0</v>
      </c>
    </row>
    <row r="78" spans="1:8" x14ac:dyDescent="0.3">
      <c r="A78" s="36" t="s">
        <v>310</v>
      </c>
      <c r="B78" s="28" t="s">
        <v>172</v>
      </c>
      <c r="C78" s="34">
        <v>500</v>
      </c>
      <c r="D78" s="34" t="s">
        <v>95</v>
      </c>
      <c r="E78" s="53"/>
      <c r="F78" s="53" t="s">
        <v>1123</v>
      </c>
      <c r="G78" s="56">
        <f t="shared" si="4"/>
        <v>0</v>
      </c>
    </row>
    <row r="79" spans="1:8" x14ac:dyDescent="0.3">
      <c r="A79" s="36" t="s">
        <v>991</v>
      </c>
      <c r="B79" s="28" t="s">
        <v>174</v>
      </c>
      <c r="C79" s="34">
        <v>500</v>
      </c>
      <c r="D79" s="34" t="s">
        <v>95</v>
      </c>
      <c r="E79" s="53"/>
      <c r="F79" s="53" t="s">
        <v>1123</v>
      </c>
      <c r="G79" s="56">
        <f t="shared" si="4"/>
        <v>0</v>
      </c>
    </row>
    <row r="80" spans="1:8" x14ac:dyDescent="0.3">
      <c r="A80" s="36" t="s">
        <v>1110</v>
      </c>
      <c r="B80" s="28" t="s">
        <v>190</v>
      </c>
      <c r="C80" s="34">
        <v>500</v>
      </c>
      <c r="D80" s="34" t="s">
        <v>95</v>
      </c>
      <c r="E80" s="53"/>
      <c r="F80" s="53" t="s">
        <v>1123</v>
      </c>
      <c r="G80" s="56">
        <f t="shared" si="4"/>
        <v>0</v>
      </c>
    </row>
    <row r="81" spans="1:8" x14ac:dyDescent="0.3">
      <c r="A81" s="36" t="s">
        <v>1109</v>
      </c>
      <c r="B81" s="28" t="s">
        <v>179</v>
      </c>
      <c r="C81" s="34">
        <v>500</v>
      </c>
      <c r="D81" s="34" t="s">
        <v>95</v>
      </c>
      <c r="E81" s="53"/>
      <c r="F81" s="53" t="s">
        <v>1123</v>
      </c>
      <c r="G81" s="56">
        <f t="shared" si="4"/>
        <v>0</v>
      </c>
    </row>
    <row r="82" spans="1:8" x14ac:dyDescent="0.3">
      <c r="A82" s="36" t="s">
        <v>1108</v>
      </c>
      <c r="B82" s="28" t="s">
        <v>181</v>
      </c>
      <c r="C82" s="34">
        <v>500</v>
      </c>
      <c r="D82" s="34" t="s">
        <v>95</v>
      </c>
      <c r="E82" s="53"/>
      <c r="F82" s="53" t="s">
        <v>1123</v>
      </c>
      <c r="G82" s="56">
        <f t="shared" si="4"/>
        <v>0</v>
      </c>
    </row>
    <row r="83" spans="1:8" x14ac:dyDescent="0.3">
      <c r="A83" s="36" t="s">
        <v>1107</v>
      </c>
      <c r="B83" s="28" t="s">
        <v>183</v>
      </c>
      <c r="C83" s="34">
        <v>500</v>
      </c>
      <c r="D83" s="34" t="s">
        <v>95</v>
      </c>
      <c r="E83" s="53"/>
      <c r="F83" s="53" t="s">
        <v>1123</v>
      </c>
      <c r="G83" s="56">
        <f t="shared" si="4"/>
        <v>0</v>
      </c>
    </row>
    <row r="84" spans="1:8" x14ac:dyDescent="0.3">
      <c r="A84" s="33" t="s">
        <v>992</v>
      </c>
      <c r="B84" s="20" t="s">
        <v>931</v>
      </c>
      <c r="C84" s="20"/>
      <c r="D84" s="20"/>
      <c r="E84" s="20"/>
      <c r="F84" s="20"/>
      <c r="G84" s="20"/>
      <c r="H84" s="57" t="s">
        <v>1075</v>
      </c>
    </row>
    <row r="85" spans="1:8" x14ac:dyDescent="0.3">
      <c r="A85" s="36" t="s">
        <v>311</v>
      </c>
      <c r="B85" s="28" t="s">
        <v>170</v>
      </c>
      <c r="C85" s="34">
        <v>1750</v>
      </c>
      <c r="D85" s="34" t="s">
        <v>95</v>
      </c>
      <c r="E85" s="53"/>
      <c r="F85" s="53" t="s">
        <v>1123</v>
      </c>
      <c r="G85" s="56">
        <f t="shared" ref="G85:G91" si="5">IF(ISNUMBER(E85),C85*E85,0)</f>
        <v>0</v>
      </c>
    </row>
    <row r="86" spans="1:8" x14ac:dyDescent="0.3">
      <c r="A86" s="36" t="s">
        <v>312</v>
      </c>
      <c r="B86" s="28" t="s">
        <v>172</v>
      </c>
      <c r="C86" s="34">
        <v>1750</v>
      </c>
      <c r="D86" s="34" t="s">
        <v>95</v>
      </c>
      <c r="E86" s="53"/>
      <c r="F86" s="53" t="s">
        <v>1123</v>
      </c>
      <c r="G86" s="56">
        <f t="shared" si="5"/>
        <v>0</v>
      </c>
    </row>
    <row r="87" spans="1:8" x14ac:dyDescent="0.3">
      <c r="A87" s="36" t="s">
        <v>993</v>
      </c>
      <c r="B87" s="28" t="s">
        <v>174</v>
      </c>
      <c r="C87" s="34">
        <v>1750</v>
      </c>
      <c r="D87" s="34" t="s">
        <v>95</v>
      </c>
      <c r="E87" s="53"/>
      <c r="F87" s="53" t="s">
        <v>1123</v>
      </c>
      <c r="G87" s="56">
        <f t="shared" si="5"/>
        <v>0</v>
      </c>
    </row>
    <row r="88" spans="1:8" x14ac:dyDescent="0.3">
      <c r="A88" s="36" t="s">
        <v>994</v>
      </c>
      <c r="B88" s="28" t="s">
        <v>190</v>
      </c>
      <c r="C88" s="34">
        <v>1750</v>
      </c>
      <c r="D88" s="34" t="s">
        <v>95</v>
      </c>
      <c r="E88" s="53"/>
      <c r="F88" s="53" t="s">
        <v>1123</v>
      </c>
      <c r="G88" s="56">
        <f t="shared" si="5"/>
        <v>0</v>
      </c>
    </row>
    <row r="89" spans="1:8" x14ac:dyDescent="0.3">
      <c r="A89" s="36" t="s">
        <v>995</v>
      </c>
      <c r="B89" s="28" t="s">
        <v>179</v>
      </c>
      <c r="C89" s="34">
        <v>1750</v>
      </c>
      <c r="D89" s="34" t="s">
        <v>95</v>
      </c>
      <c r="E89" s="53"/>
      <c r="F89" s="53" t="s">
        <v>1123</v>
      </c>
      <c r="G89" s="56">
        <f t="shared" si="5"/>
        <v>0</v>
      </c>
    </row>
    <row r="90" spans="1:8" x14ac:dyDescent="0.3">
      <c r="A90" s="36" t="s">
        <v>996</v>
      </c>
      <c r="B90" s="28" t="s">
        <v>181</v>
      </c>
      <c r="C90" s="34">
        <v>1750</v>
      </c>
      <c r="D90" s="34" t="s">
        <v>95</v>
      </c>
      <c r="E90" s="53"/>
      <c r="F90" s="53" t="s">
        <v>1123</v>
      </c>
      <c r="G90" s="56">
        <f t="shared" si="5"/>
        <v>0</v>
      </c>
    </row>
    <row r="91" spans="1:8" x14ac:dyDescent="0.3">
      <c r="A91" s="36" t="s">
        <v>997</v>
      </c>
      <c r="B91" s="28" t="s">
        <v>183</v>
      </c>
      <c r="C91" s="34">
        <v>1750</v>
      </c>
      <c r="D91" s="34" t="s">
        <v>95</v>
      </c>
      <c r="E91" s="53"/>
      <c r="F91" s="53" t="s">
        <v>1123</v>
      </c>
      <c r="G91" s="56">
        <f t="shared" si="5"/>
        <v>0</v>
      </c>
    </row>
    <row r="92" spans="1:8" x14ac:dyDescent="0.3">
      <c r="A92" s="84"/>
      <c r="B92" s="28"/>
      <c r="C92" s="34"/>
      <c r="D92" s="34"/>
      <c r="E92" s="53"/>
      <c r="F92" s="53"/>
      <c r="G92" s="78">
        <f>SUM(G32:G91)</f>
        <v>0</v>
      </c>
    </row>
    <row r="93" spans="1:8" x14ac:dyDescent="0.3">
      <c r="A93" s="104" t="s">
        <v>935</v>
      </c>
      <c r="B93" s="105"/>
      <c r="C93" s="105"/>
      <c r="D93" s="105"/>
      <c r="E93" s="105"/>
      <c r="F93" s="105"/>
      <c r="G93" s="106"/>
    </row>
    <row r="94" spans="1:8" x14ac:dyDescent="0.3">
      <c r="A94" s="33" t="s">
        <v>1117</v>
      </c>
      <c r="B94" s="20" t="s">
        <v>953</v>
      </c>
      <c r="C94" s="20"/>
      <c r="D94" s="20"/>
      <c r="E94" s="20"/>
      <c r="F94" s="20"/>
      <c r="G94" s="20"/>
      <c r="H94" s="57">
        <v>2.2999999999999998</v>
      </c>
    </row>
    <row r="95" spans="1:8" x14ac:dyDescent="0.3">
      <c r="A95" s="36" t="s">
        <v>313</v>
      </c>
      <c r="B95" s="28" t="s">
        <v>61</v>
      </c>
      <c r="C95" s="34">
        <v>200</v>
      </c>
      <c r="D95" s="34" t="s">
        <v>1121</v>
      </c>
      <c r="E95" s="53"/>
      <c r="F95" s="53" t="s">
        <v>1123</v>
      </c>
      <c r="G95" s="56">
        <f>IF(ISNUMBER(E95),C95*E95,0)</f>
        <v>0</v>
      </c>
    </row>
    <row r="96" spans="1:8" x14ac:dyDescent="0.3">
      <c r="A96" s="36" t="s">
        <v>314</v>
      </c>
      <c r="B96" s="28" t="s">
        <v>64</v>
      </c>
      <c r="C96" s="34">
        <v>200</v>
      </c>
      <c r="D96" s="34" t="s">
        <v>1121</v>
      </c>
      <c r="E96" s="53"/>
      <c r="F96" s="53" t="s">
        <v>1123</v>
      </c>
      <c r="G96" s="56">
        <f>IF(ISNUMBER(E96),C96*E96,0)</f>
        <v>0</v>
      </c>
    </row>
    <row r="97" spans="1:8" x14ac:dyDescent="0.3">
      <c r="A97" s="36" t="s">
        <v>315</v>
      </c>
      <c r="B97" s="28" t="s">
        <v>66</v>
      </c>
      <c r="C97" s="34">
        <v>200</v>
      </c>
      <c r="D97" s="34" t="s">
        <v>1121</v>
      </c>
      <c r="E97" s="53"/>
      <c r="F97" s="53" t="s">
        <v>1123</v>
      </c>
      <c r="G97" s="56">
        <f>IF(ISNUMBER(E97),C97*E97,0)</f>
        <v>0</v>
      </c>
    </row>
    <row r="98" spans="1:8" x14ac:dyDescent="0.3">
      <c r="A98" s="36" t="s">
        <v>316</v>
      </c>
      <c r="B98" s="28" t="s">
        <v>68</v>
      </c>
      <c r="C98" s="34">
        <v>200</v>
      </c>
      <c r="D98" s="34" t="s">
        <v>1121</v>
      </c>
      <c r="E98" s="53"/>
      <c r="F98" s="53" t="s">
        <v>1123</v>
      </c>
      <c r="G98" s="56">
        <f>IF(ISNUMBER(E98),C98*E98,0)</f>
        <v>0</v>
      </c>
    </row>
    <row r="99" spans="1:8" x14ac:dyDescent="0.3">
      <c r="A99" s="33" t="s">
        <v>998</v>
      </c>
      <c r="B99" s="20" t="s">
        <v>954</v>
      </c>
      <c r="C99" s="20"/>
      <c r="D99" s="20"/>
      <c r="E99" s="20"/>
      <c r="F99" s="20"/>
      <c r="G99" s="20"/>
      <c r="H99" s="57">
        <v>2.2999999999999998</v>
      </c>
    </row>
    <row r="100" spans="1:8" x14ac:dyDescent="0.3">
      <c r="A100" s="36" t="s">
        <v>326</v>
      </c>
      <c r="B100" s="28" t="s">
        <v>72</v>
      </c>
      <c r="C100" s="34">
        <v>200</v>
      </c>
      <c r="D100" s="34" t="s">
        <v>1121</v>
      </c>
      <c r="E100" s="53"/>
      <c r="F100" s="53" t="s">
        <v>1123</v>
      </c>
      <c r="G100" s="56">
        <f>IF(ISNUMBER(E100),C100*E100,0)</f>
        <v>0</v>
      </c>
    </row>
    <row r="101" spans="1:8" x14ac:dyDescent="0.3">
      <c r="A101" s="36" t="s">
        <v>327</v>
      </c>
      <c r="B101" s="28" t="s">
        <v>74</v>
      </c>
      <c r="C101" s="34">
        <v>200</v>
      </c>
      <c r="D101" s="34" t="s">
        <v>1121</v>
      </c>
      <c r="E101" s="53"/>
      <c r="F101" s="53" t="s">
        <v>1123</v>
      </c>
      <c r="G101" s="56">
        <f>IF(ISNUMBER(E101),C101*E101,0)</f>
        <v>0</v>
      </c>
    </row>
    <row r="102" spans="1:8" x14ac:dyDescent="0.3">
      <c r="A102" s="36" t="s">
        <v>328</v>
      </c>
      <c r="B102" s="28" t="s">
        <v>76</v>
      </c>
      <c r="C102" s="34">
        <v>200</v>
      </c>
      <c r="D102" s="34" t="s">
        <v>1121</v>
      </c>
      <c r="E102" s="53"/>
      <c r="F102" s="53" t="s">
        <v>1123</v>
      </c>
      <c r="G102" s="56">
        <f>IF(ISNUMBER(E102),C102*E102,0)</f>
        <v>0</v>
      </c>
    </row>
    <row r="103" spans="1:8" x14ac:dyDescent="0.3">
      <c r="A103" s="33" t="s">
        <v>999</v>
      </c>
      <c r="B103" s="20" t="s">
        <v>955</v>
      </c>
      <c r="C103" s="20"/>
      <c r="D103" s="20"/>
      <c r="E103" s="20"/>
      <c r="F103" s="20"/>
      <c r="G103" s="20"/>
      <c r="H103" s="57">
        <v>2.2999999999999998</v>
      </c>
    </row>
    <row r="104" spans="1:8" x14ac:dyDescent="0.3">
      <c r="A104" s="36" t="s">
        <v>331</v>
      </c>
      <c r="B104" s="28" t="s">
        <v>61</v>
      </c>
      <c r="C104" s="34">
        <v>200</v>
      </c>
      <c r="D104" s="34" t="s">
        <v>1121</v>
      </c>
      <c r="E104" s="53"/>
      <c r="F104" s="53" t="s">
        <v>1123</v>
      </c>
      <c r="G104" s="56">
        <f>IF(ISNUMBER(E104),C104*E104,0)</f>
        <v>0</v>
      </c>
    </row>
    <row r="105" spans="1:8" x14ac:dyDescent="0.3">
      <c r="A105" s="36" t="s">
        <v>332</v>
      </c>
      <c r="B105" s="28" t="s">
        <v>64</v>
      </c>
      <c r="C105" s="34">
        <v>200</v>
      </c>
      <c r="D105" s="34" t="s">
        <v>1121</v>
      </c>
      <c r="E105" s="53"/>
      <c r="F105" s="53" t="s">
        <v>1123</v>
      </c>
      <c r="G105" s="56">
        <f>IF(ISNUMBER(E105),C105*E105,0)</f>
        <v>0</v>
      </c>
    </row>
    <row r="106" spans="1:8" x14ac:dyDescent="0.3">
      <c r="A106" s="36" t="s">
        <v>1000</v>
      </c>
      <c r="B106" s="28" t="s">
        <v>66</v>
      </c>
      <c r="C106" s="34">
        <v>200</v>
      </c>
      <c r="D106" s="34" t="s">
        <v>1121</v>
      </c>
      <c r="E106" s="53"/>
      <c r="F106" s="53" t="s">
        <v>1123</v>
      </c>
      <c r="G106" s="56">
        <f>IF(ISNUMBER(E106),C106*E106,0)</f>
        <v>0</v>
      </c>
    </row>
    <row r="107" spans="1:8" x14ac:dyDescent="0.3">
      <c r="A107" s="36" t="s">
        <v>1001</v>
      </c>
      <c r="B107" s="28" t="s">
        <v>68</v>
      </c>
      <c r="C107" s="34">
        <v>200</v>
      </c>
      <c r="D107" s="34" t="s">
        <v>1121</v>
      </c>
      <c r="E107" s="53"/>
      <c r="F107" s="53" t="s">
        <v>1123</v>
      </c>
      <c r="G107" s="56">
        <f>IF(ISNUMBER(E107),C107*E107,0)</f>
        <v>0</v>
      </c>
    </row>
    <row r="108" spans="1:8" x14ac:dyDescent="0.3">
      <c r="A108" s="33" t="s">
        <v>1002</v>
      </c>
      <c r="B108" s="20" t="s">
        <v>956</v>
      </c>
      <c r="C108" s="20"/>
      <c r="D108" s="20"/>
      <c r="E108" s="20"/>
      <c r="F108" s="20"/>
      <c r="G108" s="20"/>
      <c r="H108" s="57">
        <v>2.2999999999999998</v>
      </c>
    </row>
    <row r="109" spans="1:8" x14ac:dyDescent="0.3">
      <c r="A109" s="36" t="s">
        <v>333</v>
      </c>
      <c r="B109" s="28" t="s">
        <v>72</v>
      </c>
      <c r="C109" s="34">
        <v>200</v>
      </c>
      <c r="D109" s="34" t="s">
        <v>1121</v>
      </c>
      <c r="E109" s="53"/>
      <c r="F109" s="53" t="s">
        <v>1123</v>
      </c>
      <c r="G109" s="56">
        <f>IF(ISNUMBER(E109),C109*E109,0)</f>
        <v>0</v>
      </c>
    </row>
    <row r="110" spans="1:8" x14ac:dyDescent="0.3">
      <c r="A110" s="36" t="s">
        <v>334</v>
      </c>
      <c r="B110" s="28" t="s">
        <v>74</v>
      </c>
      <c r="C110" s="34">
        <v>200</v>
      </c>
      <c r="D110" s="34" t="s">
        <v>1121</v>
      </c>
      <c r="E110" s="53"/>
      <c r="F110" s="53" t="s">
        <v>1123</v>
      </c>
      <c r="G110" s="56">
        <f>IF(ISNUMBER(E110),C110*E110,0)</f>
        <v>0</v>
      </c>
    </row>
    <row r="111" spans="1:8" x14ac:dyDescent="0.3">
      <c r="A111" s="36" t="s">
        <v>1003</v>
      </c>
      <c r="B111" s="28" t="s">
        <v>76</v>
      </c>
      <c r="C111" s="34">
        <v>200</v>
      </c>
      <c r="D111" s="34" t="s">
        <v>1121</v>
      </c>
      <c r="E111" s="53"/>
      <c r="F111" s="53" t="s">
        <v>1123</v>
      </c>
      <c r="G111" s="56">
        <f>IF(ISNUMBER(E111),C111*E111,0)</f>
        <v>0</v>
      </c>
    </row>
    <row r="112" spans="1:8" x14ac:dyDescent="0.3">
      <c r="A112" s="84"/>
      <c r="B112" s="28"/>
      <c r="C112" s="34"/>
      <c r="D112" s="34"/>
      <c r="E112" s="53"/>
      <c r="F112" s="53"/>
      <c r="G112" s="78">
        <f>SUM(G95:G111)</f>
        <v>0</v>
      </c>
    </row>
    <row r="113" spans="1:8" x14ac:dyDescent="0.3">
      <c r="A113" s="104" t="s">
        <v>941</v>
      </c>
      <c r="B113" s="105"/>
      <c r="C113" s="105"/>
      <c r="D113" s="105"/>
      <c r="E113" s="105"/>
      <c r="F113" s="105"/>
      <c r="G113" s="106"/>
    </row>
    <row r="114" spans="1:8" s="54" customFormat="1" x14ac:dyDescent="0.3">
      <c r="A114" s="33" t="s">
        <v>1004</v>
      </c>
      <c r="B114" s="20" t="s">
        <v>940</v>
      </c>
      <c r="C114" s="20"/>
      <c r="D114" s="20"/>
      <c r="E114" s="20"/>
      <c r="F114" s="20"/>
      <c r="G114" s="20"/>
      <c r="H114" s="54">
        <v>2.1</v>
      </c>
    </row>
    <row r="115" spans="1:8" x14ac:dyDescent="0.3">
      <c r="A115" s="55" t="s">
        <v>335</v>
      </c>
      <c r="B115" s="13" t="s">
        <v>11</v>
      </c>
      <c r="C115" s="47">
        <v>250</v>
      </c>
      <c r="D115" s="50" t="s">
        <v>937</v>
      </c>
      <c r="E115" s="53"/>
      <c r="F115" s="53" t="s">
        <v>1123</v>
      </c>
      <c r="G115" s="56">
        <f>IF(ISNUMBER(E115),C115*E115,0)</f>
        <v>0</v>
      </c>
    </row>
    <row r="116" spans="1:8" x14ac:dyDescent="0.3">
      <c r="A116" s="55" t="s">
        <v>336</v>
      </c>
      <c r="B116" s="13" t="s">
        <v>14</v>
      </c>
      <c r="C116" s="47">
        <v>500</v>
      </c>
      <c r="D116" s="50" t="s">
        <v>937</v>
      </c>
      <c r="E116" s="53"/>
      <c r="F116" s="53" t="s">
        <v>1123</v>
      </c>
      <c r="G116" s="56">
        <f>IF(ISNUMBER(E116),C116*E116,0)</f>
        <v>0</v>
      </c>
    </row>
    <row r="117" spans="1:8" x14ac:dyDescent="0.3">
      <c r="A117" s="55" t="s">
        <v>1005</v>
      </c>
      <c r="B117" s="13" t="s">
        <v>16</v>
      </c>
      <c r="C117" s="47">
        <v>200</v>
      </c>
      <c r="D117" s="50" t="s">
        <v>937</v>
      </c>
      <c r="E117" s="53"/>
      <c r="F117" s="53" t="s">
        <v>1123</v>
      </c>
      <c r="G117" s="56">
        <f>IF(ISNUMBER(E117),C117*E117,0)</f>
        <v>0</v>
      </c>
    </row>
    <row r="118" spans="1:8" x14ac:dyDescent="0.3">
      <c r="A118" s="55" t="s">
        <v>1006</v>
      </c>
      <c r="B118" s="28" t="s">
        <v>18</v>
      </c>
      <c r="C118" s="34">
        <v>500</v>
      </c>
      <c r="D118" s="50" t="s">
        <v>937</v>
      </c>
      <c r="E118" s="53"/>
      <c r="F118" s="53" t="s">
        <v>1123</v>
      </c>
      <c r="G118" s="56">
        <f>IF(ISNUMBER(E118),C118*E118,0)</f>
        <v>0</v>
      </c>
    </row>
    <row r="119" spans="1:8" s="59" customFormat="1" x14ac:dyDescent="0.3">
      <c r="A119" s="33" t="s">
        <v>1007</v>
      </c>
      <c r="B119" s="20" t="s">
        <v>948</v>
      </c>
      <c r="C119" s="28"/>
      <c r="D119" s="28"/>
      <c r="E119" s="53"/>
      <c r="F119" s="28"/>
      <c r="G119" s="28"/>
      <c r="H119" s="54" t="s">
        <v>893</v>
      </c>
    </row>
    <row r="120" spans="1:8" s="59" customFormat="1" x14ac:dyDescent="0.3">
      <c r="A120" s="36" t="s">
        <v>337</v>
      </c>
      <c r="B120" s="28" t="s">
        <v>145</v>
      </c>
      <c r="C120" s="34">
        <v>1</v>
      </c>
      <c r="D120" s="34" t="s">
        <v>969</v>
      </c>
      <c r="E120" s="53"/>
      <c r="F120" s="34">
        <v>1</v>
      </c>
      <c r="G120" s="56">
        <f>+C120*E120*F120</f>
        <v>0</v>
      </c>
      <c r="H120" s="54"/>
    </row>
    <row r="121" spans="1:8" s="59" customFormat="1" x14ac:dyDescent="0.3">
      <c r="A121" s="36" t="s">
        <v>338</v>
      </c>
      <c r="B121" s="28" t="s">
        <v>148</v>
      </c>
      <c r="C121" s="34">
        <v>1</v>
      </c>
      <c r="D121" s="34" t="s">
        <v>969</v>
      </c>
      <c r="E121" s="53"/>
      <c r="F121" s="34">
        <v>1</v>
      </c>
      <c r="G121" s="56">
        <f t="shared" ref="G121:G122" si="6">+C121*E121*F121</f>
        <v>0</v>
      </c>
      <c r="H121" s="54"/>
    </row>
    <row r="122" spans="1:8" s="59" customFormat="1" x14ac:dyDescent="0.3">
      <c r="A122" s="36" t="s">
        <v>339</v>
      </c>
      <c r="B122" s="28" t="s">
        <v>150</v>
      </c>
      <c r="C122" s="34">
        <v>0</v>
      </c>
      <c r="D122" s="34" t="s">
        <v>969</v>
      </c>
      <c r="E122" s="53"/>
      <c r="F122" s="34">
        <v>1</v>
      </c>
      <c r="G122" s="56">
        <f t="shared" si="6"/>
        <v>0</v>
      </c>
      <c r="H122" s="54"/>
    </row>
    <row r="123" spans="1:8" s="59" customFormat="1" x14ac:dyDescent="0.3">
      <c r="A123" s="33" t="s">
        <v>1008</v>
      </c>
      <c r="B123" s="20" t="s">
        <v>947</v>
      </c>
      <c r="C123" s="34"/>
      <c r="D123" s="34"/>
      <c r="E123" s="53"/>
      <c r="F123" s="53"/>
      <c r="G123" s="56"/>
      <c r="H123" s="54"/>
    </row>
    <row r="124" spans="1:8" s="59" customFormat="1" x14ac:dyDescent="0.3">
      <c r="A124" s="36" t="s">
        <v>341</v>
      </c>
      <c r="B124" s="28" t="s">
        <v>145</v>
      </c>
      <c r="C124" s="47">
        <v>1000</v>
      </c>
      <c r="D124" s="50" t="s">
        <v>937</v>
      </c>
      <c r="E124" s="53"/>
      <c r="F124" s="53" t="s">
        <v>1123</v>
      </c>
      <c r="G124" s="56">
        <f>IF(ISNUMBER(E124),C124*E124,0)</f>
        <v>0</v>
      </c>
      <c r="H124" s="54"/>
    </row>
    <row r="125" spans="1:8" s="59" customFormat="1" x14ac:dyDescent="0.3">
      <c r="A125" s="36" t="s">
        <v>342</v>
      </c>
      <c r="B125" s="28" t="s">
        <v>148</v>
      </c>
      <c r="C125" s="47">
        <v>3000</v>
      </c>
      <c r="D125" s="50" t="s">
        <v>937</v>
      </c>
      <c r="E125" s="53"/>
      <c r="F125" s="53" t="s">
        <v>1123</v>
      </c>
      <c r="G125" s="56">
        <f t="shared" ref="G125:G126" si="7">IF(ISNUMBER(E125),C125*E125,0)</f>
        <v>0</v>
      </c>
      <c r="H125" s="54"/>
    </row>
    <row r="126" spans="1:8" s="59" customFormat="1" x14ac:dyDescent="0.3">
      <c r="A126" s="36" t="s">
        <v>343</v>
      </c>
      <c r="B126" s="28" t="s">
        <v>150</v>
      </c>
      <c r="C126" s="47">
        <v>1000</v>
      </c>
      <c r="D126" s="50" t="s">
        <v>937</v>
      </c>
      <c r="E126" s="53"/>
      <c r="F126" s="53" t="s">
        <v>1123</v>
      </c>
      <c r="G126" s="56">
        <f t="shared" si="7"/>
        <v>0</v>
      </c>
      <c r="H126" s="54"/>
    </row>
    <row r="127" spans="1:8" x14ac:dyDescent="0.3">
      <c r="A127" s="33" t="s">
        <v>1009</v>
      </c>
      <c r="B127" s="20" t="s">
        <v>950</v>
      </c>
      <c r="C127" s="20"/>
      <c r="D127" s="20"/>
      <c r="E127" s="53"/>
      <c r="F127" s="20"/>
      <c r="G127" s="20"/>
      <c r="H127" s="57" t="s">
        <v>892</v>
      </c>
    </row>
    <row r="128" spans="1:8" s="59" customFormat="1" x14ac:dyDescent="0.3">
      <c r="A128" s="36" t="s">
        <v>345</v>
      </c>
      <c r="B128" s="28" t="s">
        <v>128</v>
      </c>
      <c r="C128" s="34">
        <v>1</v>
      </c>
      <c r="D128" s="34" t="s">
        <v>969</v>
      </c>
      <c r="E128" s="53"/>
      <c r="F128" s="34">
        <v>1</v>
      </c>
      <c r="G128" s="56">
        <f>+C128*E128*F128</f>
        <v>0</v>
      </c>
      <c r="H128" s="54"/>
    </row>
    <row r="129" spans="1:8" x14ac:dyDescent="0.3">
      <c r="A129" s="36" t="s">
        <v>346</v>
      </c>
      <c r="B129" s="28" t="s">
        <v>129</v>
      </c>
      <c r="C129" s="34">
        <v>1</v>
      </c>
      <c r="D129" s="34" t="s">
        <v>969</v>
      </c>
      <c r="E129" s="53"/>
      <c r="F129" s="34">
        <v>1</v>
      </c>
      <c r="G129" s="56">
        <f t="shared" ref="G129:G136" si="8">+C129*E129*F129</f>
        <v>0</v>
      </c>
    </row>
    <row r="130" spans="1:8" x14ac:dyDescent="0.3">
      <c r="A130" s="36" t="s">
        <v>347</v>
      </c>
      <c r="B130" s="28" t="s">
        <v>910</v>
      </c>
      <c r="C130" s="34">
        <v>1000</v>
      </c>
      <c r="D130" s="34" t="s">
        <v>131</v>
      </c>
      <c r="E130" s="53"/>
      <c r="F130" s="34">
        <v>60</v>
      </c>
      <c r="G130" s="56">
        <f t="shared" si="8"/>
        <v>0</v>
      </c>
      <c r="H130" s="60"/>
    </row>
    <row r="131" spans="1:8" x14ac:dyDescent="0.3">
      <c r="A131" s="36" t="s">
        <v>348</v>
      </c>
      <c r="B131" s="28" t="s">
        <v>911</v>
      </c>
      <c r="C131" s="34">
        <v>1000</v>
      </c>
      <c r="D131" s="34" t="s">
        <v>131</v>
      </c>
      <c r="E131" s="53"/>
      <c r="F131" s="34">
        <v>60</v>
      </c>
      <c r="G131" s="56">
        <f t="shared" si="8"/>
        <v>0</v>
      </c>
      <c r="H131" s="60"/>
    </row>
    <row r="132" spans="1:8" x14ac:dyDescent="0.3">
      <c r="A132" s="36" t="s">
        <v>349</v>
      </c>
      <c r="B132" s="28" t="s">
        <v>912</v>
      </c>
      <c r="C132" s="34">
        <v>1000</v>
      </c>
      <c r="D132" s="34" t="s">
        <v>131</v>
      </c>
      <c r="E132" s="53"/>
      <c r="F132" s="34">
        <v>60</v>
      </c>
      <c r="G132" s="56">
        <f t="shared" si="8"/>
        <v>0</v>
      </c>
      <c r="H132" s="60"/>
    </row>
    <row r="133" spans="1:8" x14ac:dyDescent="0.3">
      <c r="A133" s="36" t="s">
        <v>350</v>
      </c>
      <c r="B133" s="28" t="s">
        <v>913</v>
      </c>
      <c r="C133" s="34">
        <v>1000</v>
      </c>
      <c r="D133" s="34" t="s">
        <v>131</v>
      </c>
      <c r="E133" s="53"/>
      <c r="F133" s="34">
        <v>60</v>
      </c>
      <c r="G133" s="56">
        <f t="shared" si="8"/>
        <v>0</v>
      </c>
      <c r="H133" s="60"/>
    </row>
    <row r="134" spans="1:8" x14ac:dyDescent="0.3">
      <c r="A134" s="36" t="s">
        <v>351</v>
      </c>
      <c r="B134" s="28" t="s">
        <v>914</v>
      </c>
      <c r="C134" s="34">
        <v>50</v>
      </c>
      <c r="D134" s="34" t="s">
        <v>131</v>
      </c>
      <c r="E134" s="53"/>
      <c r="F134" s="34">
        <v>60</v>
      </c>
      <c r="G134" s="56">
        <f t="shared" si="8"/>
        <v>0</v>
      </c>
      <c r="H134" s="60"/>
    </row>
    <row r="135" spans="1:8" x14ac:dyDescent="0.3">
      <c r="A135" s="36" t="s">
        <v>352</v>
      </c>
      <c r="B135" s="28" t="s">
        <v>915</v>
      </c>
      <c r="C135" s="34">
        <v>50</v>
      </c>
      <c r="D135" s="34" t="s">
        <v>131</v>
      </c>
      <c r="E135" s="53"/>
      <c r="F135" s="34">
        <v>60</v>
      </c>
      <c r="G135" s="56">
        <f t="shared" si="8"/>
        <v>0</v>
      </c>
      <c r="H135" s="60"/>
    </row>
    <row r="136" spans="1:8" x14ac:dyDescent="0.3">
      <c r="A136" s="36" t="s">
        <v>1119</v>
      </c>
      <c r="B136" s="28" t="s">
        <v>916</v>
      </c>
      <c r="C136" s="34">
        <v>50</v>
      </c>
      <c r="D136" s="34" t="s">
        <v>131</v>
      </c>
      <c r="E136" s="53"/>
      <c r="F136" s="34">
        <v>60</v>
      </c>
      <c r="G136" s="56">
        <f t="shared" si="8"/>
        <v>0</v>
      </c>
      <c r="H136" s="60"/>
    </row>
    <row r="137" spans="1:8" s="59" customFormat="1" x14ac:dyDescent="0.3">
      <c r="A137" s="33" t="s">
        <v>1010</v>
      </c>
      <c r="B137" s="20" t="s">
        <v>939</v>
      </c>
      <c r="C137" s="20"/>
      <c r="D137" s="20"/>
      <c r="E137" s="53"/>
      <c r="F137" s="20"/>
      <c r="G137" s="20"/>
      <c r="H137" s="54">
        <v>2.1</v>
      </c>
    </row>
    <row r="138" spans="1:8" s="59" customFormat="1" x14ac:dyDescent="0.3">
      <c r="A138" s="34" t="s">
        <v>353</v>
      </c>
      <c r="B138" s="28" t="s">
        <v>154</v>
      </c>
      <c r="C138" s="34">
        <v>500</v>
      </c>
      <c r="D138" s="50" t="s">
        <v>937</v>
      </c>
      <c r="E138" s="53"/>
      <c r="F138" s="53" t="s">
        <v>1123</v>
      </c>
      <c r="G138" s="56">
        <f>IF(ISNUMBER(E138),C138*E138,0)</f>
        <v>0</v>
      </c>
      <c r="H138" s="54"/>
    </row>
    <row r="139" spans="1:8" s="59" customFormat="1" x14ac:dyDescent="0.3">
      <c r="A139" s="34" t="s">
        <v>354</v>
      </c>
      <c r="B139" s="28" t="s">
        <v>156</v>
      </c>
      <c r="C139" s="34">
        <v>1000</v>
      </c>
      <c r="D139" s="50" t="s">
        <v>937</v>
      </c>
      <c r="E139" s="53"/>
      <c r="F139" s="53" t="s">
        <v>1123</v>
      </c>
      <c r="G139" s="56">
        <f>IF(ISNUMBER(E139),C139*E139,0)</f>
        <v>0</v>
      </c>
      <c r="H139" s="54"/>
    </row>
    <row r="140" spans="1:8" x14ac:dyDescent="0.3">
      <c r="A140" s="33" t="s">
        <v>1011</v>
      </c>
      <c r="B140" s="20" t="s">
        <v>938</v>
      </c>
      <c r="C140" s="20"/>
      <c r="D140" s="20"/>
      <c r="E140" s="53"/>
      <c r="F140" s="20"/>
      <c r="G140" s="20"/>
      <c r="H140" s="57" t="s">
        <v>909</v>
      </c>
    </row>
    <row r="141" spans="1:8" x14ac:dyDescent="0.3">
      <c r="A141" s="36" t="s">
        <v>361</v>
      </c>
      <c r="B141" s="28" t="s">
        <v>128</v>
      </c>
      <c r="C141" s="34">
        <v>1</v>
      </c>
      <c r="D141" s="34" t="s">
        <v>946</v>
      </c>
      <c r="E141" s="53"/>
      <c r="F141" s="34">
        <v>1</v>
      </c>
      <c r="G141" s="56">
        <f>+C141*E141*F141</f>
        <v>0</v>
      </c>
    </row>
    <row r="142" spans="1:8" x14ac:dyDescent="0.3">
      <c r="A142" s="36" t="s">
        <v>362</v>
      </c>
      <c r="B142" s="28" t="s">
        <v>129</v>
      </c>
      <c r="C142" s="34">
        <v>1</v>
      </c>
      <c r="D142" s="34" t="s">
        <v>946</v>
      </c>
      <c r="E142" s="53"/>
      <c r="F142" s="34">
        <v>1</v>
      </c>
      <c r="G142" s="56">
        <f t="shared" ref="G142:G149" si="9">+C142*E142*F142</f>
        <v>0</v>
      </c>
    </row>
    <row r="143" spans="1:8" s="59" customFormat="1" x14ac:dyDescent="0.3">
      <c r="A143" s="36" t="s">
        <v>363</v>
      </c>
      <c r="B143" s="28" t="s">
        <v>910</v>
      </c>
      <c r="C143" s="34">
        <v>1000</v>
      </c>
      <c r="D143" s="34" t="s">
        <v>131</v>
      </c>
      <c r="E143" s="53"/>
      <c r="F143" s="34">
        <v>20</v>
      </c>
      <c r="G143" s="56">
        <f t="shared" si="9"/>
        <v>0</v>
      </c>
      <c r="H143" s="54"/>
    </row>
    <row r="144" spans="1:8" x14ac:dyDescent="0.3">
      <c r="A144" s="36" t="s">
        <v>364</v>
      </c>
      <c r="B144" s="28" t="s">
        <v>911</v>
      </c>
      <c r="C144" s="34">
        <v>1000</v>
      </c>
      <c r="D144" s="34" t="s">
        <v>131</v>
      </c>
      <c r="E144" s="53"/>
      <c r="F144" s="34">
        <v>20</v>
      </c>
      <c r="G144" s="56">
        <f t="shared" si="9"/>
        <v>0</v>
      </c>
    </row>
    <row r="145" spans="1:8" x14ac:dyDescent="0.3">
      <c r="A145" s="36" t="s">
        <v>365</v>
      </c>
      <c r="B145" s="28" t="s">
        <v>912</v>
      </c>
      <c r="C145" s="34">
        <v>1000</v>
      </c>
      <c r="D145" s="34" t="s">
        <v>131</v>
      </c>
      <c r="E145" s="53"/>
      <c r="F145" s="34">
        <v>20</v>
      </c>
      <c r="G145" s="56">
        <f t="shared" si="9"/>
        <v>0</v>
      </c>
    </row>
    <row r="146" spans="1:8" x14ac:dyDescent="0.3">
      <c r="A146" s="36" t="s">
        <v>366</v>
      </c>
      <c r="B146" s="28" t="s">
        <v>913</v>
      </c>
      <c r="C146" s="34">
        <v>1000</v>
      </c>
      <c r="D146" s="34" t="s">
        <v>131</v>
      </c>
      <c r="E146" s="53"/>
      <c r="F146" s="34">
        <v>20</v>
      </c>
      <c r="G146" s="56">
        <f t="shared" si="9"/>
        <v>0</v>
      </c>
    </row>
    <row r="147" spans="1:8" x14ac:dyDescent="0.3">
      <c r="A147" s="36" t="s">
        <v>367</v>
      </c>
      <c r="B147" s="28" t="s">
        <v>914</v>
      </c>
      <c r="C147" s="34">
        <v>50</v>
      </c>
      <c r="D147" s="34" t="s">
        <v>131</v>
      </c>
      <c r="E147" s="53"/>
      <c r="F147" s="34">
        <v>20</v>
      </c>
      <c r="G147" s="56">
        <f t="shared" si="9"/>
        <v>0</v>
      </c>
    </row>
    <row r="148" spans="1:8" x14ac:dyDescent="0.3">
      <c r="A148" s="36" t="s">
        <v>368</v>
      </c>
      <c r="B148" s="28" t="s">
        <v>915</v>
      </c>
      <c r="C148" s="34">
        <v>50</v>
      </c>
      <c r="D148" s="34" t="s">
        <v>131</v>
      </c>
      <c r="E148" s="53"/>
      <c r="F148" s="34">
        <v>20</v>
      </c>
      <c r="G148" s="56">
        <f t="shared" si="9"/>
        <v>0</v>
      </c>
    </row>
    <row r="149" spans="1:8" x14ac:dyDescent="0.3">
      <c r="A149" s="36" t="s">
        <v>1012</v>
      </c>
      <c r="B149" s="28" t="s">
        <v>916</v>
      </c>
      <c r="C149" s="34">
        <v>50</v>
      </c>
      <c r="D149" s="34" t="s">
        <v>131</v>
      </c>
      <c r="E149" s="53"/>
      <c r="F149" s="34">
        <v>20</v>
      </c>
      <c r="G149" s="56">
        <f t="shared" si="9"/>
        <v>0</v>
      </c>
    </row>
    <row r="150" spans="1:8" x14ac:dyDescent="0.3">
      <c r="A150" s="33" t="s">
        <v>1013</v>
      </c>
      <c r="B150" s="20" t="s">
        <v>918</v>
      </c>
      <c r="C150" s="20"/>
      <c r="D150" s="20"/>
      <c r="E150" s="53"/>
      <c r="F150" s="20"/>
      <c r="G150" s="20"/>
      <c r="H150" s="57" t="s">
        <v>894</v>
      </c>
    </row>
    <row r="151" spans="1:8" x14ac:dyDescent="0.3">
      <c r="A151" s="36" t="s">
        <v>369</v>
      </c>
      <c r="B151" s="28" t="s">
        <v>219</v>
      </c>
      <c r="C151" s="61">
        <v>10000</v>
      </c>
      <c r="D151" s="34" t="s">
        <v>1122</v>
      </c>
      <c r="E151" s="53"/>
      <c r="F151" s="34">
        <v>1</v>
      </c>
      <c r="G151" s="56">
        <f>+C151*E151*F151</f>
        <v>0</v>
      </c>
    </row>
    <row r="152" spans="1:8" x14ac:dyDescent="0.3">
      <c r="A152" s="36" t="s">
        <v>370</v>
      </c>
      <c r="B152" s="28" t="s">
        <v>148</v>
      </c>
      <c r="C152" s="61">
        <v>20000</v>
      </c>
      <c r="D152" s="34" t="s">
        <v>1122</v>
      </c>
      <c r="E152" s="53"/>
      <c r="F152" s="34">
        <v>1</v>
      </c>
      <c r="G152" s="56">
        <f t="shared" ref="G152:G155" si="10">+C152*E152*F152</f>
        <v>0</v>
      </c>
    </row>
    <row r="153" spans="1:8" s="66" customFormat="1" x14ac:dyDescent="0.3">
      <c r="A153" s="36" t="s">
        <v>371</v>
      </c>
      <c r="B153" s="28" t="s">
        <v>220</v>
      </c>
      <c r="C153" s="61">
        <v>5000</v>
      </c>
      <c r="D153" s="34" t="s">
        <v>1122</v>
      </c>
      <c r="E153" s="53"/>
      <c r="F153" s="34">
        <v>1</v>
      </c>
      <c r="G153" s="56">
        <f t="shared" si="10"/>
        <v>0</v>
      </c>
      <c r="H153" s="65"/>
    </row>
    <row r="154" spans="1:8" x14ac:dyDescent="0.3">
      <c r="A154" s="36" t="s">
        <v>372</v>
      </c>
      <c r="B154" s="28" t="s">
        <v>128</v>
      </c>
      <c r="C154" s="61">
        <v>5000</v>
      </c>
      <c r="D154" s="34" t="s">
        <v>1122</v>
      </c>
      <c r="E154" s="53"/>
      <c r="F154" s="34">
        <v>1</v>
      </c>
      <c r="G154" s="56">
        <f t="shared" si="10"/>
        <v>0</v>
      </c>
    </row>
    <row r="155" spans="1:8" x14ac:dyDescent="0.3">
      <c r="A155" s="36" t="s">
        <v>373</v>
      </c>
      <c r="B155" s="28" t="s">
        <v>129</v>
      </c>
      <c r="C155" s="61">
        <v>20000</v>
      </c>
      <c r="D155" s="34" t="s">
        <v>1122</v>
      </c>
      <c r="E155" s="53"/>
      <c r="F155" s="34">
        <v>1</v>
      </c>
      <c r="G155" s="56">
        <f t="shared" si="10"/>
        <v>0</v>
      </c>
    </row>
    <row r="156" spans="1:8" x14ac:dyDescent="0.3">
      <c r="A156" s="84"/>
      <c r="B156" s="28"/>
      <c r="C156" s="61"/>
      <c r="D156" s="34"/>
      <c r="E156" s="53"/>
      <c r="F156" s="53"/>
      <c r="G156" s="78">
        <f>SUM(G115:G155)</f>
        <v>0</v>
      </c>
    </row>
    <row r="157" spans="1:8" x14ac:dyDescent="0.3">
      <c r="A157" s="104" t="s">
        <v>942</v>
      </c>
      <c r="B157" s="105"/>
      <c r="C157" s="105"/>
      <c r="D157" s="105"/>
      <c r="E157" s="105"/>
      <c r="F157" s="105"/>
      <c r="G157" s="106"/>
    </row>
    <row r="158" spans="1:8" x14ac:dyDescent="0.3">
      <c r="A158" s="33" t="s">
        <v>902</v>
      </c>
      <c r="B158" s="20" t="s">
        <v>932</v>
      </c>
      <c r="C158" s="20"/>
      <c r="D158" s="20"/>
      <c r="E158" s="20"/>
      <c r="F158" s="20"/>
      <c r="G158" s="20"/>
    </row>
    <row r="159" spans="1:8" x14ac:dyDescent="0.3">
      <c r="A159" s="36" t="s">
        <v>903</v>
      </c>
      <c r="B159" s="28" t="s">
        <v>977</v>
      </c>
      <c r="C159" s="34">
        <v>30</v>
      </c>
      <c r="D159" s="34" t="s">
        <v>226</v>
      </c>
      <c r="E159" s="53"/>
      <c r="F159" s="34">
        <v>30</v>
      </c>
      <c r="G159" s="56">
        <f>IF(ISNUMBER(E159),C159*E159*F159,0)</f>
        <v>0</v>
      </c>
    </row>
    <row r="160" spans="1:8" s="59" customFormat="1" x14ac:dyDescent="0.3">
      <c r="A160" s="36" t="s">
        <v>904</v>
      </c>
      <c r="B160" s="28" t="s">
        <v>978</v>
      </c>
      <c r="C160" s="34">
        <v>30</v>
      </c>
      <c r="D160" s="34" t="s">
        <v>226</v>
      </c>
      <c r="E160" s="53"/>
      <c r="F160" s="34">
        <v>30</v>
      </c>
      <c r="G160" s="56">
        <f t="shared" ref="G160:G168" si="11">IF(ISNUMBER(E160),C160*E160*F160,0)</f>
        <v>0</v>
      </c>
      <c r="H160" s="54"/>
    </row>
    <row r="161" spans="1:8" x14ac:dyDescent="0.3">
      <c r="A161" s="33" t="s">
        <v>905</v>
      </c>
      <c r="B161" s="20" t="s">
        <v>933</v>
      </c>
      <c r="C161" s="20"/>
      <c r="D161" s="20"/>
      <c r="E161" s="53"/>
      <c r="F161" s="20"/>
      <c r="G161" s="56">
        <f t="shared" si="11"/>
        <v>0</v>
      </c>
    </row>
    <row r="162" spans="1:8" x14ac:dyDescent="0.3">
      <c r="A162" s="36" t="s">
        <v>382</v>
      </c>
      <c r="B162" s="28" t="s">
        <v>977</v>
      </c>
      <c r="C162" s="34">
        <v>30</v>
      </c>
      <c r="D162" s="34" t="s">
        <v>226</v>
      </c>
      <c r="E162" s="53"/>
      <c r="F162" s="34">
        <v>30</v>
      </c>
      <c r="G162" s="56">
        <f t="shared" si="11"/>
        <v>0</v>
      </c>
    </row>
    <row r="163" spans="1:8" s="59" customFormat="1" x14ac:dyDescent="0.3">
      <c r="A163" s="36" t="s">
        <v>383</v>
      </c>
      <c r="B163" s="28" t="s">
        <v>978</v>
      </c>
      <c r="C163" s="34">
        <v>30</v>
      </c>
      <c r="D163" s="34" t="s">
        <v>226</v>
      </c>
      <c r="E163" s="53"/>
      <c r="F163" s="34">
        <v>30</v>
      </c>
      <c r="G163" s="56">
        <f t="shared" si="11"/>
        <v>0</v>
      </c>
      <c r="H163" s="54"/>
    </row>
    <row r="164" spans="1:8" x14ac:dyDescent="0.3">
      <c r="A164" s="33" t="s">
        <v>906</v>
      </c>
      <c r="B164" s="20" t="s">
        <v>934</v>
      </c>
      <c r="C164" s="34">
        <v>50</v>
      </c>
      <c r="D164" s="34" t="s">
        <v>12</v>
      </c>
      <c r="E164" s="53"/>
      <c r="F164" s="53"/>
      <c r="G164" s="56">
        <f>+C164*E164</f>
        <v>0</v>
      </c>
    </row>
    <row r="165" spans="1:8" x14ac:dyDescent="0.3">
      <c r="A165" s="33" t="s">
        <v>907</v>
      </c>
      <c r="B165" s="20" t="s">
        <v>138</v>
      </c>
      <c r="C165" s="34">
        <v>50</v>
      </c>
      <c r="D165" s="34" t="s">
        <v>131</v>
      </c>
      <c r="E165" s="53"/>
      <c r="F165" s="34">
        <v>60</v>
      </c>
      <c r="G165" s="56">
        <f>IF(ISNUMBER(E165),C165*E165*F165,0)</f>
        <v>0</v>
      </c>
    </row>
    <row r="166" spans="1:8" x14ac:dyDescent="0.3">
      <c r="A166" s="33" t="s">
        <v>908</v>
      </c>
      <c r="B166" s="20" t="s">
        <v>139</v>
      </c>
      <c r="C166" s="34">
        <v>1000</v>
      </c>
      <c r="D166" s="34" t="s">
        <v>131</v>
      </c>
      <c r="E166" s="53"/>
      <c r="F166" s="34">
        <v>60</v>
      </c>
      <c r="G166" s="56">
        <f t="shared" si="11"/>
        <v>0</v>
      </c>
    </row>
    <row r="167" spans="1:8" x14ac:dyDescent="0.3">
      <c r="A167" s="33" t="s">
        <v>1014</v>
      </c>
      <c r="B167" s="79" t="s">
        <v>140</v>
      </c>
      <c r="C167" s="34">
        <v>50</v>
      </c>
      <c r="D167" s="34" t="s">
        <v>131</v>
      </c>
      <c r="E167" s="53"/>
      <c r="F167" s="34">
        <v>60</v>
      </c>
      <c r="G167" s="56">
        <f t="shared" si="11"/>
        <v>0</v>
      </c>
    </row>
    <row r="168" spans="1:8" x14ac:dyDescent="0.3">
      <c r="A168" s="33" t="s">
        <v>1015</v>
      </c>
      <c r="B168" s="79" t="s">
        <v>917</v>
      </c>
      <c r="C168" s="34">
        <v>50</v>
      </c>
      <c r="D168" s="34" t="s">
        <v>131</v>
      </c>
      <c r="E168" s="53"/>
      <c r="F168" s="34">
        <v>60</v>
      </c>
      <c r="G168" s="56">
        <f t="shared" si="11"/>
        <v>0</v>
      </c>
    </row>
    <row r="169" spans="1:8" x14ac:dyDescent="0.3">
      <c r="A169" s="33"/>
      <c r="B169" s="79"/>
      <c r="C169" s="34"/>
      <c r="D169" s="34"/>
      <c r="E169" s="53"/>
      <c r="F169" s="53"/>
      <c r="G169" s="78">
        <f>SUM(G159:G168)</f>
        <v>0</v>
      </c>
    </row>
    <row r="170" spans="1:8" x14ac:dyDescent="0.3">
      <c r="A170" s="33"/>
      <c r="B170" s="20"/>
      <c r="C170" s="34"/>
      <c r="D170" s="34"/>
      <c r="E170" s="53"/>
      <c r="F170" s="53"/>
      <c r="G170" s="56"/>
    </row>
    <row r="171" spans="1:8" x14ac:dyDescent="0.3">
      <c r="A171" s="33" t="s">
        <v>1016</v>
      </c>
      <c r="B171" s="17" t="s">
        <v>945</v>
      </c>
      <c r="C171" s="61">
        <v>0</v>
      </c>
      <c r="D171" s="47" t="s">
        <v>222</v>
      </c>
      <c r="E171" s="53"/>
      <c r="F171" s="53" t="s">
        <v>1123</v>
      </c>
      <c r="G171" s="78">
        <f>IF(ISNUMBER(E171),C171*E171,0)</f>
        <v>0</v>
      </c>
    </row>
    <row r="172" spans="1:8" x14ac:dyDescent="0.3">
      <c r="A172" s="85"/>
      <c r="B172" s="13"/>
      <c r="C172" s="47"/>
      <c r="D172" s="47"/>
      <c r="E172" s="53"/>
      <c r="F172" s="53"/>
      <c r="G172" s="49"/>
    </row>
    <row r="173" spans="1:8" x14ac:dyDescent="0.3">
      <c r="A173" s="100" t="s">
        <v>1019</v>
      </c>
      <c r="B173" s="101"/>
      <c r="C173" s="101"/>
      <c r="D173" s="101"/>
      <c r="E173" s="101"/>
      <c r="F173" s="102"/>
      <c r="G173" s="81">
        <f>+G171+G169+G156+G112+G92+G29</f>
        <v>0</v>
      </c>
      <c r="H173" s="58"/>
    </row>
    <row r="174" spans="1:8" x14ac:dyDescent="0.3">
      <c r="A174" s="86"/>
      <c r="B174" s="58"/>
      <c r="C174" s="58"/>
      <c r="D174" s="58"/>
      <c r="E174" s="58"/>
      <c r="F174" s="58"/>
      <c r="G174" s="71"/>
      <c r="H174" s="58"/>
    </row>
    <row r="175" spans="1:8" x14ac:dyDescent="0.3">
      <c r="G175" s="70"/>
    </row>
    <row r="176" spans="1:8" x14ac:dyDescent="0.3">
      <c r="G176" s="70"/>
    </row>
    <row r="179" spans="7:7" x14ac:dyDescent="0.3">
      <c r="G179" s="67"/>
    </row>
  </sheetData>
  <protectedRanges>
    <protectedRange sqref="E158:F158 F127 F164 F123 F137:F140 F166 F169:F171 E156:F156 F150:F155 F119 E119:E155 E159:E171 E1:F118" name="Unit Prices"/>
    <protectedRange sqref="B4:B29 B94:B113 B115:B156 B158:B171 B31:B92" name="Description"/>
    <protectedRange sqref="F124:F126" name="Unit Prices_1"/>
  </protectedRanges>
  <mergeCells count="6">
    <mergeCell ref="A173:F173"/>
    <mergeCell ref="A3:G3"/>
    <mergeCell ref="A30:G30"/>
    <mergeCell ref="A93:G93"/>
    <mergeCell ref="A113:G113"/>
    <mergeCell ref="A157:G157"/>
  </mergeCells>
  <pageMargins left="0.45" right="0.45" top="0.5" bottom="0.5" header="0.05" footer="0.05"/>
  <pageSetup scale="60" fitToHeight="7" orientation="landscape" r:id="rId1"/>
  <headerFooter>
    <oddHeader>&amp;LRCTSD VIPR&amp;COPTION YEAR 1</oddHeader>
    <oddFooter>&amp;C&amp;P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F2CC-E973-4673-A4C3-90106A97267F}">
  <sheetPr>
    <pageSetUpPr fitToPage="1"/>
  </sheetPr>
  <dimension ref="A1:H179"/>
  <sheetViews>
    <sheetView tabSelected="1" topLeftCell="B1" zoomScaleNormal="100" workbookViewId="0">
      <pane ySplit="1" topLeftCell="A150" activePane="bottomLeft" state="frozen"/>
      <selection activeCell="A4" sqref="A4:C4"/>
      <selection pane="bottomLeft" activeCell="B156" sqref="B156"/>
    </sheetView>
  </sheetViews>
  <sheetFormatPr defaultColWidth="9.109375" defaultRowHeight="14.4" x14ac:dyDescent="0.3"/>
  <cols>
    <col min="1" max="1" width="9.6640625" style="62" customWidth="1"/>
    <col min="2" max="2" width="119.6640625" style="64" customWidth="1"/>
    <col min="3" max="3" width="11.44140625" style="57" customWidth="1"/>
    <col min="4" max="4" width="20.88671875" style="57" customWidth="1"/>
    <col min="5" max="5" width="13" style="63" customWidth="1"/>
    <col min="6" max="6" width="11" style="63" customWidth="1"/>
    <col min="7" max="7" width="16.88671875" style="68" customWidth="1"/>
    <col min="8" max="8" width="10.5546875" style="57" customWidth="1"/>
    <col min="9" max="16384" width="9.109375" style="58"/>
  </cols>
  <sheetData>
    <row r="1" spans="1:8" s="57" customFormat="1" x14ac:dyDescent="0.3">
      <c r="A1" s="72" t="s">
        <v>1</v>
      </c>
      <c r="B1" s="73" t="s">
        <v>2</v>
      </c>
      <c r="C1" s="73" t="s">
        <v>3</v>
      </c>
      <c r="D1" s="74" t="s">
        <v>4</v>
      </c>
      <c r="E1" s="75" t="s">
        <v>5</v>
      </c>
      <c r="F1" s="75" t="s">
        <v>976</v>
      </c>
      <c r="G1" s="73" t="s">
        <v>6</v>
      </c>
      <c r="H1" s="69" t="s">
        <v>888</v>
      </c>
    </row>
    <row r="2" spans="1:8" s="57" customFormat="1" x14ac:dyDescent="0.3">
      <c r="A2" s="76" t="s">
        <v>944</v>
      </c>
      <c r="B2" s="73"/>
      <c r="C2" s="73"/>
      <c r="D2" s="74"/>
      <c r="E2" s="75"/>
      <c r="F2" s="75"/>
      <c r="G2" s="73"/>
      <c r="H2" s="69"/>
    </row>
    <row r="3" spans="1:8" s="57" customFormat="1" x14ac:dyDescent="0.3">
      <c r="A3" s="103" t="s">
        <v>943</v>
      </c>
      <c r="B3" s="103"/>
      <c r="C3" s="103"/>
      <c r="D3" s="103"/>
      <c r="E3" s="103"/>
      <c r="F3" s="103"/>
      <c r="G3" s="103"/>
    </row>
    <row r="4" spans="1:8" x14ac:dyDescent="0.3">
      <c r="A4" s="77" t="s">
        <v>1023</v>
      </c>
      <c r="B4" s="20" t="s">
        <v>920</v>
      </c>
      <c r="C4" s="20"/>
      <c r="D4" s="20"/>
      <c r="E4" s="20"/>
      <c r="F4" s="20"/>
      <c r="G4" s="20"/>
      <c r="H4" s="57" t="s">
        <v>889</v>
      </c>
    </row>
    <row r="5" spans="1:8" x14ac:dyDescent="0.3">
      <c r="A5" s="36" t="s">
        <v>400</v>
      </c>
      <c r="B5" s="28" t="s">
        <v>22</v>
      </c>
      <c r="C5" s="34">
        <v>250</v>
      </c>
      <c r="D5" s="34" t="s">
        <v>937</v>
      </c>
      <c r="E5" s="53"/>
      <c r="F5" s="53" t="s">
        <v>1123</v>
      </c>
      <c r="G5" s="56">
        <f>IF(ISNUMBER(E5),C5*E5,0)</f>
        <v>0</v>
      </c>
    </row>
    <row r="6" spans="1:8" x14ac:dyDescent="0.3">
      <c r="A6" s="36" t="s">
        <v>401</v>
      </c>
      <c r="B6" s="28" t="s">
        <v>24</v>
      </c>
      <c r="C6" s="34">
        <v>500</v>
      </c>
      <c r="D6" s="34" t="s">
        <v>937</v>
      </c>
      <c r="E6" s="53"/>
      <c r="F6" s="53" t="s">
        <v>1123</v>
      </c>
      <c r="G6" s="56">
        <f>IF(ISNUMBER(E6),C6*E6,0)</f>
        <v>0</v>
      </c>
    </row>
    <row r="7" spans="1:8" x14ac:dyDescent="0.3">
      <c r="A7" s="36" t="s">
        <v>402</v>
      </c>
      <c r="B7" s="28" t="s">
        <v>25</v>
      </c>
      <c r="C7" s="34">
        <v>200</v>
      </c>
      <c r="D7" s="34" t="s">
        <v>937</v>
      </c>
      <c r="E7" s="53"/>
      <c r="F7" s="53" t="s">
        <v>1123</v>
      </c>
      <c r="G7" s="56">
        <f>IF(ISNUMBER(E7),C7*E7,0)</f>
        <v>0</v>
      </c>
    </row>
    <row r="8" spans="1:8" x14ac:dyDescent="0.3">
      <c r="A8" s="36" t="s">
        <v>403</v>
      </c>
      <c r="B8" s="28" t="s">
        <v>26</v>
      </c>
      <c r="C8" s="34">
        <v>500</v>
      </c>
      <c r="D8" s="34" t="s">
        <v>937</v>
      </c>
      <c r="E8" s="53"/>
      <c r="F8" s="53" t="s">
        <v>1123</v>
      </c>
      <c r="G8" s="56">
        <f>IF(ISNUMBER(E8),C8*E8,0)</f>
        <v>0</v>
      </c>
    </row>
    <row r="9" spans="1:8" s="59" customFormat="1" x14ac:dyDescent="0.3">
      <c r="A9" s="33" t="s">
        <v>1024</v>
      </c>
      <c r="B9" s="20" t="s">
        <v>921</v>
      </c>
      <c r="C9" s="20"/>
      <c r="D9" s="20"/>
      <c r="E9" s="53"/>
      <c r="F9" s="20"/>
      <c r="G9" s="20"/>
      <c r="H9" s="54" t="s">
        <v>891</v>
      </c>
    </row>
    <row r="10" spans="1:8" x14ac:dyDescent="0.3">
      <c r="A10" s="36" t="s">
        <v>404</v>
      </c>
      <c r="B10" s="28" t="s">
        <v>114</v>
      </c>
      <c r="C10" s="34">
        <v>1000</v>
      </c>
      <c r="D10" s="34" t="s">
        <v>937</v>
      </c>
      <c r="E10" s="53"/>
      <c r="F10" s="53" t="s">
        <v>1123</v>
      </c>
      <c r="G10" s="56">
        <f>IF(ISNUMBER(E10),C10*E10,0)</f>
        <v>0</v>
      </c>
    </row>
    <row r="11" spans="1:8" x14ac:dyDescent="0.3">
      <c r="A11" s="36" t="s">
        <v>405</v>
      </c>
      <c r="B11" s="28" t="s">
        <v>116</v>
      </c>
      <c r="C11" s="34">
        <v>2500</v>
      </c>
      <c r="D11" s="34" t="s">
        <v>937</v>
      </c>
      <c r="E11" s="53"/>
      <c r="F11" s="53" t="s">
        <v>1123</v>
      </c>
      <c r="G11" s="56">
        <f>IF(ISNUMBER(E11),C11*E11,0)</f>
        <v>0</v>
      </c>
    </row>
    <row r="12" spans="1:8" x14ac:dyDescent="0.3">
      <c r="A12" s="33" t="s">
        <v>1025</v>
      </c>
      <c r="B12" s="20" t="s">
        <v>949</v>
      </c>
      <c r="C12" s="20"/>
      <c r="D12" s="20"/>
      <c r="E12" s="53"/>
      <c r="F12" s="20"/>
      <c r="G12" s="20"/>
      <c r="H12" s="54" t="s">
        <v>891</v>
      </c>
    </row>
    <row r="13" spans="1:8" x14ac:dyDescent="0.3">
      <c r="A13" s="36" t="s">
        <v>408</v>
      </c>
      <c r="B13" s="28" t="s">
        <v>124</v>
      </c>
      <c r="C13" s="34">
        <v>1000</v>
      </c>
      <c r="D13" s="34" t="s">
        <v>937</v>
      </c>
      <c r="E13" s="53"/>
      <c r="F13" s="53" t="s">
        <v>1123</v>
      </c>
      <c r="G13" s="56">
        <f>IF(ISNUMBER(E13),C13*E13,0)</f>
        <v>0</v>
      </c>
    </row>
    <row r="14" spans="1:8" x14ac:dyDescent="0.3">
      <c r="A14" s="36" t="s">
        <v>409</v>
      </c>
      <c r="B14" s="28" t="s">
        <v>126</v>
      </c>
      <c r="C14" s="34">
        <v>2500</v>
      </c>
      <c r="D14" s="34" t="s">
        <v>937</v>
      </c>
      <c r="E14" s="53"/>
      <c r="F14" s="53" t="s">
        <v>1123</v>
      </c>
      <c r="G14" s="56">
        <f>IF(ISNUMBER(E14),C14*E14,0)</f>
        <v>0</v>
      </c>
    </row>
    <row r="15" spans="1:8" s="59" customFormat="1" x14ac:dyDescent="0.3">
      <c r="A15" s="33" t="s">
        <v>1026</v>
      </c>
      <c r="B15" s="20" t="s">
        <v>922</v>
      </c>
      <c r="C15" s="20"/>
      <c r="D15" s="20"/>
      <c r="E15" s="53"/>
      <c r="F15" s="20"/>
      <c r="G15" s="20"/>
      <c r="H15" s="54" t="s">
        <v>1075</v>
      </c>
    </row>
    <row r="16" spans="1:8" x14ac:dyDescent="0.3">
      <c r="A16" s="36" t="s">
        <v>412</v>
      </c>
      <c r="B16" s="28" t="s">
        <v>160</v>
      </c>
      <c r="C16" s="34">
        <v>1000</v>
      </c>
      <c r="D16" s="34" t="s">
        <v>937</v>
      </c>
      <c r="E16" s="53"/>
      <c r="F16" s="53" t="s">
        <v>1123</v>
      </c>
      <c r="G16" s="56">
        <f>IF(ISNUMBER(E16),C16*E16,0)</f>
        <v>0</v>
      </c>
    </row>
    <row r="17" spans="1:8" x14ac:dyDescent="0.3">
      <c r="A17" s="36" t="s">
        <v>413</v>
      </c>
      <c r="B17" s="28" t="s">
        <v>162</v>
      </c>
      <c r="C17" s="34">
        <v>2500</v>
      </c>
      <c r="D17" s="34" t="s">
        <v>937</v>
      </c>
      <c r="E17" s="53"/>
      <c r="F17" s="53" t="s">
        <v>1123</v>
      </c>
      <c r="G17" s="56">
        <f>IF(ISNUMBER(E17),C17*E17,0)</f>
        <v>0</v>
      </c>
    </row>
    <row r="18" spans="1:8" x14ac:dyDescent="0.3">
      <c r="A18" s="33" t="s">
        <v>1027</v>
      </c>
      <c r="B18" s="20" t="s">
        <v>923</v>
      </c>
      <c r="C18" s="20"/>
      <c r="D18" s="20"/>
      <c r="E18" s="53"/>
      <c r="F18" s="20"/>
      <c r="G18" s="20"/>
      <c r="H18" s="57" t="s">
        <v>889</v>
      </c>
    </row>
    <row r="19" spans="1:8" x14ac:dyDescent="0.3">
      <c r="A19" s="36" t="s">
        <v>416</v>
      </c>
      <c r="B19" s="28" t="s">
        <v>22</v>
      </c>
      <c r="C19" s="34">
        <v>100</v>
      </c>
      <c r="D19" s="34" t="s">
        <v>937</v>
      </c>
      <c r="E19" s="53"/>
      <c r="F19" s="53" t="s">
        <v>1123</v>
      </c>
      <c r="G19" s="56">
        <f>IF(ISNUMBER(E19),C19*E19,0)</f>
        <v>0</v>
      </c>
    </row>
    <row r="20" spans="1:8" x14ac:dyDescent="0.3">
      <c r="A20" s="36" t="s">
        <v>417</v>
      </c>
      <c r="B20" s="28" t="s">
        <v>24</v>
      </c>
      <c r="C20" s="34">
        <v>100</v>
      </c>
      <c r="D20" s="34" t="s">
        <v>937</v>
      </c>
      <c r="E20" s="53"/>
      <c r="F20" s="53" t="s">
        <v>1123</v>
      </c>
      <c r="G20" s="56">
        <f>IF(ISNUMBER(E20),C20*E20,0)</f>
        <v>0</v>
      </c>
    </row>
    <row r="21" spans="1:8" x14ac:dyDescent="0.3">
      <c r="A21" s="36" t="s">
        <v>418</v>
      </c>
      <c r="B21" s="28" t="s">
        <v>25</v>
      </c>
      <c r="C21" s="34">
        <v>100</v>
      </c>
      <c r="D21" s="34" t="s">
        <v>937</v>
      </c>
      <c r="E21" s="53"/>
      <c r="F21" s="53" t="s">
        <v>1123</v>
      </c>
      <c r="G21" s="56">
        <f>IF(ISNUMBER(E21),C21*E21,0)</f>
        <v>0</v>
      </c>
    </row>
    <row r="22" spans="1:8" x14ac:dyDescent="0.3">
      <c r="A22" s="36" t="s">
        <v>419</v>
      </c>
      <c r="B22" s="28" t="s">
        <v>26</v>
      </c>
      <c r="C22" s="34">
        <v>100</v>
      </c>
      <c r="D22" s="34" t="s">
        <v>937</v>
      </c>
      <c r="E22" s="53"/>
      <c r="F22" s="53" t="s">
        <v>1123</v>
      </c>
      <c r="G22" s="56">
        <f>IF(ISNUMBER(E22),C22*E22,0)</f>
        <v>0</v>
      </c>
    </row>
    <row r="23" spans="1:8" x14ac:dyDescent="0.3">
      <c r="A23" s="33" t="s">
        <v>1028</v>
      </c>
      <c r="B23" s="20" t="s">
        <v>924</v>
      </c>
      <c r="C23" s="20"/>
      <c r="D23" s="20"/>
      <c r="E23" s="53"/>
      <c r="F23" s="20"/>
      <c r="G23" s="20"/>
      <c r="H23" s="54" t="s">
        <v>891</v>
      </c>
    </row>
    <row r="24" spans="1:8" x14ac:dyDescent="0.3">
      <c r="A24" s="36" t="s">
        <v>420</v>
      </c>
      <c r="B24" s="28" t="s">
        <v>114</v>
      </c>
      <c r="C24" s="34">
        <v>10</v>
      </c>
      <c r="D24" s="34" t="s">
        <v>937</v>
      </c>
      <c r="E24" s="53"/>
      <c r="F24" s="53" t="s">
        <v>1123</v>
      </c>
      <c r="G24" s="56">
        <f>IF(ISNUMBER(E24),C24*E24,0)</f>
        <v>0</v>
      </c>
    </row>
    <row r="25" spans="1:8" x14ac:dyDescent="0.3">
      <c r="A25" s="36" t="s">
        <v>421</v>
      </c>
      <c r="B25" s="28" t="s">
        <v>116</v>
      </c>
      <c r="C25" s="34">
        <v>10</v>
      </c>
      <c r="D25" s="34" t="s">
        <v>937</v>
      </c>
      <c r="E25" s="53"/>
      <c r="F25" s="53" t="s">
        <v>1123</v>
      </c>
      <c r="G25" s="56">
        <f>IF(ISNUMBER(E25),C25*E25,0)</f>
        <v>0</v>
      </c>
    </row>
    <row r="26" spans="1:8" ht="15" customHeight="1" x14ac:dyDescent="0.3">
      <c r="A26" s="33" t="s">
        <v>1029</v>
      </c>
      <c r="B26" s="20" t="s">
        <v>925</v>
      </c>
      <c r="C26" s="20"/>
      <c r="D26" s="20"/>
      <c r="E26" s="53"/>
      <c r="F26" s="20"/>
      <c r="G26" s="20"/>
      <c r="H26" s="57" t="s">
        <v>1075</v>
      </c>
    </row>
    <row r="27" spans="1:8" x14ac:dyDescent="0.3">
      <c r="A27" s="36" t="s">
        <v>424</v>
      </c>
      <c r="B27" s="28" t="s">
        <v>160</v>
      </c>
      <c r="C27" s="34">
        <v>10</v>
      </c>
      <c r="D27" s="34" t="s">
        <v>937</v>
      </c>
      <c r="E27" s="53"/>
      <c r="F27" s="53" t="s">
        <v>1123</v>
      </c>
      <c r="G27" s="56">
        <f>IF(ISNUMBER(E27),C27*E27,0)</f>
        <v>0</v>
      </c>
    </row>
    <row r="28" spans="1:8" x14ac:dyDescent="0.3">
      <c r="A28" s="36" t="s">
        <v>425</v>
      </c>
      <c r="B28" s="28" t="s">
        <v>162</v>
      </c>
      <c r="C28" s="34">
        <v>10</v>
      </c>
      <c r="D28" s="34" t="s">
        <v>937</v>
      </c>
      <c r="E28" s="53"/>
      <c r="F28" s="53" t="s">
        <v>1123</v>
      </c>
      <c r="G28" s="56">
        <f>IF(ISNUMBER(E28),C28*E28,0)</f>
        <v>0</v>
      </c>
    </row>
    <row r="29" spans="1:8" x14ac:dyDescent="0.3">
      <c r="A29" s="36"/>
      <c r="B29" s="28"/>
      <c r="C29" s="34"/>
      <c r="D29" s="34"/>
      <c r="E29" s="53"/>
      <c r="F29" s="53"/>
      <c r="G29" s="78">
        <f>SUM(G5:G28)</f>
        <v>0</v>
      </c>
    </row>
    <row r="30" spans="1:8" x14ac:dyDescent="0.3">
      <c r="A30" s="103" t="s">
        <v>919</v>
      </c>
      <c r="B30" s="103"/>
      <c r="C30" s="103"/>
      <c r="D30" s="103"/>
      <c r="E30" s="103"/>
      <c r="F30" s="103"/>
      <c r="G30" s="103"/>
    </row>
    <row r="31" spans="1:8" x14ac:dyDescent="0.3">
      <c r="A31" s="33" t="s">
        <v>1030</v>
      </c>
      <c r="B31" s="20" t="s">
        <v>926</v>
      </c>
      <c r="C31" s="20"/>
      <c r="D31" s="20"/>
      <c r="E31" s="20"/>
      <c r="F31" s="20"/>
      <c r="G31" s="20"/>
      <c r="H31" s="57" t="s">
        <v>1074</v>
      </c>
    </row>
    <row r="32" spans="1:8" x14ac:dyDescent="0.3">
      <c r="A32" s="36" t="s">
        <v>428</v>
      </c>
      <c r="B32" s="28" t="s">
        <v>34</v>
      </c>
      <c r="C32" s="34">
        <v>250</v>
      </c>
      <c r="D32" s="50" t="s">
        <v>937</v>
      </c>
      <c r="E32" s="53"/>
      <c r="F32" s="53" t="s">
        <v>1123</v>
      </c>
      <c r="G32" s="56">
        <f>IF(ISNUMBER(E32),C32*E32,0)</f>
        <v>0</v>
      </c>
    </row>
    <row r="33" spans="1:8" x14ac:dyDescent="0.3">
      <c r="A33" s="36" t="s">
        <v>429</v>
      </c>
      <c r="B33" s="28" t="s">
        <v>36</v>
      </c>
      <c r="C33" s="34">
        <v>1000</v>
      </c>
      <c r="D33" s="50" t="s">
        <v>937</v>
      </c>
      <c r="E33" s="53"/>
      <c r="F33" s="53" t="s">
        <v>1123</v>
      </c>
      <c r="G33" s="56">
        <f>IF(ISNUMBER(E33),C33*E33,0)</f>
        <v>0</v>
      </c>
    </row>
    <row r="34" spans="1:8" x14ac:dyDescent="0.3">
      <c r="A34" s="36" t="s">
        <v>430</v>
      </c>
      <c r="B34" s="28" t="s">
        <v>37</v>
      </c>
      <c r="C34" s="34">
        <v>200</v>
      </c>
      <c r="D34" s="50" t="s">
        <v>937</v>
      </c>
      <c r="E34" s="53"/>
      <c r="F34" s="53" t="s">
        <v>1123</v>
      </c>
      <c r="G34" s="56">
        <f>IF(ISNUMBER(E34),C34*E34,0)</f>
        <v>0</v>
      </c>
    </row>
    <row r="35" spans="1:8" x14ac:dyDescent="0.3">
      <c r="A35" s="36" t="s">
        <v>431</v>
      </c>
      <c r="B35" s="28" t="s">
        <v>38</v>
      </c>
      <c r="C35" s="34">
        <v>50</v>
      </c>
      <c r="D35" s="50" t="s">
        <v>937</v>
      </c>
      <c r="E35" s="53"/>
      <c r="F35" s="53" t="s">
        <v>1123</v>
      </c>
      <c r="G35" s="56">
        <f>IF(ISNUMBER(E35),C35*E35,0)</f>
        <v>0</v>
      </c>
    </row>
    <row r="36" spans="1:8" x14ac:dyDescent="0.3">
      <c r="A36" s="33" t="s">
        <v>1031</v>
      </c>
      <c r="B36" s="20" t="s">
        <v>927</v>
      </c>
      <c r="C36" s="20"/>
      <c r="D36" s="20"/>
      <c r="E36" s="53"/>
      <c r="F36" s="20"/>
      <c r="G36" s="20"/>
      <c r="H36" s="57" t="s">
        <v>1074</v>
      </c>
    </row>
    <row r="37" spans="1:8" x14ac:dyDescent="0.3">
      <c r="A37" s="36" t="s">
        <v>432</v>
      </c>
      <c r="B37" s="28" t="s">
        <v>42</v>
      </c>
      <c r="C37" s="34">
        <v>250</v>
      </c>
      <c r="D37" s="50" t="s">
        <v>937</v>
      </c>
      <c r="E37" s="53"/>
      <c r="F37" s="53" t="s">
        <v>1123</v>
      </c>
      <c r="G37" s="56">
        <f>IF(ISNUMBER(E37),C37*E37,0)</f>
        <v>0</v>
      </c>
    </row>
    <row r="38" spans="1:8" x14ac:dyDescent="0.3">
      <c r="A38" s="36" t="s">
        <v>433</v>
      </c>
      <c r="B38" s="28" t="s">
        <v>44</v>
      </c>
      <c r="C38" s="34">
        <v>1000</v>
      </c>
      <c r="D38" s="50" t="s">
        <v>937</v>
      </c>
      <c r="E38" s="53"/>
      <c r="F38" s="53" t="s">
        <v>1123</v>
      </c>
      <c r="G38" s="56">
        <f>IF(ISNUMBER(E38),C38*E38,0)</f>
        <v>0</v>
      </c>
    </row>
    <row r="39" spans="1:8" x14ac:dyDescent="0.3">
      <c r="A39" s="36" t="s">
        <v>434</v>
      </c>
      <c r="B39" s="28" t="s">
        <v>46</v>
      </c>
      <c r="C39" s="34">
        <v>200</v>
      </c>
      <c r="D39" s="50" t="s">
        <v>937</v>
      </c>
      <c r="E39" s="53"/>
      <c r="F39" s="53" t="s">
        <v>1123</v>
      </c>
      <c r="G39" s="56">
        <f>IF(ISNUMBER(E39),C39*E39,0)</f>
        <v>0</v>
      </c>
    </row>
    <row r="40" spans="1:8" x14ac:dyDescent="0.3">
      <c r="A40" s="36" t="s">
        <v>435</v>
      </c>
      <c r="B40" s="28" t="s">
        <v>887</v>
      </c>
      <c r="C40" s="34">
        <v>50</v>
      </c>
      <c r="D40" s="50" t="s">
        <v>937</v>
      </c>
      <c r="E40" s="53"/>
      <c r="F40" s="53" t="s">
        <v>1123</v>
      </c>
      <c r="G40" s="56">
        <f>IF(ISNUMBER(E40),C40*E40,0)</f>
        <v>0</v>
      </c>
    </row>
    <row r="41" spans="1:8" x14ac:dyDescent="0.3">
      <c r="A41" s="33" t="s">
        <v>866</v>
      </c>
      <c r="B41" s="20" t="s">
        <v>951</v>
      </c>
      <c r="C41" s="20"/>
      <c r="D41" s="20"/>
      <c r="E41" s="53"/>
      <c r="F41" s="20"/>
      <c r="G41" s="20"/>
      <c r="H41" s="57" t="s">
        <v>1073</v>
      </c>
    </row>
    <row r="42" spans="1:8" x14ac:dyDescent="0.3">
      <c r="A42" s="36" t="s">
        <v>867</v>
      </c>
      <c r="B42" s="28" t="s">
        <v>34</v>
      </c>
      <c r="C42" s="34">
        <v>1</v>
      </c>
      <c r="D42" s="50" t="s">
        <v>52</v>
      </c>
      <c r="E42" s="53"/>
      <c r="F42" s="34">
        <v>30</v>
      </c>
      <c r="G42" s="56">
        <f>+C42*E42*F42</f>
        <v>0</v>
      </c>
    </row>
    <row r="43" spans="1:8" x14ac:dyDescent="0.3">
      <c r="A43" s="36" t="s">
        <v>868</v>
      </c>
      <c r="B43" s="28" t="s">
        <v>36</v>
      </c>
      <c r="C43" s="34">
        <v>1</v>
      </c>
      <c r="D43" s="50" t="s">
        <v>52</v>
      </c>
      <c r="E43" s="53"/>
      <c r="F43" s="34">
        <v>30</v>
      </c>
      <c r="G43" s="56">
        <f t="shared" ref="G43:G45" si="0">+C43*E43*F43</f>
        <v>0</v>
      </c>
    </row>
    <row r="44" spans="1:8" x14ac:dyDescent="0.3">
      <c r="A44" s="36" t="s">
        <v>869</v>
      </c>
      <c r="B44" s="28" t="s">
        <v>37</v>
      </c>
      <c r="C44" s="34">
        <v>1</v>
      </c>
      <c r="D44" s="50" t="s">
        <v>52</v>
      </c>
      <c r="E44" s="53"/>
      <c r="F44" s="34">
        <v>30</v>
      </c>
      <c r="G44" s="56">
        <f t="shared" si="0"/>
        <v>0</v>
      </c>
    </row>
    <row r="45" spans="1:8" x14ac:dyDescent="0.3">
      <c r="A45" s="36" t="s">
        <v>870</v>
      </c>
      <c r="B45" s="28" t="s">
        <v>38</v>
      </c>
      <c r="C45" s="34">
        <v>1</v>
      </c>
      <c r="D45" s="50" t="s">
        <v>52</v>
      </c>
      <c r="E45" s="53"/>
      <c r="F45" s="34">
        <v>30</v>
      </c>
      <c r="G45" s="56">
        <f t="shared" si="0"/>
        <v>0</v>
      </c>
    </row>
    <row r="46" spans="1:8" ht="28.8" x14ac:dyDescent="0.3">
      <c r="A46" s="33" t="s">
        <v>1032</v>
      </c>
      <c r="B46" s="20" t="s">
        <v>952</v>
      </c>
      <c r="C46" s="20"/>
      <c r="D46" s="20"/>
      <c r="E46" s="53"/>
      <c r="F46" s="20"/>
      <c r="G46" s="20"/>
      <c r="H46" s="57" t="s">
        <v>1073</v>
      </c>
    </row>
    <row r="47" spans="1:8" x14ac:dyDescent="0.3">
      <c r="A47" s="36" t="s">
        <v>438</v>
      </c>
      <c r="B47" s="28" t="s">
        <v>42</v>
      </c>
      <c r="C47" s="34">
        <v>1</v>
      </c>
      <c r="D47" s="50" t="s">
        <v>52</v>
      </c>
      <c r="E47" s="53"/>
      <c r="F47" s="34">
        <v>30</v>
      </c>
      <c r="G47" s="56">
        <f>+C47*E47*F47</f>
        <v>0</v>
      </c>
    </row>
    <row r="48" spans="1:8" x14ac:dyDescent="0.3">
      <c r="A48" s="36" t="s">
        <v>439</v>
      </c>
      <c r="B48" s="28" t="s">
        <v>44</v>
      </c>
      <c r="C48" s="34">
        <v>1</v>
      </c>
      <c r="D48" s="50" t="s">
        <v>52</v>
      </c>
      <c r="E48" s="53"/>
      <c r="F48" s="34">
        <v>30</v>
      </c>
      <c r="G48" s="56">
        <f t="shared" ref="G48:G50" si="1">+C48*E48*F48</f>
        <v>0</v>
      </c>
    </row>
    <row r="49" spans="1:8" x14ac:dyDescent="0.3">
      <c r="A49" s="36" t="s">
        <v>440</v>
      </c>
      <c r="B49" s="28" t="s">
        <v>46</v>
      </c>
      <c r="C49" s="34">
        <v>1</v>
      </c>
      <c r="D49" s="50" t="s">
        <v>52</v>
      </c>
      <c r="E49" s="53"/>
      <c r="F49" s="34">
        <v>30</v>
      </c>
      <c r="G49" s="56">
        <f t="shared" si="1"/>
        <v>0</v>
      </c>
    </row>
    <row r="50" spans="1:8" x14ac:dyDescent="0.3">
      <c r="A50" s="36" t="s">
        <v>441</v>
      </c>
      <c r="B50" s="28" t="s">
        <v>48</v>
      </c>
      <c r="C50" s="34">
        <v>1</v>
      </c>
      <c r="D50" s="50" t="s">
        <v>52</v>
      </c>
      <c r="E50" s="53"/>
      <c r="F50" s="34">
        <v>30</v>
      </c>
      <c r="G50" s="56">
        <f t="shared" si="1"/>
        <v>0</v>
      </c>
    </row>
    <row r="51" spans="1:8" x14ac:dyDescent="0.3">
      <c r="A51" s="33" t="s">
        <v>1033</v>
      </c>
      <c r="B51" s="20" t="s">
        <v>1071</v>
      </c>
      <c r="C51" s="20"/>
      <c r="D51" s="20"/>
      <c r="E51" s="53"/>
      <c r="F51" s="20"/>
      <c r="G51" s="20"/>
      <c r="H51" s="57" t="s">
        <v>890</v>
      </c>
    </row>
    <row r="52" spans="1:8" x14ac:dyDescent="0.3">
      <c r="A52" s="36" t="s">
        <v>442</v>
      </c>
      <c r="B52" s="28" t="s">
        <v>94</v>
      </c>
      <c r="C52" s="34">
        <v>1000</v>
      </c>
      <c r="D52" s="34" t="s">
        <v>95</v>
      </c>
      <c r="E52" s="53"/>
      <c r="F52" s="53" t="s">
        <v>1123</v>
      </c>
      <c r="G52" s="56">
        <f t="shared" ref="G52:G58" si="2">IF(ISNUMBER(E52),C52*E52,0)</f>
        <v>0</v>
      </c>
    </row>
    <row r="53" spans="1:8" x14ac:dyDescent="0.3">
      <c r="A53" s="36" t="s">
        <v>443</v>
      </c>
      <c r="B53" s="28" t="s">
        <v>97</v>
      </c>
      <c r="C53" s="34">
        <v>1000</v>
      </c>
      <c r="D53" s="34" t="s">
        <v>95</v>
      </c>
      <c r="E53" s="53"/>
      <c r="F53" s="53" t="s">
        <v>1123</v>
      </c>
      <c r="G53" s="56">
        <f t="shared" si="2"/>
        <v>0</v>
      </c>
    </row>
    <row r="54" spans="1:8" x14ac:dyDescent="0.3">
      <c r="A54" s="36" t="s">
        <v>444</v>
      </c>
      <c r="B54" s="28" t="s">
        <v>99</v>
      </c>
      <c r="C54" s="34">
        <v>1000</v>
      </c>
      <c r="D54" s="34" t="s">
        <v>95</v>
      </c>
      <c r="E54" s="53"/>
      <c r="F54" s="53" t="s">
        <v>1123</v>
      </c>
      <c r="G54" s="56">
        <f t="shared" si="2"/>
        <v>0</v>
      </c>
    </row>
    <row r="55" spans="1:8" x14ac:dyDescent="0.3">
      <c r="A55" s="36" t="s">
        <v>445</v>
      </c>
      <c r="B55" s="28" t="s">
        <v>101</v>
      </c>
      <c r="C55" s="34">
        <v>1000</v>
      </c>
      <c r="D55" s="34" t="s">
        <v>95</v>
      </c>
      <c r="E55" s="53"/>
      <c r="F55" s="53" t="s">
        <v>1123</v>
      </c>
      <c r="G55" s="56">
        <f t="shared" si="2"/>
        <v>0</v>
      </c>
    </row>
    <row r="56" spans="1:8" x14ac:dyDescent="0.3">
      <c r="A56" s="36" t="s">
        <v>446</v>
      </c>
      <c r="B56" s="28" t="s">
        <v>103</v>
      </c>
      <c r="C56" s="34">
        <v>1000</v>
      </c>
      <c r="D56" s="34" t="s">
        <v>95</v>
      </c>
      <c r="E56" s="53"/>
      <c r="F56" s="53" t="s">
        <v>1123</v>
      </c>
      <c r="G56" s="56">
        <f t="shared" si="2"/>
        <v>0</v>
      </c>
    </row>
    <row r="57" spans="1:8" x14ac:dyDescent="0.3">
      <c r="A57" s="36" t="s">
        <v>447</v>
      </c>
      <c r="B57" s="28" t="s">
        <v>105</v>
      </c>
      <c r="C57" s="34">
        <v>1000</v>
      </c>
      <c r="D57" s="34" t="s">
        <v>95</v>
      </c>
      <c r="E57" s="53"/>
      <c r="F57" s="53" t="s">
        <v>1123</v>
      </c>
      <c r="G57" s="56">
        <f t="shared" si="2"/>
        <v>0</v>
      </c>
    </row>
    <row r="58" spans="1:8" x14ac:dyDescent="0.3">
      <c r="A58" s="36" t="s">
        <v>448</v>
      </c>
      <c r="B58" s="28" t="s">
        <v>936</v>
      </c>
      <c r="C58" s="34">
        <v>1000</v>
      </c>
      <c r="D58" s="34" t="s">
        <v>95</v>
      </c>
      <c r="E58" s="53"/>
      <c r="F58" s="53" t="s">
        <v>1123</v>
      </c>
      <c r="G58" s="56">
        <f t="shared" si="2"/>
        <v>0</v>
      </c>
    </row>
    <row r="59" spans="1:8" x14ac:dyDescent="0.3">
      <c r="A59" s="33" t="s">
        <v>1112</v>
      </c>
      <c r="B59" s="20" t="s">
        <v>928</v>
      </c>
      <c r="C59" s="20"/>
      <c r="D59" s="20"/>
      <c r="E59" s="53"/>
      <c r="F59" s="20"/>
      <c r="G59" s="20"/>
      <c r="H59" s="57" t="s">
        <v>890</v>
      </c>
    </row>
    <row r="60" spans="1:8" x14ac:dyDescent="0.3">
      <c r="A60" s="36" t="s">
        <v>450</v>
      </c>
      <c r="B60" s="28" t="s">
        <v>94</v>
      </c>
      <c r="C60" s="34">
        <v>2500</v>
      </c>
      <c r="D60" s="34" t="s">
        <v>95</v>
      </c>
      <c r="E60" s="53"/>
      <c r="F60" s="53" t="s">
        <v>1123</v>
      </c>
      <c r="G60" s="56">
        <f t="shared" ref="G60:G66" si="3">IF(ISNUMBER(E60),C60*E60,0)</f>
        <v>0</v>
      </c>
    </row>
    <row r="61" spans="1:8" x14ac:dyDescent="0.3">
      <c r="A61" s="36" t="s">
        <v>451</v>
      </c>
      <c r="B61" s="28" t="s">
        <v>97</v>
      </c>
      <c r="C61" s="34">
        <v>2500</v>
      </c>
      <c r="D61" s="34" t="s">
        <v>95</v>
      </c>
      <c r="E61" s="53"/>
      <c r="F61" s="53" t="s">
        <v>1123</v>
      </c>
      <c r="G61" s="56">
        <f t="shared" si="3"/>
        <v>0</v>
      </c>
    </row>
    <row r="62" spans="1:8" x14ac:dyDescent="0.3">
      <c r="A62" s="36" t="s">
        <v>452</v>
      </c>
      <c r="B62" s="28" t="s">
        <v>99</v>
      </c>
      <c r="C62" s="34">
        <v>2500</v>
      </c>
      <c r="D62" s="34" t="s">
        <v>95</v>
      </c>
      <c r="E62" s="53"/>
      <c r="F62" s="53" t="s">
        <v>1123</v>
      </c>
      <c r="G62" s="56">
        <f t="shared" si="3"/>
        <v>0</v>
      </c>
    </row>
    <row r="63" spans="1:8" x14ac:dyDescent="0.3">
      <c r="A63" s="36" t="s">
        <v>453</v>
      </c>
      <c r="B63" s="28" t="s">
        <v>101</v>
      </c>
      <c r="C63" s="34">
        <v>2500</v>
      </c>
      <c r="D63" s="34" t="s">
        <v>95</v>
      </c>
      <c r="E63" s="53"/>
      <c r="F63" s="53" t="s">
        <v>1123</v>
      </c>
      <c r="G63" s="56">
        <f t="shared" si="3"/>
        <v>0</v>
      </c>
    </row>
    <row r="64" spans="1:8" x14ac:dyDescent="0.3">
      <c r="A64" s="36" t="s">
        <v>454</v>
      </c>
      <c r="B64" s="28" t="s">
        <v>103</v>
      </c>
      <c r="C64" s="34">
        <v>2500</v>
      </c>
      <c r="D64" s="34" t="s">
        <v>95</v>
      </c>
      <c r="E64" s="53"/>
      <c r="F64" s="53" t="s">
        <v>1123</v>
      </c>
      <c r="G64" s="56">
        <f t="shared" si="3"/>
        <v>0</v>
      </c>
    </row>
    <row r="65" spans="1:8" x14ac:dyDescent="0.3">
      <c r="A65" s="36" t="s">
        <v>455</v>
      </c>
      <c r="B65" s="28" t="s">
        <v>105</v>
      </c>
      <c r="C65" s="34">
        <v>2500</v>
      </c>
      <c r="D65" s="34" t="s">
        <v>95</v>
      </c>
      <c r="E65" s="53"/>
      <c r="F65" s="53" t="s">
        <v>1123</v>
      </c>
      <c r="G65" s="56">
        <f t="shared" si="3"/>
        <v>0</v>
      </c>
    </row>
    <row r="66" spans="1:8" x14ac:dyDescent="0.3">
      <c r="A66" s="36" t="s">
        <v>456</v>
      </c>
      <c r="B66" s="28" t="s">
        <v>936</v>
      </c>
      <c r="C66" s="34">
        <v>2500</v>
      </c>
      <c r="D66" s="34" t="s">
        <v>95</v>
      </c>
      <c r="E66" s="53"/>
      <c r="F66" s="53" t="s">
        <v>1123</v>
      </c>
      <c r="G66" s="56">
        <f t="shared" si="3"/>
        <v>0</v>
      </c>
    </row>
    <row r="67" spans="1:8" x14ac:dyDescent="0.3">
      <c r="A67" s="33" t="s">
        <v>1034</v>
      </c>
      <c r="B67" s="20" t="s">
        <v>929</v>
      </c>
      <c r="C67" s="20"/>
      <c r="D67" s="20"/>
      <c r="E67" s="53"/>
      <c r="F67" s="20"/>
      <c r="G67" s="20"/>
      <c r="H67" s="57" t="s">
        <v>1075</v>
      </c>
    </row>
    <row r="68" spans="1:8" x14ac:dyDescent="0.3">
      <c r="A68" s="36" t="s">
        <v>458</v>
      </c>
      <c r="B68" s="28" t="s">
        <v>170</v>
      </c>
      <c r="C68" s="34">
        <v>125</v>
      </c>
      <c r="D68" s="50" t="s">
        <v>937</v>
      </c>
      <c r="E68" s="53"/>
      <c r="F68" s="53" t="s">
        <v>1123</v>
      </c>
      <c r="G68" s="56">
        <f>IF(ISNUMBER(E68),C68*E68,0)</f>
        <v>0</v>
      </c>
    </row>
    <row r="69" spans="1:8" x14ac:dyDescent="0.3">
      <c r="A69" s="36" t="s">
        <v>459</v>
      </c>
      <c r="B69" s="28" t="s">
        <v>172</v>
      </c>
      <c r="C69" s="34">
        <v>1750</v>
      </c>
      <c r="D69" s="50" t="s">
        <v>937</v>
      </c>
      <c r="E69" s="53"/>
      <c r="F69" s="53" t="s">
        <v>1123</v>
      </c>
      <c r="G69" s="56">
        <f>IF(ISNUMBER(E69),C69*E69,0)</f>
        <v>0</v>
      </c>
    </row>
    <row r="70" spans="1:8" x14ac:dyDescent="0.3">
      <c r="A70" s="36" t="s">
        <v>460</v>
      </c>
      <c r="B70" s="28" t="s">
        <v>174</v>
      </c>
      <c r="C70" s="34">
        <v>100</v>
      </c>
      <c r="D70" s="50" t="s">
        <v>937</v>
      </c>
      <c r="E70" s="53"/>
      <c r="F70" s="53" t="s">
        <v>1123</v>
      </c>
      <c r="G70" s="56">
        <f>IF(ISNUMBER(E70),C70*E70,0)</f>
        <v>0</v>
      </c>
    </row>
    <row r="71" spans="1:8" x14ac:dyDescent="0.3">
      <c r="A71" s="36" t="s">
        <v>461</v>
      </c>
      <c r="B71" s="28" t="s">
        <v>175</v>
      </c>
      <c r="C71" s="34">
        <v>25</v>
      </c>
      <c r="D71" s="50" t="s">
        <v>937</v>
      </c>
      <c r="E71" s="53"/>
      <c r="F71" s="53" t="s">
        <v>1123</v>
      </c>
      <c r="G71" s="56">
        <f>IF(ISNUMBER(E71),C71*E71,0)</f>
        <v>0</v>
      </c>
    </row>
    <row r="72" spans="1:8" x14ac:dyDescent="0.3">
      <c r="A72" s="33" t="s">
        <v>1035</v>
      </c>
      <c r="B72" s="20" t="s">
        <v>930</v>
      </c>
      <c r="C72" s="20"/>
      <c r="D72" s="20"/>
      <c r="E72" s="53"/>
      <c r="F72" s="20"/>
      <c r="G72" s="20"/>
      <c r="H72" s="57" t="s">
        <v>1075</v>
      </c>
    </row>
    <row r="73" spans="1:8" x14ac:dyDescent="0.3">
      <c r="A73" s="36" t="s">
        <v>466</v>
      </c>
      <c r="B73" s="28" t="s">
        <v>179</v>
      </c>
      <c r="C73" s="34">
        <v>125</v>
      </c>
      <c r="D73" s="50" t="s">
        <v>937</v>
      </c>
      <c r="E73" s="53"/>
      <c r="F73" s="53" t="s">
        <v>1123</v>
      </c>
      <c r="G73" s="56">
        <f>IF(ISNUMBER(E73),C73*E73,0)</f>
        <v>0</v>
      </c>
    </row>
    <row r="74" spans="1:8" x14ac:dyDescent="0.3">
      <c r="A74" s="36" t="s">
        <v>467</v>
      </c>
      <c r="B74" s="28" t="s">
        <v>181</v>
      </c>
      <c r="C74" s="34">
        <v>1750</v>
      </c>
      <c r="D74" s="50" t="s">
        <v>937</v>
      </c>
      <c r="E74" s="53"/>
      <c r="F74" s="53" t="s">
        <v>1123</v>
      </c>
      <c r="G74" s="56">
        <f>IF(ISNUMBER(E74),C74*E74,0)</f>
        <v>0</v>
      </c>
    </row>
    <row r="75" spans="1:8" s="59" customFormat="1" x14ac:dyDescent="0.3">
      <c r="A75" s="36" t="s">
        <v>1036</v>
      </c>
      <c r="B75" s="28" t="s">
        <v>183</v>
      </c>
      <c r="C75" s="34">
        <v>100</v>
      </c>
      <c r="D75" s="50" t="s">
        <v>937</v>
      </c>
      <c r="E75" s="53"/>
      <c r="F75" s="53" t="s">
        <v>1123</v>
      </c>
      <c r="G75" s="56">
        <f>IF(ISNUMBER(E75),C75*E75,0)</f>
        <v>0</v>
      </c>
      <c r="H75" s="54"/>
    </row>
    <row r="76" spans="1:8" x14ac:dyDescent="0.3">
      <c r="A76" s="33" t="s">
        <v>1037</v>
      </c>
      <c r="B76" s="20" t="s">
        <v>1072</v>
      </c>
      <c r="C76" s="20"/>
      <c r="D76" s="50"/>
      <c r="E76" s="53"/>
      <c r="F76" s="20"/>
      <c r="G76" s="20"/>
      <c r="H76" s="57" t="s">
        <v>1075</v>
      </c>
    </row>
    <row r="77" spans="1:8" x14ac:dyDescent="0.3">
      <c r="A77" s="36" t="s">
        <v>468</v>
      </c>
      <c r="B77" s="28" t="s">
        <v>170</v>
      </c>
      <c r="C77" s="34">
        <v>500</v>
      </c>
      <c r="D77" s="34" t="s">
        <v>95</v>
      </c>
      <c r="E77" s="53"/>
      <c r="F77" s="53" t="s">
        <v>1123</v>
      </c>
      <c r="G77" s="56">
        <f t="shared" ref="G77:G83" si="4">IF(ISNUMBER(E77),C77*E77,0)</f>
        <v>0</v>
      </c>
    </row>
    <row r="78" spans="1:8" x14ac:dyDescent="0.3">
      <c r="A78" s="36" t="s">
        <v>469</v>
      </c>
      <c r="B78" s="28" t="s">
        <v>172</v>
      </c>
      <c r="C78" s="34">
        <v>500</v>
      </c>
      <c r="D78" s="34" t="s">
        <v>95</v>
      </c>
      <c r="E78" s="53"/>
      <c r="F78" s="53" t="s">
        <v>1123</v>
      </c>
      <c r="G78" s="56">
        <f t="shared" si="4"/>
        <v>0</v>
      </c>
    </row>
    <row r="79" spans="1:8" x14ac:dyDescent="0.3">
      <c r="A79" s="36" t="s">
        <v>1038</v>
      </c>
      <c r="B79" s="28" t="s">
        <v>174</v>
      </c>
      <c r="C79" s="34">
        <v>500</v>
      </c>
      <c r="D79" s="34" t="s">
        <v>95</v>
      </c>
      <c r="E79" s="53"/>
      <c r="F79" s="53" t="s">
        <v>1123</v>
      </c>
      <c r="G79" s="56">
        <f t="shared" si="4"/>
        <v>0</v>
      </c>
    </row>
    <row r="80" spans="1:8" x14ac:dyDescent="0.3">
      <c r="A80" s="36" t="s">
        <v>1113</v>
      </c>
      <c r="B80" s="28" t="s">
        <v>190</v>
      </c>
      <c r="C80" s="34">
        <v>500</v>
      </c>
      <c r="D80" s="34" t="s">
        <v>95</v>
      </c>
      <c r="E80" s="53"/>
      <c r="F80" s="53" t="s">
        <v>1123</v>
      </c>
      <c r="G80" s="56">
        <f t="shared" si="4"/>
        <v>0</v>
      </c>
    </row>
    <row r="81" spans="1:8" x14ac:dyDescent="0.3">
      <c r="A81" s="36" t="s">
        <v>1114</v>
      </c>
      <c r="B81" s="28" t="s">
        <v>179</v>
      </c>
      <c r="C81" s="34">
        <v>500</v>
      </c>
      <c r="D81" s="34" t="s">
        <v>95</v>
      </c>
      <c r="E81" s="53"/>
      <c r="F81" s="53" t="s">
        <v>1123</v>
      </c>
      <c r="G81" s="56">
        <f t="shared" si="4"/>
        <v>0</v>
      </c>
    </row>
    <row r="82" spans="1:8" x14ac:dyDescent="0.3">
      <c r="A82" s="36" t="s">
        <v>1115</v>
      </c>
      <c r="B82" s="28" t="s">
        <v>181</v>
      </c>
      <c r="C82" s="34">
        <v>500</v>
      </c>
      <c r="D82" s="34" t="s">
        <v>95</v>
      </c>
      <c r="E82" s="53"/>
      <c r="F82" s="53" t="s">
        <v>1123</v>
      </c>
      <c r="G82" s="56">
        <f t="shared" si="4"/>
        <v>0</v>
      </c>
    </row>
    <row r="83" spans="1:8" x14ac:dyDescent="0.3">
      <c r="A83" s="36" t="s">
        <v>1116</v>
      </c>
      <c r="B83" s="28" t="s">
        <v>183</v>
      </c>
      <c r="C83" s="34">
        <v>500</v>
      </c>
      <c r="D83" s="34" t="s">
        <v>95</v>
      </c>
      <c r="E83" s="53"/>
      <c r="F83" s="53" t="s">
        <v>1123</v>
      </c>
      <c r="G83" s="56">
        <f t="shared" si="4"/>
        <v>0</v>
      </c>
    </row>
    <row r="84" spans="1:8" x14ac:dyDescent="0.3">
      <c r="A84" s="33" t="s">
        <v>1039</v>
      </c>
      <c r="B84" s="20" t="s">
        <v>931</v>
      </c>
      <c r="C84" s="20"/>
      <c r="D84" s="20"/>
      <c r="E84" s="53"/>
      <c r="F84" s="20"/>
      <c r="G84" s="20"/>
      <c r="H84" s="57" t="s">
        <v>1075</v>
      </c>
    </row>
    <row r="85" spans="1:8" x14ac:dyDescent="0.3">
      <c r="A85" s="36" t="s">
        <v>470</v>
      </c>
      <c r="B85" s="28" t="s">
        <v>170</v>
      </c>
      <c r="C85" s="34">
        <v>1750</v>
      </c>
      <c r="D85" s="34" t="s">
        <v>95</v>
      </c>
      <c r="E85" s="53"/>
      <c r="F85" s="53" t="s">
        <v>1123</v>
      </c>
      <c r="G85" s="56">
        <f t="shared" ref="G85:G91" si="5">IF(ISNUMBER(E85),C85*E85,0)</f>
        <v>0</v>
      </c>
    </row>
    <row r="86" spans="1:8" x14ac:dyDescent="0.3">
      <c r="A86" s="36" t="s">
        <v>471</v>
      </c>
      <c r="B86" s="28" t="s">
        <v>172</v>
      </c>
      <c r="C86" s="34">
        <v>1750</v>
      </c>
      <c r="D86" s="34" t="s">
        <v>95</v>
      </c>
      <c r="E86" s="53"/>
      <c r="F86" s="53" t="s">
        <v>1123</v>
      </c>
      <c r="G86" s="56">
        <f t="shared" si="5"/>
        <v>0</v>
      </c>
    </row>
    <row r="87" spans="1:8" x14ac:dyDescent="0.3">
      <c r="A87" s="36" t="s">
        <v>1040</v>
      </c>
      <c r="B87" s="28" t="s">
        <v>174</v>
      </c>
      <c r="C87" s="34">
        <v>1750</v>
      </c>
      <c r="D87" s="34" t="s">
        <v>95</v>
      </c>
      <c r="E87" s="53"/>
      <c r="F87" s="53" t="s">
        <v>1123</v>
      </c>
      <c r="G87" s="56">
        <f t="shared" si="5"/>
        <v>0</v>
      </c>
    </row>
    <row r="88" spans="1:8" x14ac:dyDescent="0.3">
      <c r="A88" s="36" t="s">
        <v>1041</v>
      </c>
      <c r="B88" s="28" t="s">
        <v>190</v>
      </c>
      <c r="C88" s="34">
        <v>1750</v>
      </c>
      <c r="D88" s="34" t="s">
        <v>95</v>
      </c>
      <c r="E88" s="53"/>
      <c r="F88" s="53" t="s">
        <v>1123</v>
      </c>
      <c r="G88" s="56">
        <f t="shared" si="5"/>
        <v>0</v>
      </c>
    </row>
    <row r="89" spans="1:8" x14ac:dyDescent="0.3">
      <c r="A89" s="36" t="s">
        <v>1042</v>
      </c>
      <c r="B89" s="28" t="s">
        <v>179</v>
      </c>
      <c r="C89" s="34">
        <v>1750</v>
      </c>
      <c r="D89" s="34" t="s">
        <v>95</v>
      </c>
      <c r="E89" s="53"/>
      <c r="F89" s="53" t="s">
        <v>1123</v>
      </c>
      <c r="G89" s="56">
        <f t="shared" si="5"/>
        <v>0</v>
      </c>
    </row>
    <row r="90" spans="1:8" x14ac:dyDescent="0.3">
      <c r="A90" s="36" t="s">
        <v>1043</v>
      </c>
      <c r="B90" s="28" t="s">
        <v>181</v>
      </c>
      <c r="C90" s="34">
        <v>1750</v>
      </c>
      <c r="D90" s="34" t="s">
        <v>95</v>
      </c>
      <c r="E90" s="53"/>
      <c r="F90" s="53" t="s">
        <v>1123</v>
      </c>
      <c r="G90" s="56">
        <f t="shared" si="5"/>
        <v>0</v>
      </c>
    </row>
    <row r="91" spans="1:8" x14ac:dyDescent="0.3">
      <c r="A91" s="36" t="s">
        <v>1044</v>
      </c>
      <c r="B91" s="28" t="s">
        <v>183</v>
      </c>
      <c r="C91" s="34">
        <v>1750</v>
      </c>
      <c r="D91" s="34" t="s">
        <v>95</v>
      </c>
      <c r="E91" s="53"/>
      <c r="F91" s="53" t="s">
        <v>1123</v>
      </c>
      <c r="G91" s="56">
        <f t="shared" si="5"/>
        <v>0</v>
      </c>
    </row>
    <row r="92" spans="1:8" x14ac:dyDescent="0.3">
      <c r="A92" s="36"/>
      <c r="B92" s="28"/>
      <c r="C92" s="34"/>
      <c r="D92" s="34"/>
      <c r="E92" s="53"/>
      <c r="F92" s="53"/>
      <c r="G92" s="78">
        <f>SUM(G32:G91)</f>
        <v>0</v>
      </c>
    </row>
    <row r="93" spans="1:8" x14ac:dyDescent="0.3">
      <c r="A93" s="103" t="s">
        <v>935</v>
      </c>
      <c r="B93" s="103"/>
      <c r="C93" s="103"/>
      <c r="D93" s="103"/>
      <c r="E93" s="103"/>
      <c r="F93" s="103"/>
      <c r="G93" s="103"/>
    </row>
    <row r="94" spans="1:8" x14ac:dyDescent="0.3">
      <c r="A94" s="33" t="s">
        <v>1118</v>
      </c>
      <c r="B94" s="20" t="s">
        <v>953</v>
      </c>
      <c r="C94" s="20"/>
      <c r="D94" s="20"/>
      <c r="E94" s="20"/>
      <c r="F94" s="20"/>
      <c r="G94" s="20"/>
      <c r="H94" s="57">
        <v>2.2999999999999998</v>
      </c>
    </row>
    <row r="95" spans="1:8" x14ac:dyDescent="0.3">
      <c r="A95" s="36" t="s">
        <v>472</v>
      </c>
      <c r="B95" s="28" t="s">
        <v>61</v>
      </c>
      <c r="C95" s="34">
        <v>200</v>
      </c>
      <c r="D95" s="34" t="s">
        <v>1121</v>
      </c>
      <c r="E95" s="53"/>
      <c r="F95" s="53" t="s">
        <v>1123</v>
      </c>
      <c r="G95" s="56">
        <f>IF(ISNUMBER(E95),C95*E95,0)</f>
        <v>0</v>
      </c>
    </row>
    <row r="96" spans="1:8" x14ac:dyDescent="0.3">
      <c r="A96" s="36" t="s">
        <v>473</v>
      </c>
      <c r="B96" s="28" t="s">
        <v>64</v>
      </c>
      <c r="C96" s="34">
        <v>200</v>
      </c>
      <c r="D96" s="34" t="s">
        <v>1121</v>
      </c>
      <c r="E96" s="53"/>
      <c r="F96" s="53" t="s">
        <v>1123</v>
      </c>
      <c r="G96" s="56">
        <f>IF(ISNUMBER(E96),C96*E96,0)</f>
        <v>0</v>
      </c>
    </row>
    <row r="97" spans="1:8" x14ac:dyDescent="0.3">
      <c r="A97" s="36" t="s">
        <v>474</v>
      </c>
      <c r="B97" s="28" t="s">
        <v>66</v>
      </c>
      <c r="C97" s="34">
        <v>200</v>
      </c>
      <c r="D97" s="34" t="s">
        <v>1121</v>
      </c>
      <c r="E97" s="53"/>
      <c r="F97" s="53" t="s">
        <v>1123</v>
      </c>
      <c r="G97" s="56">
        <f>IF(ISNUMBER(E97),C97*E97,0)</f>
        <v>0</v>
      </c>
    </row>
    <row r="98" spans="1:8" x14ac:dyDescent="0.3">
      <c r="A98" s="36" t="s">
        <v>475</v>
      </c>
      <c r="B98" s="28" t="s">
        <v>68</v>
      </c>
      <c r="C98" s="34">
        <v>200</v>
      </c>
      <c r="D98" s="34" t="s">
        <v>1121</v>
      </c>
      <c r="E98" s="53"/>
      <c r="F98" s="53" t="s">
        <v>1123</v>
      </c>
      <c r="G98" s="56">
        <f>IF(ISNUMBER(E98),C98*E98,0)</f>
        <v>0</v>
      </c>
    </row>
    <row r="99" spans="1:8" x14ac:dyDescent="0.3">
      <c r="A99" s="33" t="s">
        <v>1045</v>
      </c>
      <c r="B99" s="20" t="s">
        <v>954</v>
      </c>
      <c r="C99" s="20"/>
      <c r="D99" s="20"/>
      <c r="E99" s="53"/>
      <c r="F99" s="20"/>
      <c r="G99" s="20"/>
      <c r="H99" s="57">
        <v>2.2999999999999998</v>
      </c>
    </row>
    <row r="100" spans="1:8" x14ac:dyDescent="0.3">
      <c r="A100" s="36" t="s">
        <v>485</v>
      </c>
      <c r="B100" s="28" t="s">
        <v>72</v>
      </c>
      <c r="C100" s="34">
        <v>200</v>
      </c>
      <c r="D100" s="34" t="s">
        <v>1121</v>
      </c>
      <c r="E100" s="53"/>
      <c r="F100" s="53" t="s">
        <v>1123</v>
      </c>
      <c r="G100" s="56">
        <f>IF(ISNUMBER(E100),C100*E100,0)</f>
        <v>0</v>
      </c>
    </row>
    <row r="101" spans="1:8" x14ac:dyDescent="0.3">
      <c r="A101" s="36" t="s">
        <v>486</v>
      </c>
      <c r="B101" s="28" t="s">
        <v>74</v>
      </c>
      <c r="C101" s="34">
        <v>200</v>
      </c>
      <c r="D101" s="34" t="s">
        <v>1121</v>
      </c>
      <c r="E101" s="53"/>
      <c r="F101" s="53" t="s">
        <v>1123</v>
      </c>
      <c r="G101" s="56">
        <f>IF(ISNUMBER(E101),C101*E101,0)</f>
        <v>0</v>
      </c>
    </row>
    <row r="102" spans="1:8" x14ac:dyDescent="0.3">
      <c r="A102" s="36" t="s">
        <v>487</v>
      </c>
      <c r="B102" s="28" t="s">
        <v>76</v>
      </c>
      <c r="C102" s="34">
        <v>200</v>
      </c>
      <c r="D102" s="34" t="s">
        <v>1121</v>
      </c>
      <c r="E102" s="53"/>
      <c r="F102" s="53" t="s">
        <v>1123</v>
      </c>
      <c r="G102" s="56">
        <f>IF(ISNUMBER(E102),C102*E102,0)</f>
        <v>0</v>
      </c>
    </row>
    <row r="103" spans="1:8" x14ac:dyDescent="0.3">
      <c r="A103" s="33" t="s">
        <v>1046</v>
      </c>
      <c r="B103" s="20" t="s">
        <v>955</v>
      </c>
      <c r="C103" s="20"/>
      <c r="D103" s="20"/>
      <c r="E103" s="53"/>
      <c r="F103" s="20"/>
      <c r="G103" s="20"/>
      <c r="H103" s="57">
        <v>2.2999999999999998</v>
      </c>
    </row>
    <row r="104" spans="1:8" x14ac:dyDescent="0.3">
      <c r="A104" s="36" t="s">
        <v>436</v>
      </c>
      <c r="B104" s="28" t="s">
        <v>61</v>
      </c>
      <c r="C104" s="34">
        <v>200</v>
      </c>
      <c r="D104" s="34" t="s">
        <v>1121</v>
      </c>
      <c r="E104" s="53"/>
      <c r="F104" s="53" t="s">
        <v>1123</v>
      </c>
      <c r="G104" s="56">
        <f>IF(ISNUMBER(E104),C104*E104,0)</f>
        <v>0</v>
      </c>
    </row>
    <row r="105" spans="1:8" x14ac:dyDescent="0.3">
      <c r="A105" s="36" t="s">
        <v>437</v>
      </c>
      <c r="B105" s="28" t="s">
        <v>64</v>
      </c>
      <c r="C105" s="34">
        <v>200</v>
      </c>
      <c r="D105" s="34" t="s">
        <v>1121</v>
      </c>
      <c r="E105" s="53"/>
      <c r="F105" s="53" t="s">
        <v>1123</v>
      </c>
      <c r="G105" s="56">
        <f>IF(ISNUMBER(E105),C105*E105,0)</f>
        <v>0</v>
      </c>
    </row>
    <row r="106" spans="1:8" x14ac:dyDescent="0.3">
      <c r="A106" s="36" t="s">
        <v>1047</v>
      </c>
      <c r="B106" s="28" t="s">
        <v>66</v>
      </c>
      <c r="C106" s="34">
        <v>200</v>
      </c>
      <c r="D106" s="34" t="s">
        <v>1121</v>
      </c>
      <c r="E106" s="53"/>
      <c r="F106" s="53" t="s">
        <v>1123</v>
      </c>
      <c r="G106" s="56">
        <f>IF(ISNUMBER(E106),C106*E106,0)</f>
        <v>0</v>
      </c>
    </row>
    <row r="107" spans="1:8" x14ac:dyDescent="0.3">
      <c r="A107" s="36" t="s">
        <v>1048</v>
      </c>
      <c r="B107" s="28" t="s">
        <v>68</v>
      </c>
      <c r="C107" s="34">
        <v>200</v>
      </c>
      <c r="D107" s="34" t="s">
        <v>1121</v>
      </c>
      <c r="E107" s="53"/>
      <c r="F107" s="53" t="s">
        <v>1123</v>
      </c>
      <c r="G107" s="56">
        <f>IF(ISNUMBER(E107),C107*E107,0)</f>
        <v>0</v>
      </c>
    </row>
    <row r="108" spans="1:8" x14ac:dyDescent="0.3">
      <c r="A108" s="33" t="s">
        <v>1049</v>
      </c>
      <c r="B108" s="20" t="s">
        <v>956</v>
      </c>
      <c r="C108" s="20"/>
      <c r="D108" s="20"/>
      <c r="E108" s="53"/>
      <c r="F108" s="20"/>
      <c r="G108" s="20"/>
      <c r="H108" s="57">
        <v>2.2999999999999998</v>
      </c>
    </row>
    <row r="109" spans="1:8" x14ac:dyDescent="0.3">
      <c r="A109" s="36" t="s">
        <v>490</v>
      </c>
      <c r="B109" s="28" t="s">
        <v>72</v>
      </c>
      <c r="C109" s="34">
        <v>200</v>
      </c>
      <c r="D109" s="34" t="s">
        <v>1121</v>
      </c>
      <c r="E109" s="53"/>
      <c r="F109" s="53" t="s">
        <v>1123</v>
      </c>
      <c r="G109" s="56">
        <f>IF(ISNUMBER(E109),C109*E109,0)</f>
        <v>0</v>
      </c>
    </row>
    <row r="110" spans="1:8" x14ac:dyDescent="0.3">
      <c r="A110" s="36" t="s">
        <v>491</v>
      </c>
      <c r="B110" s="28" t="s">
        <v>74</v>
      </c>
      <c r="C110" s="34">
        <v>200</v>
      </c>
      <c r="D110" s="34" t="s">
        <v>1121</v>
      </c>
      <c r="E110" s="53"/>
      <c r="F110" s="53" t="s">
        <v>1123</v>
      </c>
      <c r="G110" s="56">
        <f>IF(ISNUMBER(E110),C110*E110,0)</f>
        <v>0</v>
      </c>
    </row>
    <row r="111" spans="1:8" x14ac:dyDescent="0.3">
      <c r="A111" s="36" t="s">
        <v>1050</v>
      </c>
      <c r="B111" s="28" t="s">
        <v>76</v>
      </c>
      <c r="C111" s="34">
        <v>200</v>
      </c>
      <c r="D111" s="34" t="s">
        <v>1121</v>
      </c>
      <c r="E111" s="53"/>
      <c r="F111" s="53" t="s">
        <v>1123</v>
      </c>
      <c r="G111" s="56">
        <f>IF(ISNUMBER(E111),C111*E111,0)</f>
        <v>0</v>
      </c>
    </row>
    <row r="112" spans="1:8" x14ac:dyDescent="0.3">
      <c r="A112" s="36"/>
      <c r="B112" s="28"/>
      <c r="C112" s="34"/>
      <c r="D112" s="34"/>
      <c r="E112" s="53"/>
      <c r="F112" s="53"/>
      <c r="G112" s="78">
        <f>SUM(G95:G111)</f>
        <v>0</v>
      </c>
    </row>
    <row r="113" spans="1:8" x14ac:dyDescent="0.3">
      <c r="A113" s="104" t="s">
        <v>941</v>
      </c>
      <c r="B113" s="105"/>
      <c r="C113" s="105"/>
      <c r="D113" s="105"/>
      <c r="E113" s="105"/>
      <c r="F113" s="105"/>
      <c r="G113" s="106"/>
    </row>
    <row r="114" spans="1:8" s="54" customFormat="1" x14ac:dyDescent="0.3">
      <c r="A114" s="33" t="s">
        <v>1051</v>
      </c>
      <c r="B114" s="20" t="s">
        <v>940</v>
      </c>
      <c r="C114" s="20"/>
      <c r="D114" s="20"/>
      <c r="E114" s="20"/>
      <c r="F114" s="20"/>
      <c r="G114" s="20"/>
      <c r="H114" s="54">
        <v>2.1</v>
      </c>
    </row>
    <row r="115" spans="1:8" x14ac:dyDescent="0.3">
      <c r="A115" s="55" t="s">
        <v>492</v>
      </c>
      <c r="B115" s="13" t="s">
        <v>11</v>
      </c>
      <c r="C115" s="47">
        <v>250</v>
      </c>
      <c r="D115" s="50" t="s">
        <v>937</v>
      </c>
      <c r="E115" s="53"/>
      <c r="F115" s="53" t="s">
        <v>1123</v>
      </c>
      <c r="G115" s="56">
        <f>IF(ISNUMBER(E115),C115*E115,0)</f>
        <v>0</v>
      </c>
    </row>
    <row r="116" spans="1:8" x14ac:dyDescent="0.3">
      <c r="A116" s="55" t="s">
        <v>493</v>
      </c>
      <c r="B116" s="13" t="s">
        <v>14</v>
      </c>
      <c r="C116" s="47">
        <v>500</v>
      </c>
      <c r="D116" s="50" t="s">
        <v>937</v>
      </c>
      <c r="E116" s="53"/>
      <c r="F116" s="53" t="s">
        <v>1123</v>
      </c>
      <c r="G116" s="56">
        <f>IF(ISNUMBER(E116),C116*E116,0)</f>
        <v>0</v>
      </c>
    </row>
    <row r="117" spans="1:8" x14ac:dyDescent="0.3">
      <c r="A117" s="55" t="s">
        <v>1052</v>
      </c>
      <c r="B117" s="13" t="s">
        <v>16</v>
      </c>
      <c r="C117" s="47">
        <v>200</v>
      </c>
      <c r="D117" s="50" t="s">
        <v>937</v>
      </c>
      <c r="E117" s="53"/>
      <c r="F117" s="53" t="s">
        <v>1123</v>
      </c>
      <c r="G117" s="56">
        <f>IF(ISNUMBER(E117),C117*E117,0)</f>
        <v>0</v>
      </c>
    </row>
    <row r="118" spans="1:8" x14ac:dyDescent="0.3">
      <c r="A118" s="55" t="s">
        <v>1053</v>
      </c>
      <c r="B118" s="28" t="s">
        <v>18</v>
      </c>
      <c r="C118" s="34">
        <v>500</v>
      </c>
      <c r="D118" s="50" t="s">
        <v>937</v>
      </c>
      <c r="E118" s="53"/>
      <c r="F118" s="53" t="s">
        <v>1123</v>
      </c>
      <c r="G118" s="56">
        <f>IF(ISNUMBER(E118),C118*E118,0)</f>
        <v>0</v>
      </c>
    </row>
    <row r="119" spans="1:8" s="59" customFormat="1" x14ac:dyDescent="0.3">
      <c r="A119" s="33" t="s">
        <v>1054</v>
      </c>
      <c r="B119" s="20" t="s">
        <v>948</v>
      </c>
      <c r="C119" s="28"/>
      <c r="D119" s="28"/>
      <c r="E119" s="53"/>
      <c r="F119" s="28"/>
      <c r="G119" s="28"/>
      <c r="H119" s="54" t="s">
        <v>893</v>
      </c>
    </row>
    <row r="120" spans="1:8" s="59" customFormat="1" x14ac:dyDescent="0.3">
      <c r="A120" s="36" t="s">
        <v>494</v>
      </c>
      <c r="B120" s="28" t="s">
        <v>145</v>
      </c>
      <c r="C120" s="34">
        <v>1</v>
      </c>
      <c r="D120" s="34" t="s">
        <v>969</v>
      </c>
      <c r="E120" s="53"/>
      <c r="F120" s="34">
        <v>1</v>
      </c>
      <c r="G120" s="56">
        <f>+C120*E120*F120</f>
        <v>0</v>
      </c>
      <c r="H120" s="54"/>
    </row>
    <row r="121" spans="1:8" s="59" customFormat="1" x14ac:dyDescent="0.3">
      <c r="A121" s="36" t="s">
        <v>495</v>
      </c>
      <c r="B121" s="28" t="s">
        <v>148</v>
      </c>
      <c r="C121" s="34">
        <v>1</v>
      </c>
      <c r="D121" s="34" t="s">
        <v>969</v>
      </c>
      <c r="E121" s="53"/>
      <c r="F121" s="34">
        <v>1</v>
      </c>
      <c r="G121" s="56">
        <f t="shared" ref="G121:G122" si="6">+C121*E121*F121</f>
        <v>0</v>
      </c>
      <c r="H121" s="54"/>
    </row>
    <row r="122" spans="1:8" s="59" customFormat="1" x14ac:dyDescent="0.3">
      <c r="A122" s="36" t="s">
        <v>496</v>
      </c>
      <c r="B122" s="28" t="s">
        <v>150</v>
      </c>
      <c r="C122" s="34">
        <v>1</v>
      </c>
      <c r="D122" s="34" t="s">
        <v>969</v>
      </c>
      <c r="E122" s="53"/>
      <c r="F122" s="34">
        <v>1</v>
      </c>
      <c r="G122" s="56">
        <f t="shared" si="6"/>
        <v>0</v>
      </c>
      <c r="H122" s="54"/>
    </row>
    <row r="123" spans="1:8" s="59" customFormat="1" x14ac:dyDescent="0.3">
      <c r="A123" s="33" t="s">
        <v>1055</v>
      </c>
      <c r="B123" s="20" t="s">
        <v>947</v>
      </c>
      <c r="C123" s="34"/>
      <c r="D123" s="34"/>
      <c r="E123" s="53"/>
      <c r="F123" s="53"/>
      <c r="G123" s="56"/>
      <c r="H123" s="54"/>
    </row>
    <row r="124" spans="1:8" s="59" customFormat="1" x14ac:dyDescent="0.3">
      <c r="A124" s="36" t="s">
        <v>498</v>
      </c>
      <c r="B124" s="28" t="s">
        <v>145</v>
      </c>
      <c r="C124" s="47">
        <v>1000</v>
      </c>
      <c r="D124" s="50" t="s">
        <v>937</v>
      </c>
      <c r="E124" s="53"/>
      <c r="F124" s="53" t="s">
        <v>1123</v>
      </c>
      <c r="G124" s="56">
        <f>IF(ISNUMBER(E124),C124*E124,0)</f>
        <v>0</v>
      </c>
      <c r="H124" s="54"/>
    </row>
    <row r="125" spans="1:8" s="59" customFormat="1" x14ac:dyDescent="0.3">
      <c r="A125" s="36" t="s">
        <v>499</v>
      </c>
      <c r="B125" s="28" t="s">
        <v>148</v>
      </c>
      <c r="C125" s="47">
        <v>3000</v>
      </c>
      <c r="D125" s="50" t="s">
        <v>937</v>
      </c>
      <c r="E125" s="53"/>
      <c r="F125" s="53" t="s">
        <v>1123</v>
      </c>
      <c r="G125" s="56">
        <f t="shared" ref="G125:G126" si="7">IF(ISNUMBER(E125),C125*E125,0)</f>
        <v>0</v>
      </c>
      <c r="H125" s="54"/>
    </row>
    <row r="126" spans="1:8" s="59" customFormat="1" x14ac:dyDescent="0.3">
      <c r="A126" s="36" t="s">
        <v>500</v>
      </c>
      <c r="B126" s="28" t="s">
        <v>150</v>
      </c>
      <c r="C126" s="47">
        <v>1000</v>
      </c>
      <c r="D126" s="50" t="s">
        <v>937</v>
      </c>
      <c r="E126" s="53"/>
      <c r="F126" s="53" t="s">
        <v>1123</v>
      </c>
      <c r="G126" s="56">
        <f t="shared" si="7"/>
        <v>0</v>
      </c>
      <c r="H126" s="54"/>
    </row>
    <row r="127" spans="1:8" x14ac:dyDescent="0.3">
      <c r="A127" s="33" t="s">
        <v>1056</v>
      </c>
      <c r="B127" s="20" t="s">
        <v>950</v>
      </c>
      <c r="C127" s="20"/>
      <c r="D127" s="20"/>
      <c r="E127" s="53"/>
      <c r="F127" s="20"/>
      <c r="G127" s="20"/>
      <c r="H127" s="57" t="s">
        <v>892</v>
      </c>
    </row>
    <row r="128" spans="1:8" s="59" customFormat="1" x14ac:dyDescent="0.3">
      <c r="A128" s="36" t="s">
        <v>502</v>
      </c>
      <c r="B128" s="28" t="s">
        <v>128</v>
      </c>
      <c r="C128" s="34">
        <v>1</v>
      </c>
      <c r="D128" s="34" t="s">
        <v>969</v>
      </c>
      <c r="E128" s="53"/>
      <c r="F128" s="34">
        <v>1</v>
      </c>
      <c r="G128" s="56">
        <f>+C128*E128*F128</f>
        <v>0</v>
      </c>
      <c r="H128" s="54"/>
    </row>
    <row r="129" spans="1:8" x14ac:dyDescent="0.3">
      <c r="A129" s="36" t="s">
        <v>503</v>
      </c>
      <c r="B129" s="28" t="s">
        <v>129</v>
      </c>
      <c r="C129" s="34">
        <v>1</v>
      </c>
      <c r="D129" s="34" t="s">
        <v>969</v>
      </c>
      <c r="E129" s="53"/>
      <c r="F129" s="34">
        <v>1</v>
      </c>
      <c r="G129" s="56">
        <f t="shared" ref="G129:G136" si="8">+C129*E129*F129</f>
        <v>0</v>
      </c>
    </row>
    <row r="130" spans="1:8" x14ac:dyDescent="0.3">
      <c r="A130" s="36" t="s">
        <v>504</v>
      </c>
      <c r="B130" s="28" t="s">
        <v>910</v>
      </c>
      <c r="C130" s="34">
        <v>1000</v>
      </c>
      <c r="D130" s="34" t="s">
        <v>131</v>
      </c>
      <c r="E130" s="53"/>
      <c r="F130" s="34">
        <v>60</v>
      </c>
      <c r="G130" s="56">
        <f t="shared" si="8"/>
        <v>0</v>
      </c>
      <c r="H130" s="60"/>
    </row>
    <row r="131" spans="1:8" x14ac:dyDescent="0.3">
      <c r="A131" s="36" t="s">
        <v>505</v>
      </c>
      <c r="B131" s="28" t="s">
        <v>911</v>
      </c>
      <c r="C131" s="34">
        <v>1000</v>
      </c>
      <c r="D131" s="34" t="s">
        <v>131</v>
      </c>
      <c r="E131" s="53"/>
      <c r="F131" s="34">
        <v>60</v>
      </c>
      <c r="G131" s="56">
        <f t="shared" si="8"/>
        <v>0</v>
      </c>
      <c r="H131" s="60"/>
    </row>
    <row r="132" spans="1:8" x14ac:dyDescent="0.3">
      <c r="A132" s="36" t="s">
        <v>506</v>
      </c>
      <c r="B132" s="28" t="s">
        <v>912</v>
      </c>
      <c r="C132" s="34">
        <v>1000</v>
      </c>
      <c r="D132" s="34" t="s">
        <v>131</v>
      </c>
      <c r="E132" s="53"/>
      <c r="F132" s="34">
        <v>60</v>
      </c>
      <c r="G132" s="56">
        <f t="shared" si="8"/>
        <v>0</v>
      </c>
      <c r="H132" s="60"/>
    </row>
    <row r="133" spans="1:8" x14ac:dyDescent="0.3">
      <c r="A133" s="36" t="s">
        <v>507</v>
      </c>
      <c r="B133" s="28" t="s">
        <v>913</v>
      </c>
      <c r="C133" s="34">
        <v>1000</v>
      </c>
      <c r="D133" s="34" t="s">
        <v>131</v>
      </c>
      <c r="E133" s="53"/>
      <c r="F133" s="34">
        <v>60</v>
      </c>
      <c r="G133" s="56">
        <f t="shared" si="8"/>
        <v>0</v>
      </c>
      <c r="H133" s="60"/>
    </row>
    <row r="134" spans="1:8" x14ac:dyDescent="0.3">
      <c r="A134" s="36" t="s">
        <v>508</v>
      </c>
      <c r="B134" s="28" t="s">
        <v>914</v>
      </c>
      <c r="C134" s="34">
        <v>50</v>
      </c>
      <c r="D134" s="34" t="s">
        <v>131</v>
      </c>
      <c r="E134" s="53"/>
      <c r="F134" s="34">
        <v>60</v>
      </c>
      <c r="G134" s="56">
        <f t="shared" si="8"/>
        <v>0</v>
      </c>
      <c r="H134" s="60"/>
    </row>
    <row r="135" spans="1:8" x14ac:dyDescent="0.3">
      <c r="A135" s="36" t="s">
        <v>509</v>
      </c>
      <c r="B135" s="28" t="s">
        <v>915</v>
      </c>
      <c r="C135" s="34">
        <v>50</v>
      </c>
      <c r="D135" s="34" t="s">
        <v>131</v>
      </c>
      <c r="E135" s="53"/>
      <c r="F135" s="34">
        <v>60</v>
      </c>
      <c r="G135" s="56">
        <f t="shared" si="8"/>
        <v>0</v>
      </c>
      <c r="H135" s="60"/>
    </row>
    <row r="136" spans="1:8" x14ac:dyDescent="0.3">
      <c r="A136" s="36" t="s">
        <v>1120</v>
      </c>
      <c r="B136" s="28" t="s">
        <v>916</v>
      </c>
      <c r="C136" s="34">
        <v>50</v>
      </c>
      <c r="D136" s="34" t="s">
        <v>131</v>
      </c>
      <c r="E136" s="53"/>
      <c r="F136" s="34">
        <v>60</v>
      </c>
      <c r="G136" s="56">
        <f t="shared" si="8"/>
        <v>0</v>
      </c>
      <c r="H136" s="60"/>
    </row>
    <row r="137" spans="1:8" s="59" customFormat="1" x14ac:dyDescent="0.3">
      <c r="A137" s="33" t="s">
        <v>1057</v>
      </c>
      <c r="B137" s="20" t="s">
        <v>939</v>
      </c>
      <c r="C137" s="20"/>
      <c r="D137" s="20"/>
      <c r="E137" s="53"/>
      <c r="F137" s="20"/>
      <c r="G137" s="20"/>
      <c r="H137" s="54">
        <v>2.1</v>
      </c>
    </row>
    <row r="138" spans="1:8" s="59" customFormat="1" x14ac:dyDescent="0.3">
      <c r="A138" s="34" t="s">
        <v>510</v>
      </c>
      <c r="B138" s="28" t="s">
        <v>154</v>
      </c>
      <c r="C138" s="34">
        <v>500</v>
      </c>
      <c r="D138" s="50" t="s">
        <v>937</v>
      </c>
      <c r="E138" s="53"/>
      <c r="F138" s="53" t="s">
        <v>1123</v>
      </c>
      <c r="G138" s="56">
        <f>IF(ISNUMBER(E138),C138*E138,0)</f>
        <v>0</v>
      </c>
      <c r="H138" s="54"/>
    </row>
    <row r="139" spans="1:8" s="59" customFormat="1" x14ac:dyDescent="0.3">
      <c r="A139" s="34" t="s">
        <v>511</v>
      </c>
      <c r="B139" s="28" t="s">
        <v>156</v>
      </c>
      <c r="C139" s="34">
        <v>1000</v>
      </c>
      <c r="D139" s="50" t="s">
        <v>937</v>
      </c>
      <c r="E139" s="53"/>
      <c r="F139" s="53" t="s">
        <v>1123</v>
      </c>
      <c r="G139" s="56">
        <f>IF(ISNUMBER(E139),C139*E139,0)</f>
        <v>0</v>
      </c>
      <c r="H139" s="54"/>
    </row>
    <row r="140" spans="1:8" x14ac:dyDescent="0.3">
      <c r="A140" s="33" t="s">
        <v>1058</v>
      </c>
      <c r="B140" s="20" t="s">
        <v>938</v>
      </c>
      <c r="C140" s="20"/>
      <c r="D140" s="20"/>
      <c r="E140" s="53"/>
      <c r="F140" s="20"/>
      <c r="G140" s="20"/>
      <c r="H140" s="57" t="s">
        <v>909</v>
      </c>
    </row>
    <row r="141" spans="1:8" x14ac:dyDescent="0.3">
      <c r="A141" s="36" t="s">
        <v>518</v>
      </c>
      <c r="B141" s="28" t="s">
        <v>128</v>
      </c>
      <c r="C141" s="34">
        <v>1</v>
      </c>
      <c r="D141" s="34" t="s">
        <v>946</v>
      </c>
      <c r="E141" s="53"/>
      <c r="F141" s="34">
        <v>1</v>
      </c>
      <c r="G141" s="56">
        <f>+C141*E141*F141</f>
        <v>0</v>
      </c>
    </row>
    <row r="142" spans="1:8" x14ac:dyDescent="0.3">
      <c r="A142" s="36" t="s">
        <v>519</v>
      </c>
      <c r="B142" s="28" t="s">
        <v>129</v>
      </c>
      <c r="C142" s="34">
        <v>1</v>
      </c>
      <c r="D142" s="34" t="s">
        <v>946</v>
      </c>
      <c r="E142" s="53"/>
      <c r="F142" s="34">
        <v>1</v>
      </c>
      <c r="G142" s="56">
        <f t="shared" ref="G142:G149" si="9">+C142*E142*F142</f>
        <v>0</v>
      </c>
    </row>
    <row r="143" spans="1:8" s="59" customFormat="1" x14ac:dyDescent="0.3">
      <c r="A143" s="36" t="s">
        <v>520</v>
      </c>
      <c r="B143" s="28" t="s">
        <v>910</v>
      </c>
      <c r="C143" s="34">
        <v>1000</v>
      </c>
      <c r="D143" s="34" t="s">
        <v>131</v>
      </c>
      <c r="E143" s="53"/>
      <c r="F143" s="34">
        <v>20</v>
      </c>
      <c r="G143" s="56">
        <f t="shared" si="9"/>
        <v>0</v>
      </c>
      <c r="H143" s="54"/>
    </row>
    <row r="144" spans="1:8" x14ac:dyDescent="0.3">
      <c r="A144" s="36" t="s">
        <v>521</v>
      </c>
      <c r="B144" s="28" t="s">
        <v>911</v>
      </c>
      <c r="C144" s="34">
        <v>1000</v>
      </c>
      <c r="D144" s="34" t="s">
        <v>131</v>
      </c>
      <c r="E144" s="53"/>
      <c r="F144" s="34">
        <v>20</v>
      </c>
      <c r="G144" s="56">
        <f t="shared" si="9"/>
        <v>0</v>
      </c>
    </row>
    <row r="145" spans="1:8" x14ac:dyDescent="0.3">
      <c r="A145" s="36" t="s">
        <v>522</v>
      </c>
      <c r="B145" s="28" t="s">
        <v>912</v>
      </c>
      <c r="C145" s="34">
        <v>1000</v>
      </c>
      <c r="D145" s="34" t="s">
        <v>131</v>
      </c>
      <c r="E145" s="53"/>
      <c r="F145" s="34">
        <v>20</v>
      </c>
      <c r="G145" s="56">
        <f t="shared" si="9"/>
        <v>0</v>
      </c>
    </row>
    <row r="146" spans="1:8" x14ac:dyDescent="0.3">
      <c r="A146" s="36" t="s">
        <v>523</v>
      </c>
      <c r="B146" s="28" t="s">
        <v>913</v>
      </c>
      <c r="C146" s="34">
        <v>1000</v>
      </c>
      <c r="D146" s="34" t="s">
        <v>131</v>
      </c>
      <c r="E146" s="53"/>
      <c r="F146" s="34">
        <v>20</v>
      </c>
      <c r="G146" s="56">
        <f t="shared" si="9"/>
        <v>0</v>
      </c>
    </row>
    <row r="147" spans="1:8" x14ac:dyDescent="0.3">
      <c r="A147" s="36" t="s">
        <v>524</v>
      </c>
      <c r="B147" s="28" t="s">
        <v>914</v>
      </c>
      <c r="C147" s="34">
        <v>50</v>
      </c>
      <c r="D147" s="34" t="s">
        <v>131</v>
      </c>
      <c r="E147" s="53"/>
      <c r="F147" s="34">
        <v>20</v>
      </c>
      <c r="G147" s="56">
        <f t="shared" si="9"/>
        <v>0</v>
      </c>
    </row>
    <row r="148" spans="1:8" x14ac:dyDescent="0.3">
      <c r="A148" s="36" t="s">
        <v>525</v>
      </c>
      <c r="B148" s="28" t="s">
        <v>915</v>
      </c>
      <c r="C148" s="34">
        <v>50</v>
      </c>
      <c r="D148" s="34" t="s">
        <v>131</v>
      </c>
      <c r="E148" s="53"/>
      <c r="F148" s="34">
        <v>20</v>
      </c>
      <c r="G148" s="56">
        <f t="shared" si="9"/>
        <v>0</v>
      </c>
    </row>
    <row r="149" spans="1:8" x14ac:dyDescent="0.3">
      <c r="A149" s="36" t="s">
        <v>1059</v>
      </c>
      <c r="B149" s="28" t="s">
        <v>916</v>
      </c>
      <c r="C149" s="34">
        <v>50</v>
      </c>
      <c r="D149" s="34" t="s">
        <v>131</v>
      </c>
      <c r="E149" s="53"/>
      <c r="F149" s="34">
        <v>20</v>
      </c>
      <c r="G149" s="56">
        <f t="shared" si="9"/>
        <v>0</v>
      </c>
    </row>
    <row r="150" spans="1:8" x14ac:dyDescent="0.3">
      <c r="A150" s="33" t="s">
        <v>1060</v>
      </c>
      <c r="B150" s="20" t="s">
        <v>918</v>
      </c>
      <c r="C150" s="20"/>
      <c r="D150" s="20"/>
      <c r="E150" s="53"/>
      <c r="F150" s="20"/>
      <c r="G150" s="20"/>
      <c r="H150" s="57" t="s">
        <v>894</v>
      </c>
    </row>
    <row r="151" spans="1:8" x14ac:dyDescent="0.3">
      <c r="A151" s="36" t="s">
        <v>526</v>
      </c>
      <c r="B151" s="28" t="s">
        <v>219</v>
      </c>
      <c r="C151" s="61">
        <v>10000</v>
      </c>
      <c r="D151" s="34" t="s">
        <v>1122</v>
      </c>
      <c r="E151" s="53"/>
      <c r="F151" s="34">
        <v>1</v>
      </c>
      <c r="G151" s="56">
        <f>+C151*E151*F151</f>
        <v>0</v>
      </c>
    </row>
    <row r="152" spans="1:8" x14ac:dyDescent="0.3">
      <c r="A152" s="36" t="s">
        <v>527</v>
      </c>
      <c r="B152" s="28" t="s">
        <v>148</v>
      </c>
      <c r="C152" s="61">
        <v>20000</v>
      </c>
      <c r="D152" s="34" t="s">
        <v>1122</v>
      </c>
      <c r="E152" s="53"/>
      <c r="F152" s="34">
        <v>1</v>
      </c>
      <c r="G152" s="56">
        <f t="shared" ref="G152:G155" si="10">+C152*E152*F152</f>
        <v>0</v>
      </c>
    </row>
    <row r="153" spans="1:8" s="66" customFormat="1" x14ac:dyDescent="0.3">
      <c r="A153" s="36" t="s">
        <v>528</v>
      </c>
      <c r="B153" s="28" t="s">
        <v>220</v>
      </c>
      <c r="C153" s="61">
        <v>5000</v>
      </c>
      <c r="D153" s="34" t="s">
        <v>1122</v>
      </c>
      <c r="E153" s="53"/>
      <c r="F153" s="34">
        <v>1</v>
      </c>
      <c r="G153" s="56">
        <f t="shared" si="10"/>
        <v>0</v>
      </c>
      <c r="H153" s="65"/>
    </row>
    <row r="154" spans="1:8" x14ac:dyDescent="0.3">
      <c r="A154" s="36" t="s">
        <v>529</v>
      </c>
      <c r="B154" s="28" t="s">
        <v>128</v>
      </c>
      <c r="C154" s="61">
        <v>5000</v>
      </c>
      <c r="D154" s="34" t="s">
        <v>1122</v>
      </c>
      <c r="E154" s="53"/>
      <c r="F154" s="34">
        <v>1</v>
      </c>
      <c r="G154" s="56">
        <f t="shared" si="10"/>
        <v>0</v>
      </c>
    </row>
    <row r="155" spans="1:8" x14ac:dyDescent="0.3">
      <c r="A155" s="36" t="s">
        <v>530</v>
      </c>
      <c r="B155" s="28" t="s">
        <v>129</v>
      </c>
      <c r="C155" s="61">
        <v>20000</v>
      </c>
      <c r="D155" s="34" t="s">
        <v>1122</v>
      </c>
      <c r="E155" s="53"/>
      <c r="F155" s="34">
        <v>1</v>
      </c>
      <c r="G155" s="56">
        <f t="shared" si="10"/>
        <v>0</v>
      </c>
    </row>
    <row r="156" spans="1:8" x14ac:dyDescent="0.3">
      <c r="A156" s="36"/>
      <c r="B156" s="28"/>
      <c r="C156" s="61"/>
      <c r="D156" s="34"/>
      <c r="E156" s="53"/>
      <c r="F156" s="53"/>
      <c r="G156" s="78">
        <f>SUM(G115:G155)</f>
        <v>0</v>
      </c>
    </row>
    <row r="157" spans="1:8" x14ac:dyDescent="0.3">
      <c r="A157" s="104" t="s">
        <v>942</v>
      </c>
      <c r="B157" s="105"/>
      <c r="C157" s="105"/>
      <c r="D157" s="105"/>
      <c r="E157" s="105"/>
      <c r="F157" s="105"/>
      <c r="G157" s="106"/>
    </row>
    <row r="158" spans="1:8" x14ac:dyDescent="0.3">
      <c r="A158" s="33" t="s">
        <v>1061</v>
      </c>
      <c r="B158" s="20" t="s">
        <v>932</v>
      </c>
      <c r="C158" s="20"/>
      <c r="D158" s="20"/>
      <c r="E158" s="20"/>
      <c r="F158" s="20"/>
      <c r="G158" s="20"/>
    </row>
    <row r="159" spans="1:8" x14ac:dyDescent="0.3">
      <c r="A159" s="36" t="s">
        <v>1062</v>
      </c>
      <c r="B159" s="28" t="s">
        <v>977</v>
      </c>
      <c r="C159" s="34">
        <v>30</v>
      </c>
      <c r="D159" s="34" t="s">
        <v>226</v>
      </c>
      <c r="E159" s="53"/>
      <c r="F159" s="34">
        <v>30</v>
      </c>
      <c r="G159" s="56">
        <f>IF(ISNUMBER(E159),C159*E159*F159,0)</f>
        <v>0</v>
      </c>
    </row>
    <row r="160" spans="1:8" s="59" customFormat="1" x14ac:dyDescent="0.3">
      <c r="A160" s="36" t="s">
        <v>1063</v>
      </c>
      <c r="B160" s="28" t="s">
        <v>978</v>
      </c>
      <c r="C160" s="34">
        <v>30</v>
      </c>
      <c r="D160" s="34" t="s">
        <v>226</v>
      </c>
      <c r="E160" s="53"/>
      <c r="F160" s="34">
        <v>30</v>
      </c>
      <c r="G160" s="56">
        <f t="shared" ref="G160:G168" si="11">IF(ISNUMBER(E160),C160*E160*F160,0)</f>
        <v>0</v>
      </c>
      <c r="H160" s="54"/>
    </row>
    <row r="161" spans="1:8" x14ac:dyDescent="0.3">
      <c r="A161" s="33" t="s">
        <v>1064</v>
      </c>
      <c r="B161" s="20" t="s">
        <v>933</v>
      </c>
      <c r="C161" s="20"/>
      <c r="D161" s="20"/>
      <c r="E161" s="53"/>
      <c r="F161" s="20"/>
      <c r="G161" s="56">
        <f t="shared" si="11"/>
        <v>0</v>
      </c>
    </row>
    <row r="162" spans="1:8" x14ac:dyDescent="0.3">
      <c r="A162" s="36" t="s">
        <v>539</v>
      </c>
      <c r="B162" s="28" t="s">
        <v>977</v>
      </c>
      <c r="C162" s="34">
        <v>30</v>
      </c>
      <c r="D162" s="34" t="s">
        <v>226</v>
      </c>
      <c r="E162" s="53"/>
      <c r="F162" s="34">
        <v>30</v>
      </c>
      <c r="G162" s="56">
        <f t="shared" si="11"/>
        <v>0</v>
      </c>
    </row>
    <row r="163" spans="1:8" s="59" customFormat="1" x14ac:dyDescent="0.3">
      <c r="A163" s="36" t="s">
        <v>540</v>
      </c>
      <c r="B163" s="28" t="s">
        <v>978</v>
      </c>
      <c r="C163" s="34">
        <v>30</v>
      </c>
      <c r="D163" s="34" t="s">
        <v>226</v>
      </c>
      <c r="E163" s="53"/>
      <c r="F163" s="34">
        <v>30</v>
      </c>
      <c r="G163" s="56">
        <f t="shared" si="11"/>
        <v>0</v>
      </c>
      <c r="H163" s="54"/>
    </row>
    <row r="164" spans="1:8" x14ac:dyDescent="0.3">
      <c r="A164" s="33" t="s">
        <v>1065</v>
      </c>
      <c r="B164" s="20" t="s">
        <v>934</v>
      </c>
      <c r="C164" s="34">
        <v>50</v>
      </c>
      <c r="D164" s="34" t="s">
        <v>12</v>
      </c>
      <c r="E164" s="53"/>
      <c r="F164" s="53"/>
      <c r="G164" s="56">
        <f>+C164*E164</f>
        <v>0</v>
      </c>
    </row>
    <row r="165" spans="1:8" x14ac:dyDescent="0.3">
      <c r="A165" s="33" t="s">
        <v>1066</v>
      </c>
      <c r="B165" s="20" t="s">
        <v>138</v>
      </c>
      <c r="C165" s="34">
        <v>50</v>
      </c>
      <c r="D165" s="34" t="s">
        <v>131</v>
      </c>
      <c r="E165" s="53"/>
      <c r="F165" s="34">
        <v>60</v>
      </c>
      <c r="G165" s="56">
        <f>IF(ISNUMBER(E165),C165*E165*F165,0)</f>
        <v>0</v>
      </c>
    </row>
    <row r="166" spans="1:8" x14ac:dyDescent="0.3">
      <c r="A166" s="33" t="s">
        <v>1067</v>
      </c>
      <c r="B166" s="20" t="s">
        <v>139</v>
      </c>
      <c r="C166" s="34">
        <v>1000</v>
      </c>
      <c r="D166" s="34" t="s">
        <v>131</v>
      </c>
      <c r="E166" s="53"/>
      <c r="F166" s="34">
        <v>60</v>
      </c>
      <c r="G166" s="56">
        <f t="shared" si="11"/>
        <v>0</v>
      </c>
    </row>
    <row r="167" spans="1:8" x14ac:dyDescent="0.3">
      <c r="A167" s="33" t="s">
        <v>1068</v>
      </c>
      <c r="B167" s="79" t="s">
        <v>140</v>
      </c>
      <c r="C167" s="34">
        <v>50</v>
      </c>
      <c r="D167" s="34" t="s">
        <v>131</v>
      </c>
      <c r="E167" s="53"/>
      <c r="F167" s="34">
        <v>60</v>
      </c>
      <c r="G167" s="56">
        <f t="shared" si="11"/>
        <v>0</v>
      </c>
    </row>
    <row r="168" spans="1:8" x14ac:dyDescent="0.3">
      <c r="A168" s="33" t="s">
        <v>1069</v>
      </c>
      <c r="B168" s="79" t="s">
        <v>917</v>
      </c>
      <c r="C168" s="34">
        <v>50</v>
      </c>
      <c r="D168" s="34" t="s">
        <v>131</v>
      </c>
      <c r="E168" s="53"/>
      <c r="F168" s="34">
        <v>60</v>
      </c>
      <c r="G168" s="56">
        <f t="shared" si="11"/>
        <v>0</v>
      </c>
    </row>
    <row r="169" spans="1:8" x14ac:dyDescent="0.3">
      <c r="A169" s="33"/>
      <c r="B169" s="79"/>
      <c r="C169" s="34"/>
      <c r="D169" s="34"/>
      <c r="E169" s="53"/>
      <c r="F169" s="53"/>
      <c r="G169" s="78">
        <f>SUM(G159:G168)</f>
        <v>0</v>
      </c>
    </row>
    <row r="170" spans="1:8" x14ac:dyDescent="0.3">
      <c r="A170" s="33"/>
      <c r="B170" s="20"/>
      <c r="C170" s="34"/>
      <c r="D170" s="34"/>
      <c r="E170" s="53"/>
      <c r="F170" s="53"/>
      <c r="G170" s="56"/>
    </row>
    <row r="171" spans="1:8" x14ac:dyDescent="0.3">
      <c r="A171" s="33" t="s">
        <v>1070</v>
      </c>
      <c r="B171" s="17" t="s">
        <v>945</v>
      </c>
      <c r="C171" s="61">
        <v>0</v>
      </c>
      <c r="D171" s="47" t="s">
        <v>222</v>
      </c>
      <c r="E171" s="53"/>
      <c r="F171" s="53" t="s">
        <v>1123</v>
      </c>
      <c r="G171" s="78">
        <f>IF(ISNUMBER(E171),C171*E171,0)</f>
        <v>0</v>
      </c>
    </row>
    <row r="172" spans="1:8" x14ac:dyDescent="0.3">
      <c r="A172" s="55"/>
      <c r="B172" s="13"/>
      <c r="C172" s="47"/>
      <c r="D172" s="47"/>
      <c r="E172" s="53"/>
      <c r="F172" s="53"/>
      <c r="G172" s="49"/>
    </row>
    <row r="173" spans="1:8" x14ac:dyDescent="0.3">
      <c r="A173" s="100" t="s">
        <v>1022</v>
      </c>
      <c r="B173" s="101"/>
      <c r="C173" s="101"/>
      <c r="D173" s="101"/>
      <c r="E173" s="101"/>
      <c r="F173" s="102"/>
      <c r="G173" s="81">
        <f>+G171+G169+G156+G112+G92+G29</f>
        <v>0</v>
      </c>
      <c r="H173" s="58"/>
    </row>
    <row r="174" spans="1:8" x14ac:dyDescent="0.3">
      <c r="A174" s="58"/>
      <c r="B174" s="58"/>
      <c r="C174" s="58"/>
      <c r="D174" s="58"/>
      <c r="E174" s="58"/>
      <c r="F174" s="58"/>
      <c r="G174" s="71"/>
      <c r="H174" s="58"/>
    </row>
    <row r="175" spans="1:8" x14ac:dyDescent="0.3">
      <c r="G175" s="70"/>
    </row>
    <row r="176" spans="1:8" x14ac:dyDescent="0.3">
      <c r="G176" s="70"/>
    </row>
    <row r="179" spans="7:7" x14ac:dyDescent="0.3">
      <c r="G179" s="67"/>
    </row>
  </sheetData>
  <protectedRanges>
    <protectedRange sqref="E158:F158 F127 F164 F123 F137:F140 F166 F169:F171 E156:F156 F150:F155 F116:F119 E116:E155 E159:E171 E1:F115" name="Unit Prices"/>
    <protectedRange sqref="B4:B29 B94:B113 B115:B156 B158:B171 B31:B92" name="Description"/>
    <protectedRange sqref="F124:F126" name="Unit Prices_1"/>
  </protectedRanges>
  <mergeCells count="6">
    <mergeCell ref="A173:F173"/>
    <mergeCell ref="A3:G3"/>
    <mergeCell ref="A30:G30"/>
    <mergeCell ref="A93:G93"/>
    <mergeCell ref="A113:G113"/>
    <mergeCell ref="A157:G157"/>
  </mergeCells>
  <pageMargins left="0.45" right="0.45" top="0.5" bottom="0.5" header="0.05" footer="0.05"/>
  <pageSetup scale="60" fitToHeight="7" orientation="landscape" r:id="rId1"/>
  <headerFooter>
    <oddHeader>&amp;LRCTSD VIPR&amp;COPTION YEAR 2</oddHeader>
    <oddFooter>&amp;C&amp;P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7"/>
  <sheetViews>
    <sheetView workbookViewId="0">
      <selection activeCell="B32" sqref="B32"/>
    </sheetView>
  </sheetViews>
  <sheetFormatPr defaultColWidth="9.109375" defaultRowHeight="14.4" x14ac:dyDescent="0.3"/>
  <cols>
    <col min="1" max="1" width="9" style="40" customWidth="1"/>
    <col min="2" max="2" width="74.109375" style="41" customWidth="1"/>
    <col min="3" max="3" width="11.44140625" style="5" customWidth="1"/>
    <col min="4" max="4" width="19" style="51" customWidth="1"/>
    <col min="5" max="5" width="13.5546875" style="44" customWidth="1"/>
    <col min="6" max="6" width="16.5546875" style="42" customWidth="1"/>
    <col min="7" max="16384" width="9.109375" style="1"/>
  </cols>
  <sheetData>
    <row r="1" spans="1:6" x14ac:dyDescent="0.3">
      <c r="A1" s="107" t="s">
        <v>238</v>
      </c>
      <c r="B1" s="107"/>
      <c r="C1" s="107"/>
      <c r="D1" s="107"/>
      <c r="E1" s="107"/>
      <c r="F1" s="107"/>
    </row>
    <row r="2" spans="1:6" ht="30.9" customHeight="1" x14ac:dyDescent="0.3">
      <c r="A2" s="108" t="s">
        <v>0</v>
      </c>
      <c r="B2" s="109"/>
      <c r="C2" s="109"/>
      <c r="D2" s="109"/>
      <c r="E2" s="109"/>
      <c r="F2" s="109"/>
    </row>
    <row r="3" spans="1:6" s="5" customFormat="1" x14ac:dyDescent="0.3">
      <c r="A3" s="2" t="s">
        <v>1</v>
      </c>
      <c r="B3" s="3" t="s">
        <v>2</v>
      </c>
      <c r="C3" s="3" t="s">
        <v>3</v>
      </c>
      <c r="D3" s="45" t="s">
        <v>4</v>
      </c>
      <c r="E3" s="4" t="s">
        <v>5</v>
      </c>
      <c r="F3" s="3" t="s">
        <v>6</v>
      </c>
    </row>
    <row r="4" spans="1:6" s="11" customFormat="1" ht="43.2" x14ac:dyDescent="0.3">
      <c r="A4" s="6">
        <v>1001</v>
      </c>
      <c r="B4" s="7" t="s">
        <v>8</v>
      </c>
      <c r="C4" s="8" t="s">
        <v>9</v>
      </c>
      <c r="D4" s="46" t="s">
        <v>9</v>
      </c>
      <c r="E4" s="9" t="s">
        <v>9</v>
      </c>
      <c r="F4" s="10" t="s">
        <v>9</v>
      </c>
    </row>
    <row r="5" spans="1:6" x14ac:dyDescent="0.3">
      <c r="A5" s="12" t="s">
        <v>239</v>
      </c>
      <c r="B5" s="13" t="s">
        <v>11</v>
      </c>
      <c r="C5" s="14">
        <f>Base!C115</f>
        <v>250</v>
      </c>
      <c r="D5" s="47" t="s">
        <v>12</v>
      </c>
      <c r="E5" s="43">
        <f>Base!E115*1.02</f>
        <v>0</v>
      </c>
      <c r="F5" s="15">
        <f>IF(ISNUMBER(E5),C5*E5,0)</f>
        <v>0</v>
      </c>
    </row>
    <row r="6" spans="1:6" x14ac:dyDescent="0.3">
      <c r="A6" s="12" t="s">
        <v>240</v>
      </c>
      <c r="B6" s="13" t="s">
        <v>14</v>
      </c>
      <c r="C6" s="14">
        <f>Base!C116</f>
        <v>500</v>
      </c>
      <c r="D6" s="47" t="s">
        <v>12</v>
      </c>
      <c r="E6" s="43">
        <f>Base!E116*1.02</f>
        <v>0</v>
      </c>
      <c r="F6" s="15">
        <f t="shared" ref="F6:F69" si="0">IF(ISNUMBER(E6),C6*E6,0)</f>
        <v>0</v>
      </c>
    </row>
    <row r="7" spans="1:6" x14ac:dyDescent="0.3">
      <c r="A7" s="12" t="s">
        <v>241</v>
      </c>
      <c r="B7" s="13" t="s">
        <v>16</v>
      </c>
      <c r="C7" s="14">
        <f>Base!C117</f>
        <v>200</v>
      </c>
      <c r="D7" s="47" t="s">
        <v>12</v>
      </c>
      <c r="E7" s="43">
        <f>Base!E117*1.02</f>
        <v>0</v>
      </c>
      <c r="F7" s="15">
        <f t="shared" si="0"/>
        <v>0</v>
      </c>
    </row>
    <row r="8" spans="1:6" x14ac:dyDescent="0.3">
      <c r="A8" s="12" t="s">
        <v>242</v>
      </c>
      <c r="B8" s="13" t="s">
        <v>18</v>
      </c>
      <c r="C8" s="14">
        <f>Base!C118</f>
        <v>500</v>
      </c>
      <c r="D8" s="47" t="s">
        <v>12</v>
      </c>
      <c r="E8" s="43">
        <f>Base!E118*1.02</f>
        <v>0</v>
      </c>
      <c r="F8" s="15">
        <f t="shared" si="0"/>
        <v>0</v>
      </c>
    </row>
    <row r="9" spans="1:6" ht="43.2" x14ac:dyDescent="0.3">
      <c r="A9" s="16">
        <v>1002</v>
      </c>
      <c r="B9" s="17" t="s">
        <v>20</v>
      </c>
      <c r="C9" s="14">
        <f>Base!C4</f>
        <v>0</v>
      </c>
      <c r="D9" s="48" t="s">
        <v>9</v>
      </c>
      <c r="E9" s="43">
        <f>Base!E4*1.02</f>
        <v>0</v>
      </c>
      <c r="F9" s="15"/>
    </row>
    <row r="10" spans="1:6" s="19" customFormat="1" x14ac:dyDescent="0.3">
      <c r="A10" s="12" t="s">
        <v>243</v>
      </c>
      <c r="B10" s="18" t="s">
        <v>22</v>
      </c>
      <c r="C10" s="14">
        <f>Base!C5</f>
        <v>250</v>
      </c>
      <c r="D10" s="47" t="s">
        <v>12</v>
      </c>
      <c r="E10" s="43">
        <f>Base!E5*1.02</f>
        <v>0</v>
      </c>
      <c r="F10" s="15">
        <f t="shared" si="0"/>
        <v>0</v>
      </c>
    </row>
    <row r="11" spans="1:6" x14ac:dyDescent="0.3">
      <c r="A11" s="12" t="s">
        <v>244</v>
      </c>
      <c r="B11" s="18" t="s">
        <v>24</v>
      </c>
      <c r="C11" s="14">
        <f>Base!C6</f>
        <v>500</v>
      </c>
      <c r="D11" s="47" t="s">
        <v>12</v>
      </c>
      <c r="E11" s="43">
        <f>Base!E6*1.02</f>
        <v>0</v>
      </c>
      <c r="F11" s="15">
        <f t="shared" si="0"/>
        <v>0</v>
      </c>
    </row>
    <row r="12" spans="1:6" x14ac:dyDescent="0.3">
      <c r="A12" s="12" t="s">
        <v>245</v>
      </c>
      <c r="B12" s="18" t="s">
        <v>25</v>
      </c>
      <c r="C12" s="14">
        <f>Base!C7</f>
        <v>200</v>
      </c>
      <c r="D12" s="47" t="s">
        <v>12</v>
      </c>
      <c r="E12" s="43">
        <f>Base!E7*1.02</f>
        <v>0</v>
      </c>
      <c r="F12" s="15">
        <f t="shared" si="0"/>
        <v>0</v>
      </c>
    </row>
    <row r="13" spans="1:6" ht="28.8" x14ac:dyDescent="0.3">
      <c r="A13" s="12" t="s">
        <v>246</v>
      </c>
      <c r="B13" s="18" t="s">
        <v>26</v>
      </c>
      <c r="C13" s="14">
        <f>Base!C8</f>
        <v>500</v>
      </c>
      <c r="D13" s="47" t="s">
        <v>12</v>
      </c>
      <c r="E13" s="43">
        <f>Base!E8*1.02</f>
        <v>0</v>
      </c>
      <c r="F13" s="15">
        <f t="shared" si="0"/>
        <v>0</v>
      </c>
    </row>
    <row r="14" spans="1:6" ht="28.8" x14ac:dyDescent="0.3">
      <c r="A14" s="6">
        <v>1003</v>
      </c>
      <c r="B14" s="20" t="s">
        <v>28</v>
      </c>
      <c r="C14" s="14">
        <f>Base!C18</f>
        <v>0</v>
      </c>
      <c r="D14" s="46" t="s">
        <v>9</v>
      </c>
      <c r="E14" s="43">
        <v>0</v>
      </c>
      <c r="F14" s="15"/>
    </row>
    <row r="15" spans="1:6" x14ac:dyDescent="0.3">
      <c r="A15" s="12" t="s">
        <v>247</v>
      </c>
      <c r="B15" s="21" t="s">
        <v>22</v>
      </c>
      <c r="C15" s="14">
        <f>Base!C19</f>
        <v>100</v>
      </c>
      <c r="D15" s="34" t="s">
        <v>12</v>
      </c>
      <c r="E15" s="43">
        <f>Base!E19*1.02</f>
        <v>0</v>
      </c>
      <c r="F15" s="15">
        <f t="shared" si="0"/>
        <v>0</v>
      </c>
    </row>
    <row r="16" spans="1:6" s="19" customFormat="1" x14ac:dyDescent="0.3">
      <c r="A16" s="12" t="s">
        <v>248</v>
      </c>
      <c r="B16" s="21" t="s">
        <v>24</v>
      </c>
      <c r="C16" s="14">
        <f>Base!C20</f>
        <v>100</v>
      </c>
      <c r="D16" s="34" t="s">
        <v>12</v>
      </c>
      <c r="E16" s="43">
        <f>Base!E20*1.02</f>
        <v>0</v>
      </c>
      <c r="F16" s="15">
        <f t="shared" si="0"/>
        <v>0</v>
      </c>
    </row>
    <row r="17" spans="1:6" x14ac:dyDescent="0.3">
      <c r="A17" s="12" t="s">
        <v>249</v>
      </c>
      <c r="B17" s="21" t="s">
        <v>25</v>
      </c>
      <c r="C17" s="14">
        <f>Base!C21</f>
        <v>100</v>
      </c>
      <c r="D17" s="34" t="s">
        <v>12</v>
      </c>
      <c r="E17" s="43">
        <f>Base!E21*1.02</f>
        <v>0</v>
      </c>
      <c r="F17" s="15">
        <f t="shared" si="0"/>
        <v>0</v>
      </c>
    </row>
    <row r="18" spans="1:6" ht="28.8" x14ac:dyDescent="0.3">
      <c r="A18" s="12" t="s">
        <v>250</v>
      </c>
      <c r="B18" s="21" t="s">
        <v>26</v>
      </c>
      <c r="C18" s="14">
        <f>Base!C22</f>
        <v>100</v>
      </c>
      <c r="D18" s="34" t="s">
        <v>12</v>
      </c>
      <c r="E18" s="43">
        <f>Base!E22*1.02</f>
        <v>0</v>
      </c>
      <c r="F18" s="15">
        <f t="shared" si="0"/>
        <v>0</v>
      </c>
    </row>
    <row r="19" spans="1:6" ht="43.2" x14ac:dyDescent="0.3">
      <c r="A19" s="16">
        <v>1004</v>
      </c>
      <c r="B19" s="22" t="s">
        <v>32</v>
      </c>
      <c r="C19" s="14">
        <f>Base!C31</f>
        <v>0</v>
      </c>
      <c r="D19" s="46" t="s">
        <v>9</v>
      </c>
      <c r="E19" s="43">
        <v>0</v>
      </c>
      <c r="F19" s="15"/>
    </row>
    <row r="20" spans="1:6" s="19" customFormat="1" x14ac:dyDescent="0.3">
      <c r="A20" s="23" t="s">
        <v>251</v>
      </c>
      <c r="B20" s="21" t="s">
        <v>34</v>
      </c>
      <c r="C20" s="14">
        <f>Base!C32</f>
        <v>250</v>
      </c>
      <c r="D20" s="49" t="s">
        <v>12</v>
      </c>
      <c r="E20" s="43">
        <f>Base!E32*1.02</f>
        <v>0</v>
      </c>
      <c r="F20" s="15">
        <f t="shared" si="0"/>
        <v>0</v>
      </c>
    </row>
    <row r="21" spans="1:6" x14ac:dyDescent="0.3">
      <c r="A21" s="23" t="s">
        <v>252</v>
      </c>
      <c r="B21" s="21" t="s">
        <v>36</v>
      </c>
      <c r="C21" s="14">
        <f>Base!C33</f>
        <v>1000</v>
      </c>
      <c r="D21" s="49" t="s">
        <v>12</v>
      </c>
      <c r="E21" s="43">
        <f>Base!E33*1.02</f>
        <v>0</v>
      </c>
      <c r="F21" s="15">
        <f t="shared" si="0"/>
        <v>0</v>
      </c>
    </row>
    <row r="22" spans="1:6" x14ac:dyDescent="0.3">
      <c r="A22" s="23" t="s">
        <v>253</v>
      </c>
      <c r="B22" s="21" t="s">
        <v>37</v>
      </c>
      <c r="C22" s="14">
        <f>Base!C34</f>
        <v>200</v>
      </c>
      <c r="D22" s="49" t="s">
        <v>12</v>
      </c>
      <c r="E22" s="43">
        <f>Base!E34*1.02</f>
        <v>0</v>
      </c>
      <c r="F22" s="15">
        <f t="shared" si="0"/>
        <v>0</v>
      </c>
    </row>
    <row r="23" spans="1:6" ht="28.8" x14ac:dyDescent="0.3">
      <c r="A23" s="23" t="s">
        <v>254</v>
      </c>
      <c r="B23" s="21" t="s">
        <v>38</v>
      </c>
      <c r="C23" s="14">
        <f>Base!C35</f>
        <v>50</v>
      </c>
      <c r="D23" s="49" t="s">
        <v>12</v>
      </c>
      <c r="E23" s="43">
        <f>Base!E35*1.02</f>
        <v>0</v>
      </c>
      <c r="F23" s="15">
        <f t="shared" si="0"/>
        <v>0</v>
      </c>
    </row>
    <row r="24" spans="1:6" ht="43.2" x14ac:dyDescent="0.3">
      <c r="A24" s="6">
        <v>1005</v>
      </c>
      <c r="B24" s="22" t="s">
        <v>40</v>
      </c>
      <c r="C24" s="14">
        <f>Base!C36</f>
        <v>0</v>
      </c>
      <c r="D24" s="48" t="s">
        <v>9</v>
      </c>
      <c r="E24" s="43">
        <v>0</v>
      </c>
      <c r="F24" s="15">
        <v>0</v>
      </c>
    </row>
    <row r="25" spans="1:6" s="19" customFormat="1" x14ac:dyDescent="0.3">
      <c r="A25" s="23" t="s">
        <v>255</v>
      </c>
      <c r="B25" s="21" t="s">
        <v>42</v>
      </c>
      <c r="C25" s="14">
        <f>Base!C37</f>
        <v>250</v>
      </c>
      <c r="D25" s="49" t="s">
        <v>12</v>
      </c>
      <c r="E25" s="43">
        <f>Base!E37*1.02</f>
        <v>0</v>
      </c>
      <c r="F25" s="15">
        <f t="shared" si="0"/>
        <v>0</v>
      </c>
    </row>
    <row r="26" spans="1:6" x14ac:dyDescent="0.3">
      <c r="A26" s="23" t="s">
        <v>256</v>
      </c>
      <c r="B26" s="21" t="s">
        <v>44</v>
      </c>
      <c r="C26" s="14">
        <f>Base!C38</f>
        <v>1000</v>
      </c>
      <c r="D26" s="49" t="s">
        <v>12</v>
      </c>
      <c r="E26" s="43">
        <f>Base!E38*1.02</f>
        <v>0</v>
      </c>
      <c r="F26" s="15">
        <f t="shared" si="0"/>
        <v>0</v>
      </c>
    </row>
    <row r="27" spans="1:6" x14ac:dyDescent="0.3">
      <c r="A27" s="23" t="s">
        <v>257</v>
      </c>
      <c r="B27" s="21" t="s">
        <v>46</v>
      </c>
      <c r="C27" s="14">
        <f>Base!C39</f>
        <v>200</v>
      </c>
      <c r="D27" s="49" t="s">
        <v>12</v>
      </c>
      <c r="E27" s="43">
        <f>Base!E39*1.02</f>
        <v>0</v>
      </c>
      <c r="F27" s="15">
        <f t="shared" si="0"/>
        <v>0</v>
      </c>
    </row>
    <row r="28" spans="1:6" ht="28.8" x14ac:dyDescent="0.3">
      <c r="A28" s="23" t="s">
        <v>258</v>
      </c>
      <c r="B28" s="21" t="s">
        <v>48</v>
      </c>
      <c r="C28" s="14">
        <f>Base!C40</f>
        <v>50</v>
      </c>
      <c r="D28" s="49" t="s">
        <v>12</v>
      </c>
      <c r="E28" s="43">
        <f>Base!E40*1.02</f>
        <v>0</v>
      </c>
      <c r="F28" s="15">
        <f t="shared" si="0"/>
        <v>0</v>
      </c>
    </row>
    <row r="29" spans="1:6" ht="43.2" x14ac:dyDescent="0.3">
      <c r="A29" s="16">
        <v>1006</v>
      </c>
      <c r="B29" s="22" t="s">
        <v>50</v>
      </c>
      <c r="C29" s="14">
        <f>Base!C41</f>
        <v>0</v>
      </c>
      <c r="D29" s="46" t="s">
        <v>9</v>
      </c>
      <c r="E29" s="43">
        <v>0</v>
      </c>
      <c r="F29" s="15"/>
    </row>
    <row r="30" spans="1:6" s="19" customFormat="1" x14ac:dyDescent="0.3">
      <c r="A30" s="23" t="s">
        <v>259</v>
      </c>
      <c r="B30" s="21" t="s">
        <v>34</v>
      </c>
      <c r="C30" s="14">
        <f>Base!C42</f>
        <v>1</v>
      </c>
      <c r="D30" s="49" t="s">
        <v>52</v>
      </c>
      <c r="E30" s="43">
        <f>Base!E42*1.02</f>
        <v>0</v>
      </c>
      <c r="F30" s="15">
        <f t="shared" si="0"/>
        <v>0</v>
      </c>
    </row>
    <row r="31" spans="1:6" x14ac:dyDescent="0.3">
      <c r="A31" s="23" t="s">
        <v>260</v>
      </c>
      <c r="B31" s="21" t="s">
        <v>36</v>
      </c>
      <c r="C31" s="14">
        <f>Base!C43</f>
        <v>1</v>
      </c>
      <c r="D31" s="49" t="s">
        <v>52</v>
      </c>
      <c r="E31" s="43">
        <f>Base!E43*1.02</f>
        <v>0</v>
      </c>
      <c r="F31" s="15">
        <f t="shared" si="0"/>
        <v>0</v>
      </c>
    </row>
    <row r="32" spans="1:6" x14ac:dyDescent="0.3">
      <c r="A32" s="23" t="s">
        <v>261</v>
      </c>
      <c r="B32" s="21" t="s">
        <v>37</v>
      </c>
      <c r="C32" s="14">
        <f>Base!C44</f>
        <v>1</v>
      </c>
      <c r="D32" s="49" t="s">
        <v>52</v>
      </c>
      <c r="E32" s="43">
        <f>Base!E44*1.02</f>
        <v>0</v>
      </c>
      <c r="F32" s="15">
        <f t="shared" si="0"/>
        <v>0</v>
      </c>
    </row>
    <row r="33" spans="1:6" ht="28.8" x14ac:dyDescent="0.3">
      <c r="A33" s="23" t="s">
        <v>262</v>
      </c>
      <c r="B33" s="21" t="s">
        <v>38</v>
      </c>
      <c r="C33" s="14">
        <f>Base!C45</f>
        <v>1</v>
      </c>
      <c r="D33" s="49" t="s">
        <v>52</v>
      </c>
      <c r="E33" s="43">
        <f>Base!E45*1.02</f>
        <v>0</v>
      </c>
      <c r="F33" s="15">
        <f t="shared" si="0"/>
        <v>0</v>
      </c>
    </row>
    <row r="34" spans="1:6" ht="43.2" x14ac:dyDescent="0.3">
      <c r="A34" s="6">
        <v>1007</v>
      </c>
      <c r="B34" s="22" t="s">
        <v>55</v>
      </c>
      <c r="C34" s="14">
        <f>Base!C46</f>
        <v>0</v>
      </c>
      <c r="D34" s="48" t="s">
        <v>9</v>
      </c>
      <c r="E34" s="43">
        <v>0</v>
      </c>
      <c r="F34" s="15"/>
    </row>
    <row r="35" spans="1:6" s="19" customFormat="1" x14ac:dyDescent="0.3">
      <c r="A35" s="23" t="s">
        <v>263</v>
      </c>
      <c r="B35" s="21" t="s">
        <v>42</v>
      </c>
      <c r="C35" s="14">
        <f>Base!C47</f>
        <v>1</v>
      </c>
      <c r="D35" s="49" t="s">
        <v>52</v>
      </c>
      <c r="E35" s="43">
        <f>Base!E47*1.02</f>
        <v>0</v>
      </c>
      <c r="F35" s="15">
        <f t="shared" si="0"/>
        <v>0</v>
      </c>
    </row>
    <row r="36" spans="1:6" x14ac:dyDescent="0.3">
      <c r="A36" s="23" t="s">
        <v>264</v>
      </c>
      <c r="B36" s="21" t="s">
        <v>44</v>
      </c>
      <c r="C36" s="14">
        <f>Base!C48</f>
        <v>1</v>
      </c>
      <c r="D36" s="49" t="s">
        <v>52</v>
      </c>
      <c r="E36" s="43">
        <f>Base!E48*1.02</f>
        <v>0</v>
      </c>
      <c r="F36" s="15">
        <f t="shared" si="0"/>
        <v>0</v>
      </c>
    </row>
    <row r="37" spans="1:6" x14ac:dyDescent="0.3">
      <c r="A37" s="23" t="s">
        <v>265</v>
      </c>
      <c r="B37" s="21" t="s">
        <v>46</v>
      </c>
      <c r="C37" s="14">
        <f>Base!C49</f>
        <v>1</v>
      </c>
      <c r="D37" s="49" t="s">
        <v>52</v>
      </c>
      <c r="E37" s="43">
        <f>Base!E49*1.02</f>
        <v>0</v>
      </c>
      <c r="F37" s="15">
        <f t="shared" si="0"/>
        <v>0</v>
      </c>
    </row>
    <row r="38" spans="1:6" ht="28.8" x14ac:dyDescent="0.3">
      <c r="A38" s="23" t="s">
        <v>266</v>
      </c>
      <c r="B38" s="21" t="s">
        <v>48</v>
      </c>
      <c r="C38" s="14">
        <f>Base!C50</f>
        <v>1</v>
      </c>
      <c r="D38" s="49" t="s">
        <v>52</v>
      </c>
      <c r="E38" s="43">
        <f>Base!E50*1.02</f>
        <v>0</v>
      </c>
      <c r="F38" s="15">
        <f t="shared" si="0"/>
        <v>0</v>
      </c>
    </row>
    <row r="39" spans="1:6" ht="43.2" x14ac:dyDescent="0.3">
      <c r="A39" s="6">
        <v>1008</v>
      </c>
      <c r="B39" s="24" t="s">
        <v>59</v>
      </c>
      <c r="C39" s="14">
        <f>Base!C94</f>
        <v>0</v>
      </c>
      <c r="D39" s="48" t="s">
        <v>9</v>
      </c>
      <c r="E39" s="43">
        <v>0</v>
      </c>
      <c r="F39" s="15"/>
    </row>
    <row r="40" spans="1:6" s="19" customFormat="1" x14ac:dyDescent="0.3">
      <c r="A40" s="23" t="s">
        <v>267</v>
      </c>
      <c r="B40" s="21" t="s">
        <v>61</v>
      </c>
      <c r="C40" s="14">
        <f>Base!C95</f>
        <v>200</v>
      </c>
      <c r="D40" s="47" t="s">
        <v>62</v>
      </c>
      <c r="E40" s="43">
        <f>Base!E95*1.02</f>
        <v>0</v>
      </c>
      <c r="F40" s="15">
        <f t="shared" si="0"/>
        <v>0</v>
      </c>
    </row>
    <row r="41" spans="1:6" x14ac:dyDescent="0.3">
      <c r="A41" s="23" t="s">
        <v>268</v>
      </c>
      <c r="B41" s="21" t="s">
        <v>64</v>
      </c>
      <c r="C41" s="14">
        <f>Base!C96</f>
        <v>200</v>
      </c>
      <c r="D41" s="47" t="s">
        <v>62</v>
      </c>
      <c r="E41" s="43">
        <f>Base!E96*1.02</f>
        <v>0</v>
      </c>
      <c r="F41" s="15">
        <f t="shared" si="0"/>
        <v>0</v>
      </c>
    </row>
    <row r="42" spans="1:6" x14ac:dyDescent="0.3">
      <c r="A42" s="23" t="s">
        <v>269</v>
      </c>
      <c r="B42" s="21" t="s">
        <v>66</v>
      </c>
      <c r="C42" s="14">
        <f>Base!C97</f>
        <v>200</v>
      </c>
      <c r="D42" s="47" t="s">
        <v>62</v>
      </c>
      <c r="E42" s="43">
        <f>Base!E97*1.02</f>
        <v>0</v>
      </c>
      <c r="F42" s="15">
        <f t="shared" si="0"/>
        <v>0</v>
      </c>
    </row>
    <row r="43" spans="1:6" x14ac:dyDescent="0.3">
      <c r="A43" s="23" t="s">
        <v>270</v>
      </c>
      <c r="B43" s="21" t="s">
        <v>68</v>
      </c>
      <c r="C43" s="14">
        <f>Base!C98</f>
        <v>200</v>
      </c>
      <c r="D43" s="47" t="s">
        <v>62</v>
      </c>
      <c r="E43" s="43">
        <f>Base!E98*1.02</f>
        <v>0</v>
      </c>
      <c r="F43" s="15">
        <f t="shared" si="0"/>
        <v>0</v>
      </c>
    </row>
    <row r="44" spans="1:6" ht="43.2" x14ac:dyDescent="0.3">
      <c r="A44" s="6">
        <v>1009</v>
      </c>
      <c r="B44" s="24" t="s">
        <v>70</v>
      </c>
      <c r="C44" s="14">
        <f>Base!C99</f>
        <v>0</v>
      </c>
      <c r="D44" s="48" t="s">
        <v>9</v>
      </c>
      <c r="E44" s="43">
        <v>0</v>
      </c>
      <c r="F44" s="15">
        <v>0</v>
      </c>
    </row>
    <row r="45" spans="1:6" x14ac:dyDescent="0.3">
      <c r="A45" s="12" t="s">
        <v>271</v>
      </c>
      <c r="B45" s="21" t="s">
        <v>72</v>
      </c>
      <c r="C45" s="14">
        <f>Base!C100</f>
        <v>200</v>
      </c>
      <c r="D45" s="47" t="s">
        <v>62</v>
      </c>
      <c r="E45" s="43">
        <f>Base!E100*1.02</f>
        <v>0</v>
      </c>
      <c r="F45" s="15">
        <f t="shared" si="0"/>
        <v>0</v>
      </c>
    </row>
    <row r="46" spans="1:6" s="19" customFormat="1" x14ac:dyDescent="0.3">
      <c r="A46" s="12" t="s">
        <v>272</v>
      </c>
      <c r="B46" s="21" t="s">
        <v>74</v>
      </c>
      <c r="C46" s="14">
        <f>Base!C101</f>
        <v>200</v>
      </c>
      <c r="D46" s="47" t="s">
        <v>62</v>
      </c>
      <c r="E46" s="43">
        <f>Base!E101*1.02</f>
        <v>0</v>
      </c>
      <c r="F46" s="15">
        <f t="shared" si="0"/>
        <v>0</v>
      </c>
    </row>
    <row r="47" spans="1:6" x14ac:dyDescent="0.3">
      <c r="A47" s="12" t="s">
        <v>273</v>
      </c>
      <c r="B47" s="21" t="s">
        <v>76</v>
      </c>
      <c r="C47" s="14">
        <f>Base!C102</f>
        <v>200</v>
      </c>
      <c r="D47" s="47" t="s">
        <v>62</v>
      </c>
      <c r="E47" s="43">
        <f>Base!E102*1.02</f>
        <v>0</v>
      </c>
      <c r="F47" s="15">
        <f t="shared" si="0"/>
        <v>0</v>
      </c>
    </row>
    <row r="48" spans="1:6" x14ac:dyDescent="0.3">
      <c r="A48" s="12" t="s">
        <v>274</v>
      </c>
      <c r="B48" s="21" t="s">
        <v>78</v>
      </c>
      <c r="C48" s="14" t="e">
        <f>Base!#REF!</f>
        <v>#REF!</v>
      </c>
      <c r="D48" s="47" t="s">
        <v>62</v>
      </c>
      <c r="E48" s="43" t="e">
        <f>Base!#REF!*1.02</f>
        <v>#REF!</v>
      </c>
      <c r="F48" s="15">
        <f t="shared" si="0"/>
        <v>0</v>
      </c>
    </row>
    <row r="49" spans="1:6" ht="43.2" x14ac:dyDescent="0.3">
      <c r="A49" s="6">
        <v>1010</v>
      </c>
      <c r="B49" s="24" t="s">
        <v>80</v>
      </c>
      <c r="C49" s="14">
        <f>Base!C103</f>
        <v>0</v>
      </c>
      <c r="D49" s="48" t="s">
        <v>9</v>
      </c>
      <c r="E49" s="43">
        <v>0</v>
      </c>
      <c r="F49" s="15"/>
    </row>
    <row r="50" spans="1:6" s="19" customFormat="1" x14ac:dyDescent="0.3">
      <c r="A50" s="23" t="s">
        <v>275</v>
      </c>
      <c r="B50" s="21" t="s">
        <v>61</v>
      </c>
      <c r="C50" s="14">
        <f>Base!C104</f>
        <v>200</v>
      </c>
      <c r="D50" s="47" t="s">
        <v>62</v>
      </c>
      <c r="E50" s="43">
        <f>Base!E104*1.02</f>
        <v>0</v>
      </c>
      <c r="F50" s="15">
        <f t="shared" si="0"/>
        <v>0</v>
      </c>
    </row>
    <row r="51" spans="1:6" x14ac:dyDescent="0.3">
      <c r="A51" s="12" t="s">
        <v>276</v>
      </c>
      <c r="B51" s="21" t="s">
        <v>64</v>
      </c>
      <c r="C51" s="14">
        <f>Base!C105</f>
        <v>200</v>
      </c>
      <c r="D51" s="47" t="s">
        <v>62</v>
      </c>
      <c r="E51" s="43">
        <f>Base!E105*1.02</f>
        <v>0</v>
      </c>
      <c r="F51" s="15">
        <f t="shared" si="0"/>
        <v>0</v>
      </c>
    </row>
    <row r="52" spans="1:6" x14ac:dyDescent="0.3">
      <c r="A52" s="12" t="s">
        <v>277</v>
      </c>
      <c r="B52" s="21" t="s">
        <v>66</v>
      </c>
      <c r="C52" s="14">
        <f>Base!C106</f>
        <v>200</v>
      </c>
      <c r="D52" s="47" t="s">
        <v>62</v>
      </c>
      <c r="E52" s="43">
        <f>Base!E106*1.02</f>
        <v>0</v>
      </c>
      <c r="F52" s="15">
        <f t="shared" si="0"/>
        <v>0</v>
      </c>
    </row>
    <row r="53" spans="1:6" x14ac:dyDescent="0.3">
      <c r="A53" s="12" t="s">
        <v>278</v>
      </c>
      <c r="B53" s="21" t="s">
        <v>68</v>
      </c>
      <c r="C53" s="14">
        <f>Base!C107</f>
        <v>200</v>
      </c>
      <c r="D53" s="47" t="s">
        <v>62</v>
      </c>
      <c r="E53" s="43">
        <f>Base!E107*1.02</f>
        <v>0</v>
      </c>
      <c r="F53" s="15">
        <f t="shared" si="0"/>
        <v>0</v>
      </c>
    </row>
    <row r="54" spans="1:6" ht="43.2" x14ac:dyDescent="0.3">
      <c r="A54" s="6">
        <v>1011</v>
      </c>
      <c r="B54" s="24" t="s">
        <v>86</v>
      </c>
      <c r="C54" s="14">
        <f>Base!C108</f>
        <v>0</v>
      </c>
      <c r="D54" s="48" t="s">
        <v>9</v>
      </c>
      <c r="E54" s="43">
        <v>0</v>
      </c>
      <c r="F54" s="15"/>
    </row>
    <row r="55" spans="1:6" x14ac:dyDescent="0.3">
      <c r="A55" s="23" t="s">
        <v>279</v>
      </c>
      <c r="B55" s="21" t="s">
        <v>72</v>
      </c>
      <c r="C55" s="14">
        <f>Base!C109</f>
        <v>200</v>
      </c>
      <c r="D55" s="47" t="s">
        <v>62</v>
      </c>
      <c r="E55" s="43">
        <f>Base!E109*1.02</f>
        <v>0</v>
      </c>
      <c r="F55" s="15">
        <f t="shared" si="0"/>
        <v>0</v>
      </c>
    </row>
    <row r="56" spans="1:6" s="19" customFormat="1" x14ac:dyDescent="0.3">
      <c r="A56" s="12" t="s">
        <v>280</v>
      </c>
      <c r="B56" s="21" t="s">
        <v>74</v>
      </c>
      <c r="C56" s="14">
        <f>Base!C110</f>
        <v>200</v>
      </c>
      <c r="D56" s="47" t="s">
        <v>62</v>
      </c>
      <c r="E56" s="43">
        <f>Base!E110*1.02</f>
        <v>0</v>
      </c>
      <c r="F56" s="15">
        <f t="shared" si="0"/>
        <v>0</v>
      </c>
    </row>
    <row r="57" spans="1:6" x14ac:dyDescent="0.3">
      <c r="A57" s="12" t="s">
        <v>281</v>
      </c>
      <c r="B57" s="21" t="s">
        <v>76</v>
      </c>
      <c r="C57" s="14">
        <f>Base!C111</f>
        <v>200</v>
      </c>
      <c r="D57" s="47" t="s">
        <v>62</v>
      </c>
      <c r="E57" s="43">
        <f>Base!E111*1.02</f>
        <v>0</v>
      </c>
      <c r="F57" s="15">
        <f t="shared" si="0"/>
        <v>0</v>
      </c>
    </row>
    <row r="58" spans="1:6" x14ac:dyDescent="0.3">
      <c r="A58" s="12" t="s">
        <v>282</v>
      </c>
      <c r="B58" s="21" t="s">
        <v>78</v>
      </c>
      <c r="C58" s="14" t="e">
        <f>Base!#REF!</f>
        <v>#REF!</v>
      </c>
      <c r="D58" s="47" t="s">
        <v>62</v>
      </c>
      <c r="E58" s="43" t="e">
        <f>Base!#REF!*1.02</f>
        <v>#REF!</v>
      </c>
      <c r="F58" s="15">
        <f t="shared" si="0"/>
        <v>0</v>
      </c>
    </row>
    <row r="59" spans="1:6" ht="28.8" x14ac:dyDescent="0.3">
      <c r="A59" s="6">
        <v>1012</v>
      </c>
      <c r="B59" s="24" t="s">
        <v>92</v>
      </c>
      <c r="C59" s="14">
        <f>Base!C51</f>
        <v>0</v>
      </c>
      <c r="D59" s="46" t="s">
        <v>9</v>
      </c>
      <c r="E59" s="43">
        <v>0</v>
      </c>
      <c r="F59" s="15"/>
    </row>
    <row r="60" spans="1:6" x14ac:dyDescent="0.3">
      <c r="A60" s="23" t="s">
        <v>283</v>
      </c>
      <c r="B60" s="21" t="s">
        <v>94</v>
      </c>
      <c r="C60" s="14">
        <f>Base!C52</f>
        <v>1000</v>
      </c>
      <c r="D60" s="34" t="s">
        <v>95</v>
      </c>
      <c r="E60" s="43">
        <f>Base!E52*1.02</f>
        <v>0</v>
      </c>
      <c r="F60" s="15">
        <f t="shared" si="0"/>
        <v>0</v>
      </c>
    </row>
    <row r="61" spans="1:6" x14ac:dyDescent="0.3">
      <c r="A61" s="23" t="s">
        <v>284</v>
      </c>
      <c r="B61" s="21" t="s">
        <v>97</v>
      </c>
      <c r="C61" s="14">
        <f>Base!C53</f>
        <v>1000</v>
      </c>
      <c r="D61" s="34" t="s">
        <v>95</v>
      </c>
      <c r="E61" s="43">
        <f>Base!E53*1.02</f>
        <v>0</v>
      </c>
      <c r="F61" s="15">
        <f t="shared" si="0"/>
        <v>0</v>
      </c>
    </row>
    <row r="62" spans="1:6" x14ac:dyDescent="0.3">
      <c r="A62" s="23" t="s">
        <v>285</v>
      </c>
      <c r="B62" s="21" t="s">
        <v>99</v>
      </c>
      <c r="C62" s="14">
        <f>Base!C54</f>
        <v>1000</v>
      </c>
      <c r="D62" s="34" t="s">
        <v>95</v>
      </c>
      <c r="E62" s="43">
        <f>Base!E54*1.02</f>
        <v>0</v>
      </c>
      <c r="F62" s="15">
        <f t="shared" si="0"/>
        <v>0</v>
      </c>
    </row>
    <row r="63" spans="1:6" x14ac:dyDescent="0.3">
      <c r="A63" s="23" t="s">
        <v>286</v>
      </c>
      <c r="B63" s="21" t="s">
        <v>101</v>
      </c>
      <c r="C63" s="14">
        <f>Base!C55</f>
        <v>1000</v>
      </c>
      <c r="D63" s="34" t="s">
        <v>95</v>
      </c>
      <c r="E63" s="43">
        <f>Base!E55*1.02</f>
        <v>0</v>
      </c>
      <c r="F63" s="15">
        <f t="shared" si="0"/>
        <v>0</v>
      </c>
    </row>
    <row r="64" spans="1:6" s="19" customFormat="1" x14ac:dyDescent="0.3">
      <c r="A64" s="23" t="s">
        <v>287</v>
      </c>
      <c r="B64" s="21" t="s">
        <v>103</v>
      </c>
      <c r="C64" s="14">
        <f>Base!C56</f>
        <v>1000</v>
      </c>
      <c r="D64" s="34" t="s">
        <v>95</v>
      </c>
      <c r="E64" s="43">
        <f>Base!E56*1.02</f>
        <v>0</v>
      </c>
      <c r="F64" s="15">
        <f t="shared" si="0"/>
        <v>0</v>
      </c>
    </row>
    <row r="65" spans="1:6" x14ac:dyDescent="0.3">
      <c r="A65" s="23" t="s">
        <v>288</v>
      </c>
      <c r="B65" s="21" t="s">
        <v>105</v>
      </c>
      <c r="C65" s="14">
        <f>Base!C57</f>
        <v>1000</v>
      </c>
      <c r="D65" s="34" t="s">
        <v>95</v>
      </c>
      <c r="E65" s="43">
        <f>Base!E57*1.02</f>
        <v>0</v>
      </c>
      <c r="F65" s="15">
        <f t="shared" si="0"/>
        <v>0</v>
      </c>
    </row>
    <row r="66" spans="1:6" x14ac:dyDescent="0.3">
      <c r="A66" s="23" t="s">
        <v>289</v>
      </c>
      <c r="B66" s="21" t="s">
        <v>107</v>
      </c>
      <c r="C66" s="14">
        <f>Base!C58</f>
        <v>1000</v>
      </c>
      <c r="D66" s="34" t="s">
        <v>95</v>
      </c>
      <c r="E66" s="43">
        <f>Base!E58*1.02</f>
        <v>0</v>
      </c>
      <c r="F66" s="15">
        <f t="shared" si="0"/>
        <v>0</v>
      </c>
    </row>
    <row r="67" spans="1:6" x14ac:dyDescent="0.3">
      <c r="A67" s="23" t="s">
        <v>290</v>
      </c>
      <c r="B67" s="21" t="s">
        <v>108</v>
      </c>
      <c r="C67" s="14" t="e">
        <f>Base!#REF!</f>
        <v>#REF!</v>
      </c>
      <c r="D67" s="34" t="s">
        <v>95</v>
      </c>
      <c r="E67" s="43" t="e">
        <f>Base!#REF!*1.02</f>
        <v>#REF!</v>
      </c>
      <c r="F67" s="15">
        <f t="shared" si="0"/>
        <v>0</v>
      </c>
    </row>
    <row r="68" spans="1:6" ht="28.8" x14ac:dyDescent="0.3">
      <c r="A68" s="6">
        <v>1013</v>
      </c>
      <c r="B68" s="24" t="s">
        <v>109</v>
      </c>
      <c r="C68" s="14" t="e">
        <f>Base!#REF!</f>
        <v>#REF!</v>
      </c>
      <c r="D68" s="46" t="s">
        <v>9</v>
      </c>
      <c r="E68" s="43">
        <v>0</v>
      </c>
      <c r="F68" s="15"/>
    </row>
    <row r="69" spans="1:6" x14ac:dyDescent="0.3">
      <c r="A69" s="23" t="s">
        <v>291</v>
      </c>
      <c r="B69" s="21" t="s">
        <v>94</v>
      </c>
      <c r="C69" s="14" t="e">
        <f>Base!#REF!</f>
        <v>#REF!</v>
      </c>
      <c r="D69" s="34" t="s">
        <v>95</v>
      </c>
      <c r="E69" s="43" t="e">
        <f>Base!#REF!*1.02</f>
        <v>#REF!</v>
      </c>
      <c r="F69" s="15">
        <f t="shared" si="0"/>
        <v>0</v>
      </c>
    </row>
    <row r="70" spans="1:6" x14ac:dyDescent="0.3">
      <c r="A70" s="23" t="s">
        <v>292</v>
      </c>
      <c r="B70" s="21" t="s">
        <v>97</v>
      </c>
      <c r="C70" s="14" t="e">
        <f>Base!#REF!</f>
        <v>#REF!</v>
      </c>
      <c r="D70" s="34" t="s">
        <v>95</v>
      </c>
      <c r="E70" s="43" t="e">
        <f>Base!#REF!*1.02</f>
        <v>#REF!</v>
      </c>
      <c r="F70" s="15">
        <f t="shared" ref="F70:F133" si="1">IF(ISNUMBER(E70),C70*E70,0)</f>
        <v>0</v>
      </c>
    </row>
    <row r="71" spans="1:6" x14ac:dyDescent="0.3">
      <c r="A71" s="23" t="s">
        <v>293</v>
      </c>
      <c r="B71" s="21" t="s">
        <v>99</v>
      </c>
      <c r="C71" s="14" t="e">
        <f>Base!#REF!</f>
        <v>#REF!</v>
      </c>
      <c r="D71" s="34" t="s">
        <v>95</v>
      </c>
      <c r="E71" s="43" t="e">
        <f>Base!#REF!*1.02</f>
        <v>#REF!</v>
      </c>
      <c r="F71" s="15">
        <f t="shared" si="1"/>
        <v>0</v>
      </c>
    </row>
    <row r="72" spans="1:6" x14ac:dyDescent="0.3">
      <c r="A72" s="23" t="s">
        <v>294</v>
      </c>
      <c r="B72" s="21" t="s">
        <v>101</v>
      </c>
      <c r="C72" s="14" t="e">
        <f>Base!#REF!</f>
        <v>#REF!</v>
      </c>
      <c r="D72" s="34" t="s">
        <v>95</v>
      </c>
      <c r="E72" s="43" t="e">
        <f>Base!#REF!*1.02</f>
        <v>#REF!</v>
      </c>
      <c r="F72" s="15">
        <f t="shared" si="1"/>
        <v>0</v>
      </c>
    </row>
    <row r="73" spans="1:6" s="19" customFormat="1" x14ac:dyDescent="0.3">
      <c r="A73" s="23" t="s">
        <v>295</v>
      </c>
      <c r="B73" s="21" t="s">
        <v>103</v>
      </c>
      <c r="C73" s="14" t="e">
        <f>Base!#REF!</f>
        <v>#REF!</v>
      </c>
      <c r="D73" s="34" t="s">
        <v>95</v>
      </c>
      <c r="E73" s="43" t="e">
        <f>Base!#REF!*1.02</f>
        <v>#REF!</v>
      </c>
      <c r="F73" s="15">
        <f t="shared" si="1"/>
        <v>0</v>
      </c>
    </row>
    <row r="74" spans="1:6" x14ac:dyDescent="0.3">
      <c r="A74" s="23" t="s">
        <v>296</v>
      </c>
      <c r="B74" s="21" t="s">
        <v>105</v>
      </c>
      <c r="C74" s="14" t="e">
        <f>Base!#REF!</f>
        <v>#REF!</v>
      </c>
      <c r="D74" s="34" t="s">
        <v>95</v>
      </c>
      <c r="E74" s="43" t="e">
        <f>Base!#REF!*1.02</f>
        <v>#REF!</v>
      </c>
      <c r="F74" s="15">
        <f t="shared" si="1"/>
        <v>0</v>
      </c>
    </row>
    <row r="75" spans="1:6" x14ac:dyDescent="0.3">
      <c r="A75" s="23" t="s">
        <v>297</v>
      </c>
      <c r="B75" s="21" t="s">
        <v>107</v>
      </c>
      <c r="C75" s="14" t="e">
        <f>Base!#REF!</f>
        <v>#REF!</v>
      </c>
      <c r="D75" s="34" t="s">
        <v>95</v>
      </c>
      <c r="E75" s="43" t="e">
        <f>Base!#REF!*1.02</f>
        <v>#REF!</v>
      </c>
      <c r="F75" s="15">
        <f t="shared" si="1"/>
        <v>0</v>
      </c>
    </row>
    <row r="76" spans="1:6" x14ac:dyDescent="0.3">
      <c r="A76" s="23" t="s">
        <v>298</v>
      </c>
      <c r="B76" s="21" t="s">
        <v>108</v>
      </c>
      <c r="C76" s="14" t="e">
        <f>Base!#REF!</f>
        <v>#REF!</v>
      </c>
      <c r="D76" s="34" t="s">
        <v>95</v>
      </c>
      <c r="E76" s="43" t="e">
        <f>Base!#REF!*1.02</f>
        <v>#REF!</v>
      </c>
      <c r="F76" s="15">
        <f t="shared" si="1"/>
        <v>0</v>
      </c>
    </row>
    <row r="77" spans="1:6" ht="28.8" x14ac:dyDescent="0.3">
      <c r="A77" s="6">
        <v>1014</v>
      </c>
      <c r="B77" s="24" t="s">
        <v>110</v>
      </c>
      <c r="C77" s="14">
        <f>Base!C59</f>
        <v>0</v>
      </c>
      <c r="D77" s="46" t="s">
        <v>9</v>
      </c>
      <c r="E77" s="43">
        <v>0</v>
      </c>
      <c r="F77" s="15"/>
    </row>
    <row r="78" spans="1:6" x14ac:dyDescent="0.3">
      <c r="A78" s="23" t="s">
        <v>299</v>
      </c>
      <c r="B78" s="21" t="s">
        <v>94</v>
      </c>
      <c r="C78" s="14">
        <f>Base!C60</f>
        <v>2500</v>
      </c>
      <c r="D78" s="34" t="s">
        <v>95</v>
      </c>
      <c r="E78" s="43">
        <f>Base!E60*1.02</f>
        <v>0</v>
      </c>
      <c r="F78" s="15">
        <f t="shared" si="1"/>
        <v>0</v>
      </c>
    </row>
    <row r="79" spans="1:6" x14ac:dyDescent="0.3">
      <c r="A79" s="23" t="s">
        <v>300</v>
      </c>
      <c r="B79" s="21" t="s">
        <v>97</v>
      </c>
      <c r="C79" s="14">
        <f>Base!C61</f>
        <v>2500</v>
      </c>
      <c r="D79" s="34" t="s">
        <v>95</v>
      </c>
      <c r="E79" s="43">
        <f>Base!E61*1.02</f>
        <v>0</v>
      </c>
      <c r="F79" s="15">
        <f t="shared" si="1"/>
        <v>0</v>
      </c>
    </row>
    <row r="80" spans="1:6" x14ac:dyDescent="0.3">
      <c r="A80" s="23" t="s">
        <v>301</v>
      </c>
      <c r="B80" s="21" t="s">
        <v>99</v>
      </c>
      <c r="C80" s="14">
        <f>Base!C62</f>
        <v>2500</v>
      </c>
      <c r="D80" s="34" t="s">
        <v>95</v>
      </c>
      <c r="E80" s="43">
        <f>Base!E62*1.02</f>
        <v>0</v>
      </c>
      <c r="F80" s="15">
        <f t="shared" si="1"/>
        <v>0</v>
      </c>
    </row>
    <row r="81" spans="1:6" x14ac:dyDescent="0.3">
      <c r="A81" s="23" t="s">
        <v>302</v>
      </c>
      <c r="B81" s="21" t="s">
        <v>101</v>
      </c>
      <c r="C81" s="14">
        <f>Base!C63</f>
        <v>2500</v>
      </c>
      <c r="D81" s="34" t="s">
        <v>95</v>
      </c>
      <c r="E81" s="43">
        <f>Base!E63*1.02</f>
        <v>0</v>
      </c>
      <c r="F81" s="15">
        <f t="shared" si="1"/>
        <v>0</v>
      </c>
    </row>
    <row r="82" spans="1:6" s="19" customFormat="1" x14ac:dyDescent="0.3">
      <c r="A82" s="23" t="s">
        <v>303</v>
      </c>
      <c r="B82" s="21" t="s">
        <v>103</v>
      </c>
      <c r="C82" s="14">
        <f>Base!C64</f>
        <v>2500</v>
      </c>
      <c r="D82" s="34" t="s">
        <v>95</v>
      </c>
      <c r="E82" s="43">
        <f>Base!E64*1.02</f>
        <v>0</v>
      </c>
      <c r="F82" s="15">
        <f t="shared" si="1"/>
        <v>0</v>
      </c>
    </row>
    <row r="83" spans="1:6" x14ac:dyDescent="0.3">
      <c r="A83" s="23" t="s">
        <v>304</v>
      </c>
      <c r="B83" s="21" t="s">
        <v>105</v>
      </c>
      <c r="C83" s="14">
        <f>Base!C65</f>
        <v>2500</v>
      </c>
      <c r="D83" s="34" t="s">
        <v>95</v>
      </c>
      <c r="E83" s="43">
        <f>Base!E65*1.02</f>
        <v>0</v>
      </c>
      <c r="F83" s="15">
        <f t="shared" si="1"/>
        <v>0</v>
      </c>
    </row>
    <row r="84" spans="1:6" x14ac:dyDescent="0.3">
      <c r="A84" s="23" t="s">
        <v>305</v>
      </c>
      <c r="B84" s="21" t="s">
        <v>107</v>
      </c>
      <c r="C84" s="14">
        <f>Base!C66</f>
        <v>2500</v>
      </c>
      <c r="D84" s="34" t="s">
        <v>95</v>
      </c>
      <c r="E84" s="43">
        <f>Base!E66*1.02</f>
        <v>0</v>
      </c>
      <c r="F84" s="15">
        <f t="shared" si="1"/>
        <v>0</v>
      </c>
    </row>
    <row r="85" spans="1:6" x14ac:dyDescent="0.3">
      <c r="A85" s="23" t="s">
        <v>306</v>
      </c>
      <c r="B85" s="21" t="s">
        <v>108</v>
      </c>
      <c r="C85" s="14" t="e">
        <f>Base!#REF!</f>
        <v>#REF!</v>
      </c>
      <c r="D85" s="34" t="s">
        <v>95</v>
      </c>
      <c r="E85" s="43" t="e">
        <f>Base!#REF!*1.02</f>
        <v>#REF!</v>
      </c>
      <c r="F85" s="15">
        <f t="shared" si="1"/>
        <v>0</v>
      </c>
    </row>
    <row r="86" spans="1:6" s="25" customFormat="1" ht="43.2" x14ac:dyDescent="0.3">
      <c r="A86" s="6">
        <v>1015</v>
      </c>
      <c r="B86" s="22" t="s">
        <v>112</v>
      </c>
      <c r="C86" s="14">
        <f>Base!C9</f>
        <v>0</v>
      </c>
      <c r="D86" s="46" t="s">
        <v>9</v>
      </c>
      <c r="E86" s="43">
        <v>0</v>
      </c>
      <c r="F86" s="15"/>
    </row>
    <row r="87" spans="1:6" s="19" customFormat="1" x14ac:dyDescent="0.3">
      <c r="A87" s="23" t="s">
        <v>307</v>
      </c>
      <c r="B87" s="18" t="s">
        <v>114</v>
      </c>
      <c r="C87" s="14">
        <f>Base!C10</f>
        <v>1000</v>
      </c>
      <c r="D87" s="47" t="s">
        <v>12</v>
      </c>
      <c r="E87" s="43">
        <f>Base!E10*1.02</f>
        <v>0</v>
      </c>
      <c r="F87" s="15">
        <f t="shared" si="1"/>
        <v>0</v>
      </c>
    </row>
    <row r="88" spans="1:6" x14ac:dyDescent="0.3">
      <c r="A88" s="23" t="s">
        <v>308</v>
      </c>
      <c r="B88" s="18" t="s">
        <v>116</v>
      </c>
      <c r="C88" s="14">
        <f>Base!C11</f>
        <v>2500</v>
      </c>
      <c r="D88" s="47" t="s">
        <v>12</v>
      </c>
      <c r="E88" s="43">
        <f>Base!E11*1.02</f>
        <v>0</v>
      </c>
      <c r="F88" s="15">
        <f t="shared" si="1"/>
        <v>0</v>
      </c>
    </row>
    <row r="89" spans="1:6" ht="28.8" x14ac:dyDescent="0.3">
      <c r="A89" s="6">
        <v>1016</v>
      </c>
      <c r="B89" s="20" t="s">
        <v>118</v>
      </c>
      <c r="C89" s="14">
        <f>Base!C23</f>
        <v>0</v>
      </c>
      <c r="D89" s="46" t="s">
        <v>9</v>
      </c>
      <c r="E89" s="43">
        <v>0</v>
      </c>
      <c r="F89" s="15"/>
    </row>
    <row r="90" spans="1:6" x14ac:dyDescent="0.3">
      <c r="A90" s="12" t="s">
        <v>309</v>
      </c>
      <c r="B90" s="21" t="s">
        <v>114</v>
      </c>
      <c r="C90" s="14">
        <f>Base!C24</f>
        <v>10</v>
      </c>
      <c r="D90" s="34" t="s">
        <v>12</v>
      </c>
      <c r="E90" s="43">
        <f>Base!E24*1.02</f>
        <v>0</v>
      </c>
      <c r="F90" s="15">
        <f t="shared" si="1"/>
        <v>0</v>
      </c>
    </row>
    <row r="91" spans="1:6" x14ac:dyDescent="0.3">
      <c r="A91" s="12" t="s">
        <v>310</v>
      </c>
      <c r="B91" s="21" t="s">
        <v>116</v>
      </c>
      <c r="C91" s="14">
        <f>Base!C25</f>
        <v>10</v>
      </c>
      <c r="D91" s="34" t="s">
        <v>12</v>
      </c>
      <c r="E91" s="43">
        <f>Base!E25*1.02</f>
        <v>0</v>
      </c>
      <c r="F91" s="15">
        <f t="shared" si="1"/>
        <v>0</v>
      </c>
    </row>
    <row r="92" spans="1:6" ht="28.8" x14ac:dyDescent="0.3">
      <c r="A92" s="6">
        <v>1017</v>
      </c>
      <c r="B92" s="22" t="s">
        <v>122</v>
      </c>
      <c r="C92" s="14">
        <f>Base!C12</f>
        <v>0</v>
      </c>
      <c r="D92" s="46" t="s">
        <v>9</v>
      </c>
      <c r="E92" s="43">
        <v>0</v>
      </c>
      <c r="F92" s="15"/>
    </row>
    <row r="93" spans="1:6" x14ac:dyDescent="0.3">
      <c r="A93" s="23" t="s">
        <v>311</v>
      </c>
      <c r="B93" s="18" t="s">
        <v>124</v>
      </c>
      <c r="C93" s="14">
        <f>Base!C13</f>
        <v>1000</v>
      </c>
      <c r="D93" s="47" t="s">
        <v>12</v>
      </c>
      <c r="E93" s="43">
        <f>Base!E13*1.02</f>
        <v>0</v>
      </c>
      <c r="F93" s="15">
        <f t="shared" si="1"/>
        <v>0</v>
      </c>
    </row>
    <row r="94" spans="1:6" x14ac:dyDescent="0.3">
      <c r="A94" s="12" t="s">
        <v>312</v>
      </c>
      <c r="B94" s="18" t="s">
        <v>126</v>
      </c>
      <c r="C94" s="14">
        <f>Base!C14</f>
        <v>2500</v>
      </c>
      <c r="D94" s="47" t="s">
        <v>12</v>
      </c>
      <c r="E94" s="43">
        <f>Base!E14*1.02</f>
        <v>0</v>
      </c>
      <c r="F94" s="15">
        <f t="shared" si="1"/>
        <v>0</v>
      </c>
    </row>
    <row r="95" spans="1:6" ht="28.8" x14ac:dyDescent="0.3">
      <c r="A95" s="16">
        <v>1018</v>
      </c>
      <c r="B95" s="24" t="s">
        <v>127</v>
      </c>
      <c r="C95" s="14">
        <f>Base!C127</f>
        <v>0</v>
      </c>
      <c r="D95" s="48" t="s">
        <v>9</v>
      </c>
      <c r="E95" s="43"/>
      <c r="F95" s="15"/>
    </row>
    <row r="96" spans="1:6" s="26" customFormat="1" x14ac:dyDescent="0.3">
      <c r="A96" s="23" t="s">
        <v>313</v>
      </c>
      <c r="B96" s="21" t="s">
        <v>128</v>
      </c>
      <c r="C96" s="14">
        <f>Base!C128</f>
        <v>1</v>
      </c>
      <c r="D96" s="34" t="s">
        <v>12</v>
      </c>
      <c r="E96" s="43">
        <f>Base!E128*1.02</f>
        <v>0</v>
      </c>
      <c r="F96" s="15">
        <f t="shared" si="1"/>
        <v>0</v>
      </c>
    </row>
    <row r="97" spans="1:7" x14ac:dyDescent="0.3">
      <c r="A97" s="23" t="s">
        <v>314</v>
      </c>
      <c r="B97" s="18" t="s">
        <v>129</v>
      </c>
      <c r="C97" s="14">
        <f>Base!C129</f>
        <v>1</v>
      </c>
      <c r="D97" s="47" t="s">
        <v>12</v>
      </c>
      <c r="E97" s="43">
        <f>Base!E129*1.02</f>
        <v>0</v>
      </c>
      <c r="F97" s="15">
        <f t="shared" si="1"/>
        <v>0</v>
      </c>
    </row>
    <row r="98" spans="1:7" ht="28.8" x14ac:dyDescent="0.3">
      <c r="A98" s="23" t="s">
        <v>315</v>
      </c>
      <c r="B98" s="18" t="s">
        <v>130</v>
      </c>
      <c r="C98" s="14">
        <f>Base!C130</f>
        <v>1000</v>
      </c>
      <c r="D98" s="47" t="s">
        <v>131</v>
      </c>
      <c r="E98" s="43">
        <f>Base!E130*1.02</f>
        <v>0</v>
      </c>
      <c r="F98" s="15">
        <f t="shared" si="1"/>
        <v>0</v>
      </c>
      <c r="G98" s="27"/>
    </row>
    <row r="99" spans="1:7" x14ac:dyDescent="0.3">
      <c r="A99" s="23" t="s">
        <v>316</v>
      </c>
      <c r="B99" s="18" t="s">
        <v>132</v>
      </c>
      <c r="C99" s="14">
        <f>Base!C131</f>
        <v>1000</v>
      </c>
      <c r="D99" s="47" t="s">
        <v>131</v>
      </c>
      <c r="E99" s="43">
        <f>Base!E131*1.02</f>
        <v>0</v>
      </c>
      <c r="F99" s="15">
        <f t="shared" si="1"/>
        <v>0</v>
      </c>
      <c r="G99" s="27"/>
    </row>
    <row r="100" spans="1:7" x14ac:dyDescent="0.3">
      <c r="A100" s="23" t="s">
        <v>317</v>
      </c>
      <c r="B100" s="18" t="s">
        <v>133</v>
      </c>
      <c r="C100" s="14">
        <f>Base!C132</f>
        <v>1000</v>
      </c>
      <c r="D100" s="47" t="s">
        <v>131</v>
      </c>
      <c r="E100" s="43">
        <f>Base!E132*1.02</f>
        <v>0</v>
      </c>
      <c r="F100" s="15">
        <f t="shared" si="1"/>
        <v>0</v>
      </c>
      <c r="G100" s="27"/>
    </row>
    <row r="101" spans="1:7" x14ac:dyDescent="0.3">
      <c r="A101" s="23" t="s">
        <v>318</v>
      </c>
      <c r="B101" s="28" t="s">
        <v>134</v>
      </c>
      <c r="C101" s="14">
        <f>Base!C133</f>
        <v>1000</v>
      </c>
      <c r="D101" s="47" t="s">
        <v>131</v>
      </c>
      <c r="E101" s="43">
        <f>Base!E133*1.02</f>
        <v>0</v>
      </c>
      <c r="F101" s="15">
        <f t="shared" si="1"/>
        <v>0</v>
      </c>
      <c r="G101" s="27"/>
    </row>
    <row r="102" spans="1:7" ht="28.8" x14ac:dyDescent="0.3">
      <c r="A102" s="23" t="s">
        <v>319</v>
      </c>
      <c r="B102" s="21" t="s">
        <v>135</v>
      </c>
      <c r="C102" s="14">
        <f>Base!C134</f>
        <v>50</v>
      </c>
      <c r="D102" s="47" t="s">
        <v>131</v>
      </c>
      <c r="E102" s="43">
        <f>Base!E134*1.02</f>
        <v>0</v>
      </c>
      <c r="F102" s="15">
        <f t="shared" si="1"/>
        <v>0</v>
      </c>
      <c r="G102" s="27"/>
    </row>
    <row r="103" spans="1:7" ht="28.8" x14ac:dyDescent="0.3">
      <c r="A103" s="23" t="s">
        <v>320</v>
      </c>
      <c r="B103" s="21" t="s">
        <v>136</v>
      </c>
      <c r="C103" s="14">
        <f>Base!C135</f>
        <v>50</v>
      </c>
      <c r="D103" s="47" t="s">
        <v>131</v>
      </c>
      <c r="E103" s="43">
        <f>Base!E135*1.02</f>
        <v>0</v>
      </c>
      <c r="F103" s="15">
        <f t="shared" si="1"/>
        <v>0</v>
      </c>
      <c r="G103" s="27"/>
    </row>
    <row r="104" spans="1:7" ht="28.8" x14ac:dyDescent="0.3">
      <c r="A104" s="23" t="s">
        <v>321</v>
      </c>
      <c r="B104" s="21" t="s">
        <v>137</v>
      </c>
      <c r="C104" s="14">
        <f>Base!C136</f>
        <v>50</v>
      </c>
      <c r="D104" s="47" t="s">
        <v>131</v>
      </c>
      <c r="E104" s="43">
        <f>Base!E136*1.02</f>
        <v>0</v>
      </c>
      <c r="F104" s="15">
        <f t="shared" si="1"/>
        <v>0</v>
      </c>
      <c r="G104" s="27"/>
    </row>
    <row r="105" spans="1:7" x14ac:dyDescent="0.3">
      <c r="A105" s="29" t="s">
        <v>322</v>
      </c>
      <c r="B105" s="30" t="s">
        <v>138</v>
      </c>
      <c r="C105" s="14" t="e">
        <f>Base!#REF!</f>
        <v>#REF!</v>
      </c>
      <c r="D105" s="47" t="s">
        <v>131</v>
      </c>
      <c r="E105" s="43" t="e">
        <f>Base!#REF!*1.02</f>
        <v>#REF!</v>
      </c>
      <c r="F105" s="15">
        <f t="shared" si="1"/>
        <v>0</v>
      </c>
      <c r="G105" s="27"/>
    </row>
    <row r="106" spans="1:7" x14ac:dyDescent="0.3">
      <c r="A106" s="29" t="s">
        <v>323</v>
      </c>
      <c r="B106" s="30" t="s">
        <v>139</v>
      </c>
      <c r="C106" s="14" t="e">
        <f>Base!#REF!</f>
        <v>#REF!</v>
      </c>
      <c r="D106" s="47" t="s">
        <v>131</v>
      </c>
      <c r="E106" s="43" t="e">
        <f>Base!#REF!*1.02</f>
        <v>#REF!</v>
      </c>
      <c r="F106" s="15">
        <f t="shared" si="1"/>
        <v>0</v>
      </c>
      <c r="G106" s="27"/>
    </row>
    <row r="107" spans="1:7" x14ac:dyDescent="0.3">
      <c r="A107" s="31" t="s">
        <v>324</v>
      </c>
      <c r="B107" s="32" t="s">
        <v>140</v>
      </c>
      <c r="C107" s="14" t="e">
        <f>Base!#REF!</f>
        <v>#REF!</v>
      </c>
      <c r="D107" s="47" t="s">
        <v>131</v>
      </c>
      <c r="E107" s="43" t="e">
        <f>Base!#REF!*1.02</f>
        <v>#REF!</v>
      </c>
      <c r="F107" s="15">
        <f t="shared" si="1"/>
        <v>0</v>
      </c>
      <c r="G107" s="27"/>
    </row>
    <row r="108" spans="1:7" s="25" customFormat="1" x14ac:dyDescent="0.3">
      <c r="A108" s="31" t="s">
        <v>325</v>
      </c>
      <c r="B108" s="32" t="s">
        <v>141</v>
      </c>
      <c r="C108" s="14" t="e">
        <f>Base!#REF!</f>
        <v>#REF!</v>
      </c>
      <c r="D108" s="47" t="s">
        <v>131</v>
      </c>
      <c r="E108" s="43" t="e">
        <f>Base!#REF!*1.02</f>
        <v>#REF!</v>
      </c>
      <c r="F108" s="15">
        <f t="shared" si="1"/>
        <v>0</v>
      </c>
    </row>
    <row r="109" spans="1:7" s="35" customFormat="1" ht="28.8" x14ac:dyDescent="0.3">
      <c r="A109" s="33">
        <v>1019</v>
      </c>
      <c r="B109" s="28" t="s">
        <v>143</v>
      </c>
      <c r="C109" s="14">
        <f>Base!C119</f>
        <v>0</v>
      </c>
      <c r="D109" s="34" t="s">
        <v>9</v>
      </c>
      <c r="E109" s="43"/>
      <c r="F109" s="15"/>
    </row>
    <row r="110" spans="1:7" s="35" customFormat="1" x14ac:dyDescent="0.3">
      <c r="A110" s="36" t="s">
        <v>326</v>
      </c>
      <c r="B110" s="28" t="s">
        <v>145</v>
      </c>
      <c r="C110" s="14">
        <f>Base!C120</f>
        <v>1</v>
      </c>
      <c r="D110" s="34" t="s">
        <v>146</v>
      </c>
      <c r="E110" s="43">
        <f>Base!E120*1.02</f>
        <v>0</v>
      </c>
      <c r="F110" s="15">
        <f t="shared" si="1"/>
        <v>0</v>
      </c>
    </row>
    <row r="111" spans="1:7" s="35" customFormat="1" x14ac:dyDescent="0.3">
      <c r="A111" s="36" t="s">
        <v>327</v>
      </c>
      <c r="B111" s="28" t="s">
        <v>148</v>
      </c>
      <c r="C111" s="14">
        <f>Base!C121</f>
        <v>1</v>
      </c>
      <c r="D111" s="34" t="s">
        <v>146</v>
      </c>
      <c r="E111" s="43">
        <f>Base!E121*1.02</f>
        <v>0</v>
      </c>
      <c r="F111" s="15">
        <f t="shared" si="1"/>
        <v>0</v>
      </c>
    </row>
    <row r="112" spans="1:7" s="35" customFormat="1" x14ac:dyDescent="0.3">
      <c r="A112" s="36" t="s">
        <v>328</v>
      </c>
      <c r="B112" s="28" t="s">
        <v>150</v>
      </c>
      <c r="C112" s="14">
        <f>Base!C122</f>
        <v>0</v>
      </c>
      <c r="D112" s="34" t="s">
        <v>146</v>
      </c>
      <c r="E112" s="43">
        <f>Base!E122*1.02</f>
        <v>0</v>
      </c>
      <c r="F112" s="15">
        <f t="shared" si="1"/>
        <v>0</v>
      </c>
    </row>
    <row r="113" spans="1:6" s="35" customFormat="1" x14ac:dyDescent="0.3">
      <c r="A113" s="36" t="s">
        <v>329</v>
      </c>
      <c r="B113" s="28" t="s">
        <v>128</v>
      </c>
      <c r="C113" s="14" t="e">
        <f>Base!#REF!</f>
        <v>#REF!</v>
      </c>
      <c r="D113" s="34" t="s">
        <v>146</v>
      </c>
      <c r="E113" s="43" t="e">
        <f>Base!#REF!*1.02</f>
        <v>#REF!</v>
      </c>
      <c r="F113" s="15">
        <f t="shared" si="1"/>
        <v>0</v>
      </c>
    </row>
    <row r="114" spans="1:6" s="35" customFormat="1" x14ac:dyDescent="0.3">
      <c r="A114" s="36" t="s">
        <v>330</v>
      </c>
      <c r="B114" s="28" t="s">
        <v>129</v>
      </c>
      <c r="C114" s="14" t="e">
        <f>Base!#REF!</f>
        <v>#REF!</v>
      </c>
      <c r="D114" s="34" t="s">
        <v>146</v>
      </c>
      <c r="E114" s="43" t="e">
        <f>Base!#REF!*1.02</f>
        <v>#REF!</v>
      </c>
      <c r="F114" s="15">
        <f t="shared" si="1"/>
        <v>0</v>
      </c>
    </row>
    <row r="115" spans="1:6" s="25" customFormat="1" ht="43.2" x14ac:dyDescent="0.3">
      <c r="A115" s="6">
        <v>1020</v>
      </c>
      <c r="B115" s="24" t="s">
        <v>152</v>
      </c>
      <c r="C115" s="14">
        <f>Base!C137</f>
        <v>0</v>
      </c>
      <c r="D115" s="46" t="s">
        <v>9</v>
      </c>
      <c r="E115" s="43"/>
      <c r="F115" s="15"/>
    </row>
    <row r="116" spans="1:6" s="26" customFormat="1" x14ac:dyDescent="0.3">
      <c r="A116" s="37" t="s">
        <v>331</v>
      </c>
      <c r="B116" s="18" t="s">
        <v>154</v>
      </c>
      <c r="C116" s="14">
        <f>Base!C138</f>
        <v>500</v>
      </c>
      <c r="D116" s="34" t="s">
        <v>12</v>
      </c>
      <c r="E116" s="43">
        <f>Base!E138*1.02</f>
        <v>0</v>
      </c>
      <c r="F116" s="15">
        <f t="shared" si="1"/>
        <v>0</v>
      </c>
    </row>
    <row r="117" spans="1:6" s="25" customFormat="1" x14ac:dyDescent="0.3">
      <c r="A117" s="37" t="s">
        <v>332</v>
      </c>
      <c r="B117" s="18" t="s">
        <v>156</v>
      </c>
      <c r="C117" s="14">
        <f>Base!C139</f>
        <v>1000</v>
      </c>
      <c r="D117" s="34" t="s">
        <v>12</v>
      </c>
      <c r="E117" s="43">
        <f>Base!E139*1.02</f>
        <v>0</v>
      </c>
      <c r="F117" s="15">
        <f t="shared" si="1"/>
        <v>0</v>
      </c>
    </row>
    <row r="118" spans="1:6" s="25" customFormat="1" ht="43.2" x14ac:dyDescent="0.3">
      <c r="A118" s="6">
        <v>1021</v>
      </c>
      <c r="B118" s="22" t="s">
        <v>158</v>
      </c>
      <c r="C118" s="14">
        <f>Base!C15</f>
        <v>0</v>
      </c>
      <c r="D118" s="46" t="s">
        <v>9</v>
      </c>
      <c r="E118" s="43"/>
      <c r="F118" s="15"/>
    </row>
    <row r="119" spans="1:6" s="19" customFormat="1" x14ac:dyDescent="0.3">
      <c r="A119" s="23" t="s">
        <v>333</v>
      </c>
      <c r="B119" s="18" t="s">
        <v>160</v>
      </c>
      <c r="C119" s="14">
        <f>Base!C16</f>
        <v>1000</v>
      </c>
      <c r="D119" s="34" t="s">
        <v>12</v>
      </c>
      <c r="E119" s="43">
        <f>Base!E16*1.02</f>
        <v>0</v>
      </c>
      <c r="F119" s="15">
        <f t="shared" si="1"/>
        <v>0</v>
      </c>
    </row>
    <row r="120" spans="1:6" x14ac:dyDescent="0.3">
      <c r="A120" s="23" t="s">
        <v>334</v>
      </c>
      <c r="B120" s="18" t="s">
        <v>162</v>
      </c>
      <c r="C120" s="14">
        <f>Base!C17</f>
        <v>2500</v>
      </c>
      <c r="D120" s="34" t="s">
        <v>12</v>
      </c>
      <c r="E120" s="43">
        <f>Base!E17*1.02</f>
        <v>0</v>
      </c>
      <c r="F120" s="15">
        <f t="shared" si="1"/>
        <v>0</v>
      </c>
    </row>
    <row r="121" spans="1:6" ht="43.2" x14ac:dyDescent="0.3">
      <c r="A121" s="6">
        <v>1022</v>
      </c>
      <c r="B121" s="20" t="s">
        <v>164</v>
      </c>
      <c r="C121" s="14">
        <f>Base!C26</f>
        <v>0</v>
      </c>
      <c r="D121" s="46" t="s">
        <v>9</v>
      </c>
      <c r="E121" s="43"/>
      <c r="F121" s="15"/>
    </row>
    <row r="122" spans="1:6" x14ac:dyDescent="0.3">
      <c r="A122" s="12" t="s">
        <v>335</v>
      </c>
      <c r="B122" s="21" t="s">
        <v>160</v>
      </c>
      <c r="C122" s="14">
        <f>Base!C27</f>
        <v>10</v>
      </c>
      <c r="D122" s="34" t="s">
        <v>12</v>
      </c>
      <c r="E122" s="43">
        <f>Base!E27*1.02</f>
        <v>0</v>
      </c>
      <c r="F122" s="15">
        <f t="shared" si="1"/>
        <v>0</v>
      </c>
    </row>
    <row r="123" spans="1:6" x14ac:dyDescent="0.3">
      <c r="A123" s="12" t="s">
        <v>336</v>
      </c>
      <c r="B123" s="21" t="s">
        <v>162</v>
      </c>
      <c r="C123" s="14">
        <f>Base!C28</f>
        <v>10</v>
      </c>
      <c r="D123" s="34" t="s">
        <v>12</v>
      </c>
      <c r="E123" s="43">
        <f>Base!E28*1.02</f>
        <v>0</v>
      </c>
      <c r="F123" s="15">
        <f t="shared" si="1"/>
        <v>0</v>
      </c>
    </row>
    <row r="124" spans="1:6" ht="28.8" x14ac:dyDescent="0.3">
      <c r="A124" s="6">
        <v>1023</v>
      </c>
      <c r="B124" s="24" t="s">
        <v>168</v>
      </c>
      <c r="C124" s="14">
        <f>Base!C67</f>
        <v>0</v>
      </c>
      <c r="D124" s="46" t="s">
        <v>9</v>
      </c>
      <c r="E124" s="43"/>
      <c r="F124" s="15"/>
    </row>
    <row r="125" spans="1:6" x14ac:dyDescent="0.3">
      <c r="A125" s="12" t="s">
        <v>337</v>
      </c>
      <c r="B125" s="28" t="s">
        <v>170</v>
      </c>
      <c r="C125" s="14">
        <f>Base!C68</f>
        <v>125</v>
      </c>
      <c r="D125" s="50" t="s">
        <v>12</v>
      </c>
      <c r="E125" s="43">
        <f>Base!E68*1.02</f>
        <v>0</v>
      </c>
      <c r="F125" s="15">
        <f t="shared" si="1"/>
        <v>0</v>
      </c>
    </row>
    <row r="126" spans="1:6" x14ac:dyDescent="0.3">
      <c r="A126" s="12" t="s">
        <v>338</v>
      </c>
      <c r="B126" s="28" t="s">
        <v>172</v>
      </c>
      <c r="C126" s="14">
        <f>Base!C69</f>
        <v>1750</v>
      </c>
      <c r="D126" s="50" t="s">
        <v>12</v>
      </c>
      <c r="E126" s="43">
        <f>Base!E69*1.02</f>
        <v>0</v>
      </c>
      <c r="F126" s="15">
        <f t="shared" si="1"/>
        <v>0</v>
      </c>
    </row>
    <row r="127" spans="1:6" s="19" customFormat="1" x14ac:dyDescent="0.3">
      <c r="A127" s="12" t="s">
        <v>339</v>
      </c>
      <c r="B127" s="28" t="s">
        <v>174</v>
      </c>
      <c r="C127" s="14">
        <f>Base!C70</f>
        <v>100</v>
      </c>
      <c r="D127" s="50" t="s">
        <v>12</v>
      </c>
      <c r="E127" s="43">
        <f>Base!E70*1.02</f>
        <v>0</v>
      </c>
      <c r="F127" s="15">
        <f t="shared" si="1"/>
        <v>0</v>
      </c>
    </row>
    <row r="128" spans="1:6" x14ac:dyDescent="0.3">
      <c r="A128" s="12" t="s">
        <v>340</v>
      </c>
      <c r="B128" s="28" t="s">
        <v>175</v>
      </c>
      <c r="C128" s="14">
        <f>Base!C71</f>
        <v>25</v>
      </c>
      <c r="D128" s="50" t="s">
        <v>12</v>
      </c>
      <c r="E128" s="43">
        <f>Base!E71*1.02</f>
        <v>0</v>
      </c>
      <c r="F128" s="15">
        <f t="shared" si="1"/>
        <v>0</v>
      </c>
    </row>
    <row r="129" spans="1:6" ht="43.2" x14ac:dyDescent="0.3">
      <c r="A129" s="6">
        <v>1024</v>
      </c>
      <c r="B129" s="17" t="s">
        <v>177</v>
      </c>
      <c r="C129" s="14">
        <f>Base!C72</f>
        <v>0</v>
      </c>
      <c r="D129" s="46" t="s">
        <v>9</v>
      </c>
      <c r="E129" s="43"/>
      <c r="F129" s="15"/>
    </row>
    <row r="130" spans="1:6" x14ac:dyDescent="0.3">
      <c r="A130" s="23" t="s">
        <v>341</v>
      </c>
      <c r="B130" s="28" t="s">
        <v>179</v>
      </c>
      <c r="C130" s="14">
        <f>Base!C73</f>
        <v>125</v>
      </c>
      <c r="D130" s="50" t="s">
        <v>12</v>
      </c>
      <c r="E130" s="43">
        <f>Base!E73*1.02</f>
        <v>0</v>
      </c>
      <c r="F130" s="15">
        <f t="shared" si="1"/>
        <v>0</v>
      </c>
    </row>
    <row r="131" spans="1:6" x14ac:dyDescent="0.3">
      <c r="A131" s="23" t="s">
        <v>342</v>
      </c>
      <c r="B131" s="28" t="s">
        <v>181</v>
      </c>
      <c r="C131" s="14">
        <f>Base!C74</f>
        <v>1750</v>
      </c>
      <c r="D131" s="50" t="s">
        <v>12</v>
      </c>
      <c r="E131" s="43">
        <f>Base!E74*1.02</f>
        <v>0</v>
      </c>
      <c r="F131" s="15">
        <f t="shared" si="1"/>
        <v>0</v>
      </c>
    </row>
    <row r="132" spans="1:6" s="26" customFormat="1" x14ac:dyDescent="0.3">
      <c r="A132" s="23" t="s">
        <v>343</v>
      </c>
      <c r="B132" s="28" t="s">
        <v>183</v>
      </c>
      <c r="C132" s="14">
        <f>Base!C75</f>
        <v>100</v>
      </c>
      <c r="D132" s="50" t="s">
        <v>12</v>
      </c>
      <c r="E132" s="43">
        <f>Base!E75*1.02</f>
        <v>0</v>
      </c>
      <c r="F132" s="15">
        <f t="shared" si="1"/>
        <v>0</v>
      </c>
    </row>
    <row r="133" spans="1:6" x14ac:dyDescent="0.3">
      <c r="A133" s="23" t="s">
        <v>344</v>
      </c>
      <c r="B133" s="28" t="s">
        <v>184</v>
      </c>
      <c r="C133" s="14" t="e">
        <f>Base!#REF!</f>
        <v>#REF!</v>
      </c>
      <c r="D133" s="50" t="s">
        <v>12</v>
      </c>
      <c r="E133" s="43" t="e">
        <f>Base!#REF!*1.02</f>
        <v>#REF!</v>
      </c>
      <c r="F133" s="15">
        <f t="shared" si="1"/>
        <v>0</v>
      </c>
    </row>
    <row r="134" spans="1:6" ht="28.8" x14ac:dyDescent="0.3">
      <c r="A134" s="6">
        <v>1025</v>
      </c>
      <c r="B134" s="24" t="s">
        <v>186</v>
      </c>
      <c r="C134" s="14">
        <f>Base!C76</f>
        <v>0</v>
      </c>
      <c r="D134" s="46" t="s">
        <v>9</v>
      </c>
      <c r="E134" s="43"/>
      <c r="F134" s="15"/>
    </row>
    <row r="135" spans="1:6" x14ac:dyDescent="0.3">
      <c r="A135" s="23" t="s">
        <v>345</v>
      </c>
      <c r="B135" s="21" t="s">
        <v>170</v>
      </c>
      <c r="C135" s="14">
        <f>Base!C77</f>
        <v>500</v>
      </c>
      <c r="D135" s="34" t="s">
        <v>95</v>
      </c>
      <c r="E135" s="43">
        <f>Base!E77*1.02</f>
        <v>0</v>
      </c>
      <c r="F135" s="15">
        <f t="shared" ref="F135:F196" si="2">IF(ISNUMBER(E135),C135*E135,0)</f>
        <v>0</v>
      </c>
    </row>
    <row r="136" spans="1:6" x14ac:dyDescent="0.3">
      <c r="A136" s="23" t="s">
        <v>346</v>
      </c>
      <c r="B136" s="21" t="s">
        <v>172</v>
      </c>
      <c r="C136" s="14">
        <f>Base!C78</f>
        <v>500</v>
      </c>
      <c r="D136" s="34" t="s">
        <v>95</v>
      </c>
      <c r="E136" s="43">
        <f>Base!E78*1.02</f>
        <v>0</v>
      </c>
      <c r="F136" s="15">
        <f t="shared" si="2"/>
        <v>0</v>
      </c>
    </row>
    <row r="137" spans="1:6" x14ac:dyDescent="0.3">
      <c r="A137" s="23" t="s">
        <v>347</v>
      </c>
      <c r="B137" s="21" t="s">
        <v>174</v>
      </c>
      <c r="C137" s="14">
        <f>Base!C79</f>
        <v>500</v>
      </c>
      <c r="D137" s="34" t="s">
        <v>95</v>
      </c>
      <c r="E137" s="43">
        <f>Base!E79*1.02</f>
        <v>0</v>
      </c>
      <c r="F137" s="15">
        <f t="shared" si="2"/>
        <v>0</v>
      </c>
    </row>
    <row r="138" spans="1:6" x14ac:dyDescent="0.3">
      <c r="A138" s="23" t="s">
        <v>348</v>
      </c>
      <c r="B138" s="21" t="s">
        <v>190</v>
      </c>
      <c r="C138" s="14">
        <f>Base!C80</f>
        <v>500</v>
      </c>
      <c r="D138" s="34" t="s">
        <v>95</v>
      </c>
      <c r="E138" s="43">
        <f>Base!E80*1.02</f>
        <v>0</v>
      </c>
      <c r="F138" s="15">
        <f t="shared" si="2"/>
        <v>0</v>
      </c>
    </row>
    <row r="139" spans="1:6" x14ac:dyDescent="0.3">
      <c r="A139" s="23" t="s">
        <v>349</v>
      </c>
      <c r="B139" s="21" t="s">
        <v>179</v>
      </c>
      <c r="C139" s="14">
        <f>Base!C81</f>
        <v>500</v>
      </c>
      <c r="D139" s="34" t="s">
        <v>95</v>
      </c>
      <c r="E139" s="43">
        <f>Base!E81*1.02</f>
        <v>0</v>
      </c>
      <c r="F139" s="15">
        <f t="shared" si="2"/>
        <v>0</v>
      </c>
    </row>
    <row r="140" spans="1:6" x14ac:dyDescent="0.3">
      <c r="A140" s="23" t="s">
        <v>350</v>
      </c>
      <c r="B140" s="21" t="s">
        <v>181</v>
      </c>
      <c r="C140" s="14">
        <f>Base!C82</f>
        <v>500</v>
      </c>
      <c r="D140" s="34" t="s">
        <v>95</v>
      </c>
      <c r="E140" s="43">
        <f>Base!E82*1.02</f>
        <v>0</v>
      </c>
      <c r="F140" s="15">
        <f t="shared" si="2"/>
        <v>0</v>
      </c>
    </row>
    <row r="141" spans="1:6" x14ac:dyDescent="0.3">
      <c r="A141" s="23" t="s">
        <v>351</v>
      </c>
      <c r="B141" s="21" t="s">
        <v>183</v>
      </c>
      <c r="C141" s="14">
        <f>Base!C83</f>
        <v>500</v>
      </c>
      <c r="D141" s="34" t="s">
        <v>95</v>
      </c>
      <c r="E141" s="43">
        <f>Base!E83*1.02</f>
        <v>0</v>
      </c>
      <c r="F141" s="15">
        <f t="shared" si="2"/>
        <v>0</v>
      </c>
    </row>
    <row r="142" spans="1:6" x14ac:dyDescent="0.3">
      <c r="A142" s="23" t="s">
        <v>352</v>
      </c>
      <c r="B142" s="21" t="s">
        <v>191</v>
      </c>
      <c r="C142" s="14" t="e">
        <f>Base!#REF!</f>
        <v>#REF!</v>
      </c>
      <c r="D142" s="34" t="s">
        <v>95</v>
      </c>
      <c r="E142" s="43" t="e">
        <f>Base!#REF!*1.02</f>
        <v>#REF!</v>
      </c>
      <c r="F142" s="15">
        <f t="shared" si="2"/>
        <v>0</v>
      </c>
    </row>
    <row r="143" spans="1:6" ht="28.8" x14ac:dyDescent="0.3">
      <c r="A143" s="6">
        <v>1026</v>
      </c>
      <c r="B143" s="24" t="s">
        <v>193</v>
      </c>
      <c r="C143" s="14" t="e">
        <f>Base!#REF!</f>
        <v>#REF!</v>
      </c>
      <c r="D143" s="46" t="s">
        <v>9</v>
      </c>
      <c r="E143" s="43"/>
      <c r="F143" s="15"/>
    </row>
    <row r="144" spans="1:6" x14ac:dyDescent="0.3">
      <c r="A144" s="23" t="s">
        <v>353</v>
      </c>
      <c r="B144" s="21" t="s">
        <v>170</v>
      </c>
      <c r="C144" s="14" t="e">
        <f>Base!#REF!</f>
        <v>#REF!</v>
      </c>
      <c r="D144" s="34" t="s">
        <v>95</v>
      </c>
      <c r="E144" s="43" t="e">
        <f>Base!#REF!*1.02</f>
        <v>#REF!</v>
      </c>
      <c r="F144" s="15">
        <f t="shared" si="2"/>
        <v>0</v>
      </c>
    </row>
    <row r="145" spans="1:6" x14ac:dyDescent="0.3">
      <c r="A145" s="23" t="s">
        <v>354</v>
      </c>
      <c r="B145" s="21" t="s">
        <v>172</v>
      </c>
      <c r="C145" s="14" t="e">
        <f>Base!#REF!</f>
        <v>#REF!</v>
      </c>
      <c r="D145" s="34" t="s">
        <v>95</v>
      </c>
      <c r="E145" s="43" t="e">
        <f>Base!#REF!*1.02</f>
        <v>#REF!</v>
      </c>
      <c r="F145" s="15">
        <f t="shared" si="2"/>
        <v>0</v>
      </c>
    </row>
    <row r="146" spans="1:6" x14ac:dyDescent="0.3">
      <c r="A146" s="23" t="s">
        <v>355</v>
      </c>
      <c r="B146" s="21" t="s">
        <v>174</v>
      </c>
      <c r="C146" s="14" t="e">
        <f>Base!#REF!</f>
        <v>#REF!</v>
      </c>
      <c r="D146" s="34" t="s">
        <v>95</v>
      </c>
      <c r="E146" s="43" t="e">
        <f>Base!#REF!*1.02</f>
        <v>#REF!</v>
      </c>
      <c r="F146" s="15">
        <f t="shared" si="2"/>
        <v>0</v>
      </c>
    </row>
    <row r="147" spans="1:6" x14ac:dyDescent="0.3">
      <c r="A147" s="23" t="s">
        <v>356</v>
      </c>
      <c r="B147" s="21" t="s">
        <v>190</v>
      </c>
      <c r="C147" s="14" t="e">
        <f>Base!#REF!</f>
        <v>#REF!</v>
      </c>
      <c r="D147" s="34" t="s">
        <v>95</v>
      </c>
      <c r="E147" s="43" t="e">
        <f>Base!#REF!*1.02</f>
        <v>#REF!</v>
      </c>
      <c r="F147" s="15">
        <f t="shared" si="2"/>
        <v>0</v>
      </c>
    </row>
    <row r="148" spans="1:6" x14ac:dyDescent="0.3">
      <c r="A148" s="23" t="s">
        <v>357</v>
      </c>
      <c r="B148" s="21" t="s">
        <v>179</v>
      </c>
      <c r="C148" s="14" t="e">
        <f>Base!#REF!</f>
        <v>#REF!</v>
      </c>
      <c r="D148" s="34" t="s">
        <v>95</v>
      </c>
      <c r="E148" s="43" t="e">
        <f>Base!#REF!*1.02</f>
        <v>#REF!</v>
      </c>
      <c r="F148" s="15">
        <f t="shared" si="2"/>
        <v>0</v>
      </c>
    </row>
    <row r="149" spans="1:6" x14ac:dyDescent="0.3">
      <c r="A149" s="23" t="s">
        <v>358</v>
      </c>
      <c r="B149" s="21" t="s">
        <v>181</v>
      </c>
      <c r="C149" s="14" t="e">
        <f>Base!#REF!</f>
        <v>#REF!</v>
      </c>
      <c r="D149" s="34" t="s">
        <v>95</v>
      </c>
      <c r="E149" s="43" t="e">
        <f>Base!#REF!*1.02</f>
        <v>#REF!</v>
      </c>
      <c r="F149" s="15">
        <f t="shared" si="2"/>
        <v>0</v>
      </c>
    </row>
    <row r="150" spans="1:6" x14ac:dyDescent="0.3">
      <c r="A150" s="23" t="s">
        <v>359</v>
      </c>
      <c r="B150" s="21" t="s">
        <v>183</v>
      </c>
      <c r="C150" s="14" t="e">
        <f>Base!#REF!</f>
        <v>#REF!</v>
      </c>
      <c r="D150" s="34" t="s">
        <v>95</v>
      </c>
      <c r="E150" s="43" t="e">
        <f>Base!#REF!*1.02</f>
        <v>#REF!</v>
      </c>
      <c r="F150" s="15">
        <f t="shared" si="2"/>
        <v>0</v>
      </c>
    </row>
    <row r="151" spans="1:6" x14ac:dyDescent="0.3">
      <c r="A151" s="23" t="s">
        <v>360</v>
      </c>
      <c r="B151" s="21" t="s">
        <v>191</v>
      </c>
      <c r="C151" s="14" t="e">
        <f>Base!#REF!</f>
        <v>#REF!</v>
      </c>
      <c r="D151" s="34" t="s">
        <v>95</v>
      </c>
      <c r="E151" s="43" t="e">
        <f>Base!#REF!*1.02</f>
        <v>#REF!</v>
      </c>
      <c r="F151" s="15">
        <f t="shared" si="2"/>
        <v>0</v>
      </c>
    </row>
    <row r="152" spans="1:6" ht="28.8" x14ac:dyDescent="0.3">
      <c r="A152" s="6">
        <v>1027</v>
      </c>
      <c r="B152" s="24" t="s">
        <v>197</v>
      </c>
      <c r="C152" s="14">
        <f>Base!C84</f>
        <v>0</v>
      </c>
      <c r="D152" s="46" t="s">
        <v>9</v>
      </c>
      <c r="E152" s="43"/>
      <c r="F152" s="15"/>
    </row>
    <row r="153" spans="1:6" x14ac:dyDescent="0.3">
      <c r="A153" s="23" t="s">
        <v>361</v>
      </c>
      <c r="B153" s="21" t="s">
        <v>170</v>
      </c>
      <c r="C153" s="14">
        <f>Base!C85</f>
        <v>1750</v>
      </c>
      <c r="D153" s="34" t="s">
        <v>95</v>
      </c>
      <c r="E153" s="43">
        <f>Base!E85*1.02</f>
        <v>0</v>
      </c>
      <c r="F153" s="15">
        <f t="shared" si="2"/>
        <v>0</v>
      </c>
    </row>
    <row r="154" spans="1:6" x14ac:dyDescent="0.3">
      <c r="A154" s="23" t="s">
        <v>362</v>
      </c>
      <c r="B154" s="21" t="s">
        <v>172</v>
      </c>
      <c r="C154" s="14">
        <f>Base!C86</f>
        <v>1750</v>
      </c>
      <c r="D154" s="34" t="s">
        <v>95</v>
      </c>
      <c r="E154" s="43">
        <f>Base!E86*1.02</f>
        <v>0</v>
      </c>
      <c r="F154" s="15">
        <f t="shared" si="2"/>
        <v>0</v>
      </c>
    </row>
    <row r="155" spans="1:6" x14ac:dyDescent="0.3">
      <c r="A155" s="23" t="s">
        <v>363</v>
      </c>
      <c r="B155" s="21" t="s">
        <v>174</v>
      </c>
      <c r="C155" s="14">
        <f>Base!C87</f>
        <v>1750</v>
      </c>
      <c r="D155" s="34" t="s">
        <v>95</v>
      </c>
      <c r="E155" s="43">
        <f>Base!E87*1.02</f>
        <v>0</v>
      </c>
      <c r="F155" s="15">
        <f t="shared" si="2"/>
        <v>0</v>
      </c>
    </row>
    <row r="156" spans="1:6" x14ac:dyDescent="0.3">
      <c r="A156" s="23" t="s">
        <v>364</v>
      </c>
      <c r="B156" s="21" t="s">
        <v>190</v>
      </c>
      <c r="C156" s="14">
        <f>Base!C88</f>
        <v>1750</v>
      </c>
      <c r="D156" s="34" t="s">
        <v>95</v>
      </c>
      <c r="E156" s="43">
        <f>Base!E88*1.02</f>
        <v>0</v>
      </c>
      <c r="F156" s="15">
        <f t="shared" si="2"/>
        <v>0</v>
      </c>
    </row>
    <row r="157" spans="1:6" x14ac:dyDescent="0.3">
      <c r="A157" s="23" t="s">
        <v>365</v>
      </c>
      <c r="B157" s="21" t="s">
        <v>179</v>
      </c>
      <c r="C157" s="14">
        <f>Base!C89</f>
        <v>1750</v>
      </c>
      <c r="D157" s="34" t="s">
        <v>95</v>
      </c>
      <c r="E157" s="43">
        <f>Base!E89*1.02</f>
        <v>0</v>
      </c>
      <c r="F157" s="15">
        <f t="shared" si="2"/>
        <v>0</v>
      </c>
    </row>
    <row r="158" spans="1:6" x14ac:dyDescent="0.3">
      <c r="A158" s="23" t="s">
        <v>366</v>
      </c>
      <c r="B158" s="21" t="s">
        <v>181</v>
      </c>
      <c r="C158" s="14">
        <f>Base!C90</f>
        <v>1750</v>
      </c>
      <c r="D158" s="34" t="s">
        <v>95</v>
      </c>
      <c r="E158" s="43">
        <f>Base!E90*1.02</f>
        <v>0</v>
      </c>
      <c r="F158" s="15">
        <f t="shared" si="2"/>
        <v>0</v>
      </c>
    </row>
    <row r="159" spans="1:6" s="19" customFormat="1" x14ac:dyDescent="0.3">
      <c r="A159" s="23" t="s">
        <v>367</v>
      </c>
      <c r="B159" s="21" t="s">
        <v>183</v>
      </c>
      <c r="C159" s="14">
        <f>Base!C91</f>
        <v>1750</v>
      </c>
      <c r="D159" s="34" t="s">
        <v>95</v>
      </c>
      <c r="E159" s="43">
        <f>Base!E91*1.02</f>
        <v>0</v>
      </c>
      <c r="F159" s="15">
        <f t="shared" si="2"/>
        <v>0</v>
      </c>
    </row>
    <row r="160" spans="1:6" x14ac:dyDescent="0.3">
      <c r="A160" s="23" t="s">
        <v>368</v>
      </c>
      <c r="B160" s="21" t="s">
        <v>191</v>
      </c>
      <c r="C160" s="14" t="e">
        <f>Base!#REF!</f>
        <v>#REF!</v>
      </c>
      <c r="D160" s="34" t="s">
        <v>95</v>
      </c>
      <c r="E160" s="43" t="e">
        <f>Base!#REF!*1.02</f>
        <v>#REF!</v>
      </c>
      <c r="F160" s="15">
        <f t="shared" si="2"/>
        <v>0</v>
      </c>
    </row>
    <row r="161" spans="1:6" ht="28.8" x14ac:dyDescent="0.3">
      <c r="A161" s="16">
        <v>1028</v>
      </c>
      <c r="B161" s="24" t="s">
        <v>207</v>
      </c>
      <c r="C161" s="14">
        <f>Base!C140</f>
        <v>0</v>
      </c>
      <c r="D161" s="48" t="s">
        <v>9</v>
      </c>
      <c r="E161" s="43"/>
      <c r="F161" s="15"/>
    </row>
    <row r="162" spans="1:6" x14ac:dyDescent="0.3">
      <c r="A162" s="23" t="s">
        <v>369</v>
      </c>
      <c r="B162" s="21" t="s">
        <v>128</v>
      </c>
      <c r="C162" s="14">
        <f>Base!C141</f>
        <v>1</v>
      </c>
      <c r="D162" s="34" t="s">
        <v>12</v>
      </c>
      <c r="E162" s="43">
        <f>Base!E141*1.02</f>
        <v>0</v>
      </c>
      <c r="F162" s="15">
        <f t="shared" si="2"/>
        <v>0</v>
      </c>
    </row>
    <row r="163" spans="1:6" x14ac:dyDescent="0.3">
      <c r="A163" s="23" t="s">
        <v>370</v>
      </c>
      <c r="B163" s="18" t="s">
        <v>129</v>
      </c>
      <c r="C163" s="14">
        <f>Base!C142</f>
        <v>1</v>
      </c>
      <c r="D163" s="47" t="s">
        <v>12</v>
      </c>
      <c r="E163" s="43">
        <f>Base!E142*1.02</f>
        <v>0</v>
      </c>
      <c r="F163" s="15">
        <f t="shared" si="2"/>
        <v>0</v>
      </c>
    </row>
    <row r="164" spans="1:6" s="25" customFormat="1" ht="28.8" x14ac:dyDescent="0.3">
      <c r="A164" s="23" t="s">
        <v>371</v>
      </c>
      <c r="B164" s="18" t="s">
        <v>210</v>
      </c>
      <c r="C164" s="14">
        <f>Base!C143</f>
        <v>1000</v>
      </c>
      <c r="D164" s="47" t="s">
        <v>131</v>
      </c>
      <c r="E164" s="43">
        <f>Base!E143*1.02</f>
        <v>0</v>
      </c>
      <c r="F164" s="15">
        <f t="shared" si="2"/>
        <v>0</v>
      </c>
    </row>
    <row r="165" spans="1:6" x14ac:dyDescent="0.3">
      <c r="A165" s="23" t="s">
        <v>372</v>
      </c>
      <c r="B165" s="18" t="s">
        <v>211</v>
      </c>
      <c r="C165" s="14">
        <f>Base!C144</f>
        <v>1000</v>
      </c>
      <c r="D165" s="47" t="s">
        <v>131</v>
      </c>
      <c r="E165" s="43">
        <f>Base!E144*1.02</f>
        <v>0</v>
      </c>
      <c r="F165" s="15">
        <f t="shared" si="2"/>
        <v>0</v>
      </c>
    </row>
    <row r="166" spans="1:6" x14ac:dyDescent="0.3">
      <c r="A166" s="23" t="s">
        <v>373</v>
      </c>
      <c r="B166" s="18" t="s">
        <v>212</v>
      </c>
      <c r="C166" s="14">
        <f>Base!C145</f>
        <v>1000</v>
      </c>
      <c r="D166" s="47" t="s">
        <v>131</v>
      </c>
      <c r="E166" s="43">
        <f>Base!E145*1.02</f>
        <v>0</v>
      </c>
      <c r="F166" s="15">
        <f t="shared" si="2"/>
        <v>0</v>
      </c>
    </row>
    <row r="167" spans="1:6" x14ac:dyDescent="0.3">
      <c r="A167" s="23" t="s">
        <v>374</v>
      </c>
      <c r="B167" s="28" t="s">
        <v>213</v>
      </c>
      <c r="C167" s="14">
        <f>Base!C146</f>
        <v>1000</v>
      </c>
      <c r="D167" s="47" t="s">
        <v>131</v>
      </c>
      <c r="E167" s="43">
        <f>Base!E146*1.02</f>
        <v>0</v>
      </c>
      <c r="F167" s="15">
        <f t="shared" si="2"/>
        <v>0</v>
      </c>
    </row>
    <row r="168" spans="1:6" ht="28.8" x14ac:dyDescent="0.3">
      <c r="A168" s="23" t="s">
        <v>375</v>
      </c>
      <c r="B168" s="21" t="s">
        <v>214</v>
      </c>
      <c r="C168" s="14">
        <f>Base!C147</f>
        <v>50</v>
      </c>
      <c r="D168" s="47" t="s">
        <v>131</v>
      </c>
      <c r="E168" s="43">
        <f>Base!E147*1.02</f>
        <v>0</v>
      </c>
      <c r="F168" s="15">
        <f t="shared" si="2"/>
        <v>0</v>
      </c>
    </row>
    <row r="169" spans="1:6" ht="28.8" x14ac:dyDescent="0.3">
      <c r="A169" s="23" t="s">
        <v>376</v>
      </c>
      <c r="B169" s="21" t="s">
        <v>215</v>
      </c>
      <c r="C169" s="14">
        <f>Base!C148</f>
        <v>50</v>
      </c>
      <c r="D169" s="47" t="s">
        <v>131</v>
      </c>
      <c r="E169" s="43">
        <f>Base!E148*1.02</f>
        <v>0</v>
      </c>
      <c r="F169" s="15">
        <f t="shared" si="2"/>
        <v>0</v>
      </c>
    </row>
    <row r="170" spans="1:6" ht="28.8" x14ac:dyDescent="0.3">
      <c r="A170" s="23" t="s">
        <v>377</v>
      </c>
      <c r="B170" s="21" t="s">
        <v>216</v>
      </c>
      <c r="C170" s="14">
        <f>Base!C149</f>
        <v>50</v>
      </c>
      <c r="D170" s="47" t="s">
        <v>131</v>
      </c>
      <c r="E170" s="43">
        <f>Base!E149*1.02</f>
        <v>0</v>
      </c>
      <c r="F170" s="15">
        <f t="shared" si="2"/>
        <v>0</v>
      </c>
    </row>
    <row r="171" spans="1:6" x14ac:dyDescent="0.3">
      <c r="A171" s="29" t="s">
        <v>378</v>
      </c>
      <c r="B171" s="30" t="s">
        <v>138</v>
      </c>
      <c r="C171" s="14">
        <f>Base!C165</f>
        <v>50</v>
      </c>
      <c r="D171" s="47" t="s">
        <v>131</v>
      </c>
      <c r="E171" s="43">
        <f>Base!E165*1.02</f>
        <v>0</v>
      </c>
      <c r="F171" s="15">
        <f t="shared" si="2"/>
        <v>0</v>
      </c>
    </row>
    <row r="172" spans="1:6" x14ac:dyDescent="0.3">
      <c r="A172" s="29" t="s">
        <v>379</v>
      </c>
      <c r="B172" s="30" t="s">
        <v>139</v>
      </c>
      <c r="C172" s="14">
        <f>Base!C166</f>
        <v>1000</v>
      </c>
      <c r="D172" s="47" t="s">
        <v>131</v>
      </c>
      <c r="E172" s="43">
        <f>Base!E166*1.02</f>
        <v>0</v>
      </c>
      <c r="F172" s="15">
        <f t="shared" si="2"/>
        <v>0</v>
      </c>
    </row>
    <row r="173" spans="1:6" x14ac:dyDescent="0.3">
      <c r="A173" s="31" t="s">
        <v>380</v>
      </c>
      <c r="B173" s="32" t="s">
        <v>140</v>
      </c>
      <c r="C173" s="14">
        <f>Base!C167</f>
        <v>50</v>
      </c>
      <c r="D173" s="47" t="s">
        <v>131</v>
      </c>
      <c r="E173" s="43">
        <f>Base!E167*1.02</f>
        <v>0</v>
      </c>
      <c r="F173" s="15">
        <f t="shared" si="2"/>
        <v>0</v>
      </c>
    </row>
    <row r="174" spans="1:6" x14ac:dyDescent="0.3">
      <c r="A174" s="31" t="s">
        <v>381</v>
      </c>
      <c r="B174" s="32" t="s">
        <v>141</v>
      </c>
      <c r="C174" s="14">
        <f>Base!C168</f>
        <v>50</v>
      </c>
      <c r="D174" s="47" t="s">
        <v>131</v>
      </c>
      <c r="E174" s="43">
        <f>Base!E168*1.02</f>
        <v>0</v>
      </c>
      <c r="F174" s="15">
        <f t="shared" si="2"/>
        <v>0</v>
      </c>
    </row>
    <row r="175" spans="1:6" ht="28.8" x14ac:dyDescent="0.3">
      <c r="A175" s="6">
        <v>1030</v>
      </c>
      <c r="B175" s="24" t="s">
        <v>218</v>
      </c>
      <c r="C175" s="14">
        <f>Base!C150</f>
        <v>0</v>
      </c>
      <c r="D175" s="48" t="s">
        <v>9</v>
      </c>
      <c r="E175" s="43"/>
      <c r="F175" s="15"/>
    </row>
    <row r="176" spans="1:6" x14ac:dyDescent="0.3">
      <c r="A176" s="23" t="s">
        <v>382</v>
      </c>
      <c r="B176" s="18" t="s">
        <v>219</v>
      </c>
      <c r="C176" s="14">
        <f>Base!C151</f>
        <v>10000</v>
      </c>
      <c r="D176" s="47" t="s">
        <v>12</v>
      </c>
      <c r="E176" s="43">
        <f>Base!E151*1.02</f>
        <v>0</v>
      </c>
      <c r="F176" s="15">
        <f t="shared" si="2"/>
        <v>0</v>
      </c>
    </row>
    <row r="177" spans="1:6" x14ac:dyDescent="0.3">
      <c r="A177" s="23" t="s">
        <v>383</v>
      </c>
      <c r="B177" s="18" t="s">
        <v>148</v>
      </c>
      <c r="C177" s="14">
        <f>Base!C152</f>
        <v>20000</v>
      </c>
      <c r="D177" s="47" t="s">
        <v>12</v>
      </c>
      <c r="E177" s="43">
        <f>Base!E152*1.02</f>
        <v>0</v>
      </c>
      <c r="F177" s="15">
        <f t="shared" si="2"/>
        <v>0</v>
      </c>
    </row>
    <row r="178" spans="1:6" s="38" customFormat="1" x14ac:dyDescent="0.3">
      <c r="A178" s="23" t="s">
        <v>384</v>
      </c>
      <c r="B178" s="18" t="s">
        <v>220</v>
      </c>
      <c r="C178" s="14">
        <f>Base!C153</f>
        <v>5000</v>
      </c>
      <c r="D178" s="34" t="s">
        <v>12</v>
      </c>
      <c r="E178" s="43">
        <f>Base!E153*1.02</f>
        <v>0</v>
      </c>
      <c r="F178" s="15">
        <f t="shared" si="2"/>
        <v>0</v>
      </c>
    </row>
    <row r="179" spans="1:6" x14ac:dyDescent="0.3">
      <c r="A179" s="23" t="s">
        <v>385</v>
      </c>
      <c r="B179" s="18" t="s">
        <v>128</v>
      </c>
      <c r="C179" s="14">
        <f>Base!C154</f>
        <v>5000</v>
      </c>
      <c r="D179" s="34" t="s">
        <v>12</v>
      </c>
      <c r="E179" s="43">
        <f>Base!E154*1.02</f>
        <v>0</v>
      </c>
      <c r="F179" s="15">
        <f t="shared" si="2"/>
        <v>0</v>
      </c>
    </row>
    <row r="180" spans="1:6" x14ac:dyDescent="0.3">
      <c r="A180" s="23" t="s">
        <v>386</v>
      </c>
      <c r="B180" s="18" t="s">
        <v>129</v>
      </c>
      <c r="C180" s="14">
        <f>Base!C155</f>
        <v>20000</v>
      </c>
      <c r="D180" s="34" t="s">
        <v>12</v>
      </c>
      <c r="E180" s="43">
        <f>Base!E155*1.02</f>
        <v>0</v>
      </c>
      <c r="F180" s="15">
        <f t="shared" si="2"/>
        <v>0</v>
      </c>
    </row>
    <row r="181" spans="1:6" ht="28.8" x14ac:dyDescent="0.3">
      <c r="A181" s="16">
        <v>1031</v>
      </c>
      <c r="B181" s="22" t="s">
        <v>237</v>
      </c>
      <c r="C181" s="14">
        <f>Base!C171</f>
        <v>1</v>
      </c>
      <c r="D181" s="47" t="s">
        <v>222</v>
      </c>
      <c r="E181" s="43">
        <f>Base!E171*1.02</f>
        <v>0</v>
      </c>
      <c r="F181" s="15">
        <f t="shared" si="2"/>
        <v>0</v>
      </c>
    </row>
    <row r="182" spans="1:6" ht="28.8" x14ac:dyDescent="0.3">
      <c r="A182" s="6">
        <v>1032</v>
      </c>
      <c r="B182" s="24" t="s">
        <v>224</v>
      </c>
      <c r="C182" s="14">
        <f>Base!C158</f>
        <v>0</v>
      </c>
      <c r="D182" s="46" t="s">
        <v>9</v>
      </c>
      <c r="E182" s="43"/>
      <c r="F182" s="15"/>
    </row>
    <row r="183" spans="1:6" x14ac:dyDescent="0.3">
      <c r="A183" s="23" t="s">
        <v>387</v>
      </c>
      <c r="B183" s="21" t="s">
        <v>225</v>
      </c>
      <c r="C183" s="14">
        <f>Base!C159</f>
        <v>30</v>
      </c>
      <c r="D183" s="34" t="s">
        <v>226</v>
      </c>
      <c r="E183" s="43">
        <f>Base!E159*1.02</f>
        <v>0</v>
      </c>
      <c r="F183" s="15">
        <f t="shared" si="2"/>
        <v>0</v>
      </c>
    </row>
    <row r="184" spans="1:6" s="26" customFormat="1" x14ac:dyDescent="0.3">
      <c r="A184" s="23" t="s">
        <v>388</v>
      </c>
      <c r="B184" s="21" t="s">
        <v>227</v>
      </c>
      <c r="C184" s="14">
        <f>Base!C160</f>
        <v>30</v>
      </c>
      <c r="D184" s="34" t="s">
        <v>226</v>
      </c>
      <c r="E184" s="43">
        <f>Base!E160*1.02</f>
        <v>0</v>
      </c>
      <c r="F184" s="15">
        <f t="shared" si="2"/>
        <v>0</v>
      </c>
    </row>
    <row r="185" spans="1:6" s="25" customFormat="1" x14ac:dyDescent="0.3">
      <c r="A185" s="23" t="s">
        <v>389</v>
      </c>
      <c r="B185" s="21" t="s">
        <v>228</v>
      </c>
      <c r="C185" s="14" t="e">
        <f>Base!#REF!</f>
        <v>#REF!</v>
      </c>
      <c r="D185" s="34" t="s">
        <v>226</v>
      </c>
      <c r="E185" s="43" t="e">
        <f>Base!#REF!*1.02</f>
        <v>#REF!</v>
      </c>
      <c r="F185" s="15">
        <f t="shared" si="2"/>
        <v>0</v>
      </c>
    </row>
    <row r="186" spans="1:6" x14ac:dyDescent="0.3">
      <c r="A186" s="23" t="s">
        <v>390</v>
      </c>
      <c r="B186" s="21" t="s">
        <v>229</v>
      </c>
      <c r="C186" s="14" t="e">
        <f>Base!#REF!</f>
        <v>#REF!</v>
      </c>
      <c r="D186" s="34" t="s">
        <v>226</v>
      </c>
      <c r="E186" s="43" t="e">
        <f>Base!#REF!*1.02</f>
        <v>#REF!</v>
      </c>
      <c r="F186" s="15">
        <f t="shared" si="2"/>
        <v>0</v>
      </c>
    </row>
    <row r="187" spans="1:6" x14ac:dyDescent="0.3">
      <c r="A187" s="23" t="s">
        <v>391</v>
      </c>
      <c r="B187" s="21" t="s">
        <v>128</v>
      </c>
      <c r="C187" s="14" t="e">
        <f>Base!#REF!</f>
        <v>#REF!</v>
      </c>
      <c r="D187" s="34" t="s">
        <v>226</v>
      </c>
      <c r="E187" s="43" t="e">
        <f>Base!#REF!*1.02</f>
        <v>#REF!</v>
      </c>
      <c r="F187" s="15">
        <f t="shared" si="2"/>
        <v>0</v>
      </c>
    </row>
    <row r="188" spans="1:6" x14ac:dyDescent="0.3">
      <c r="A188" s="23" t="s">
        <v>392</v>
      </c>
      <c r="B188" s="21" t="s">
        <v>129</v>
      </c>
      <c r="C188" s="14" t="e">
        <f>Base!#REF!</f>
        <v>#REF!</v>
      </c>
      <c r="D188" s="34" t="s">
        <v>226</v>
      </c>
      <c r="E188" s="43" t="e">
        <f>Base!#REF!*1.02</f>
        <v>#REF!</v>
      </c>
      <c r="F188" s="15">
        <f t="shared" si="2"/>
        <v>0</v>
      </c>
    </row>
    <row r="189" spans="1:6" ht="28.8" x14ac:dyDescent="0.3">
      <c r="A189" s="6">
        <v>1033</v>
      </c>
      <c r="B189" s="24" t="s">
        <v>231</v>
      </c>
      <c r="C189" s="14">
        <f>Base!C161</f>
        <v>0</v>
      </c>
      <c r="D189" s="46" t="s">
        <v>9</v>
      </c>
      <c r="E189" s="43"/>
      <c r="F189" s="15"/>
    </row>
    <row r="190" spans="1:6" x14ac:dyDescent="0.3">
      <c r="A190" s="12" t="s">
        <v>393</v>
      </c>
      <c r="B190" s="21" t="s">
        <v>225</v>
      </c>
      <c r="C190" s="14">
        <f>Base!C162</f>
        <v>30</v>
      </c>
      <c r="D190" s="34" t="s">
        <v>226</v>
      </c>
      <c r="E190" s="43">
        <f>Base!E162*1.02</f>
        <v>0</v>
      </c>
      <c r="F190" s="15">
        <f t="shared" si="2"/>
        <v>0</v>
      </c>
    </row>
    <row r="191" spans="1:6" s="26" customFormat="1" x14ac:dyDescent="0.3">
      <c r="A191" s="12" t="s">
        <v>394</v>
      </c>
      <c r="B191" s="21" t="s">
        <v>227</v>
      </c>
      <c r="C191" s="14">
        <f>Base!C163</f>
        <v>30</v>
      </c>
      <c r="D191" s="34" t="s">
        <v>226</v>
      </c>
      <c r="E191" s="43">
        <f>Base!E163*1.02</f>
        <v>0</v>
      </c>
      <c r="F191" s="15">
        <f t="shared" si="2"/>
        <v>0</v>
      </c>
    </row>
    <row r="192" spans="1:6" s="25" customFormat="1" x14ac:dyDescent="0.3">
      <c r="A192" s="12" t="s">
        <v>395</v>
      </c>
      <c r="B192" s="21" t="s">
        <v>228</v>
      </c>
      <c r="C192" s="14" t="e">
        <f>Base!#REF!</f>
        <v>#REF!</v>
      </c>
      <c r="D192" s="34" t="s">
        <v>226</v>
      </c>
      <c r="E192" s="43" t="e">
        <f>Base!#REF!*1.02</f>
        <v>#REF!</v>
      </c>
      <c r="F192" s="15">
        <f t="shared" si="2"/>
        <v>0</v>
      </c>
    </row>
    <row r="193" spans="1:6" x14ac:dyDescent="0.3">
      <c r="A193" s="12" t="s">
        <v>396</v>
      </c>
      <c r="B193" s="21" t="s">
        <v>229</v>
      </c>
      <c r="C193" s="14" t="e">
        <f>Base!#REF!</f>
        <v>#REF!</v>
      </c>
      <c r="D193" s="34" t="s">
        <v>226</v>
      </c>
      <c r="E193" s="43" t="e">
        <f>Base!#REF!*1.02</f>
        <v>#REF!</v>
      </c>
      <c r="F193" s="15">
        <f t="shared" si="2"/>
        <v>0</v>
      </c>
    </row>
    <row r="194" spans="1:6" x14ac:dyDescent="0.3">
      <c r="A194" s="12" t="s">
        <v>397</v>
      </c>
      <c r="B194" s="21" t="s">
        <v>232</v>
      </c>
      <c r="C194" s="14" t="e">
        <f>Base!#REF!</f>
        <v>#REF!</v>
      </c>
      <c r="D194" s="34" t="s">
        <v>226</v>
      </c>
      <c r="E194" s="43" t="e">
        <f>Base!#REF!*1.02</f>
        <v>#REF!</v>
      </c>
      <c r="F194" s="15">
        <f t="shared" si="2"/>
        <v>0</v>
      </c>
    </row>
    <row r="195" spans="1:6" x14ac:dyDescent="0.3">
      <c r="A195" s="12" t="s">
        <v>398</v>
      </c>
      <c r="B195" s="21" t="s">
        <v>233</v>
      </c>
      <c r="C195" s="14" t="e">
        <f>Base!#REF!</f>
        <v>#REF!</v>
      </c>
      <c r="D195" s="34" t="s">
        <v>226</v>
      </c>
      <c r="E195" s="43" t="e">
        <f>Base!#REF!*1.02</f>
        <v>#REF!</v>
      </c>
      <c r="F195" s="15">
        <f t="shared" si="2"/>
        <v>0</v>
      </c>
    </row>
    <row r="196" spans="1:6" x14ac:dyDescent="0.3">
      <c r="A196" s="6">
        <v>1034</v>
      </c>
      <c r="B196" s="24" t="s">
        <v>234</v>
      </c>
      <c r="C196" s="14">
        <f>Base!C164</f>
        <v>50</v>
      </c>
      <c r="D196" s="34" t="s">
        <v>12</v>
      </c>
      <c r="E196" s="43">
        <f>Base!E164*1.02</f>
        <v>0</v>
      </c>
      <c r="F196" s="15">
        <f t="shared" si="2"/>
        <v>0</v>
      </c>
    </row>
    <row r="197" spans="1:6" ht="27.75" customHeight="1" x14ac:dyDescent="0.3">
      <c r="A197" s="107" t="s">
        <v>235</v>
      </c>
      <c r="B197" s="107"/>
      <c r="C197" s="107"/>
      <c r="D197" s="107"/>
      <c r="E197" s="107"/>
      <c r="F197" s="39">
        <f>SUM(F5:F196)</f>
        <v>0</v>
      </c>
    </row>
  </sheetData>
  <protectedRanges>
    <protectedRange sqref="E3:E196" name="Unit Prices"/>
    <protectedRange sqref="B5:B196" name="Description"/>
  </protectedRanges>
  <mergeCells count="3">
    <mergeCell ref="A1:F1"/>
    <mergeCell ref="A2:F2"/>
    <mergeCell ref="A197:E1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7"/>
  <sheetViews>
    <sheetView topLeftCell="A159" workbookViewId="0">
      <selection activeCell="A143" sqref="A143:A174"/>
    </sheetView>
  </sheetViews>
  <sheetFormatPr defaultColWidth="9.109375" defaultRowHeight="14.4" x14ac:dyDescent="0.3"/>
  <cols>
    <col min="1" max="1" width="9" style="40" customWidth="1"/>
    <col min="2" max="2" width="74.109375" style="41" customWidth="1"/>
    <col min="3" max="3" width="11.44140625" style="5" customWidth="1"/>
    <col min="4" max="4" width="19" style="51" customWidth="1"/>
    <col min="5" max="5" width="13.5546875" style="44" customWidth="1"/>
    <col min="6" max="6" width="16.5546875" style="42" customWidth="1"/>
    <col min="7" max="16384" width="9.109375" style="1"/>
  </cols>
  <sheetData>
    <row r="1" spans="1:6" x14ac:dyDescent="0.3">
      <c r="A1" s="107" t="s">
        <v>399</v>
      </c>
      <c r="B1" s="107"/>
      <c r="C1" s="107"/>
      <c r="D1" s="107"/>
      <c r="E1" s="107"/>
      <c r="F1" s="107"/>
    </row>
    <row r="2" spans="1:6" ht="30.9" customHeight="1" x14ac:dyDescent="0.3">
      <c r="A2" s="108" t="s">
        <v>0</v>
      </c>
      <c r="B2" s="109"/>
      <c r="C2" s="109"/>
      <c r="D2" s="109"/>
      <c r="E2" s="109"/>
      <c r="F2" s="109"/>
    </row>
    <row r="3" spans="1:6" s="5" customFormat="1" x14ac:dyDescent="0.3">
      <c r="A3" s="2" t="s">
        <v>1</v>
      </c>
      <c r="B3" s="3" t="s">
        <v>2</v>
      </c>
      <c r="C3" s="3" t="s">
        <v>3</v>
      </c>
      <c r="D3" s="45" t="s">
        <v>4</v>
      </c>
      <c r="E3" s="4" t="s">
        <v>5</v>
      </c>
      <c r="F3" s="3" t="s">
        <v>6</v>
      </c>
    </row>
    <row r="4" spans="1:6" s="11" customFormat="1" ht="43.2" x14ac:dyDescent="0.3">
      <c r="A4" s="6">
        <v>2001</v>
      </c>
      <c r="B4" s="7" t="s">
        <v>8</v>
      </c>
      <c r="C4" s="8" t="s">
        <v>9</v>
      </c>
      <c r="D4" s="46" t="s">
        <v>9</v>
      </c>
      <c r="E4" s="9" t="s">
        <v>9</v>
      </c>
      <c r="F4" s="10" t="s">
        <v>9</v>
      </c>
    </row>
    <row r="5" spans="1:6" x14ac:dyDescent="0.3">
      <c r="A5" s="12" t="s">
        <v>400</v>
      </c>
      <c r="B5" s="13" t="s">
        <v>11</v>
      </c>
      <c r="C5" s="14">
        <f>Base!C115</f>
        <v>250</v>
      </c>
      <c r="D5" s="47" t="s">
        <v>12</v>
      </c>
      <c r="E5" s="43">
        <f>Base!E115*1.04</f>
        <v>0</v>
      </c>
      <c r="F5" s="15">
        <f>IF(ISNUMBER(E5),C5*E5,0)</f>
        <v>0</v>
      </c>
    </row>
    <row r="6" spans="1:6" x14ac:dyDescent="0.3">
      <c r="A6" s="12" t="s">
        <v>401</v>
      </c>
      <c r="B6" s="13" t="s">
        <v>14</v>
      </c>
      <c r="C6" s="14">
        <f>Base!C116</f>
        <v>500</v>
      </c>
      <c r="D6" s="47" t="s">
        <v>12</v>
      </c>
      <c r="E6" s="43">
        <f>Base!E116*1.04</f>
        <v>0</v>
      </c>
      <c r="F6" s="15">
        <f t="shared" ref="F6:F69" si="0">IF(ISNUMBER(E6),C6*E6,0)</f>
        <v>0</v>
      </c>
    </row>
    <row r="7" spans="1:6" x14ac:dyDescent="0.3">
      <c r="A7" s="12" t="s">
        <v>402</v>
      </c>
      <c r="B7" s="13" t="s">
        <v>16</v>
      </c>
      <c r="C7" s="14">
        <f>Base!C117</f>
        <v>200</v>
      </c>
      <c r="D7" s="47" t="s">
        <v>12</v>
      </c>
      <c r="E7" s="43">
        <f>Base!E117*1.04</f>
        <v>0</v>
      </c>
      <c r="F7" s="15">
        <f t="shared" si="0"/>
        <v>0</v>
      </c>
    </row>
    <row r="8" spans="1:6" x14ac:dyDescent="0.3">
      <c r="A8" s="12" t="s">
        <v>403</v>
      </c>
      <c r="B8" s="13" t="s">
        <v>18</v>
      </c>
      <c r="C8" s="14">
        <f>Base!C118</f>
        <v>500</v>
      </c>
      <c r="D8" s="47" t="s">
        <v>12</v>
      </c>
      <c r="E8" s="43">
        <f>Base!E118*1.04</f>
        <v>0</v>
      </c>
      <c r="F8" s="15">
        <f t="shared" si="0"/>
        <v>0</v>
      </c>
    </row>
    <row r="9" spans="1:6" ht="43.2" x14ac:dyDescent="0.3">
      <c r="A9" s="16">
        <v>2002</v>
      </c>
      <c r="B9" s="17" t="s">
        <v>20</v>
      </c>
      <c r="C9" s="14">
        <f>Base!C4</f>
        <v>0</v>
      </c>
      <c r="D9" s="48" t="s">
        <v>9</v>
      </c>
      <c r="E9" s="43">
        <f>Base!E4*1.04</f>
        <v>0</v>
      </c>
      <c r="F9" s="15"/>
    </row>
    <row r="10" spans="1:6" s="19" customFormat="1" x14ac:dyDescent="0.3">
      <c r="A10" s="12" t="s">
        <v>404</v>
      </c>
      <c r="B10" s="18" t="s">
        <v>22</v>
      </c>
      <c r="C10" s="14">
        <f>Base!C5</f>
        <v>250</v>
      </c>
      <c r="D10" s="47" t="s">
        <v>12</v>
      </c>
      <c r="E10" s="43">
        <f>Base!E5*1.04</f>
        <v>0</v>
      </c>
      <c r="F10" s="15">
        <f t="shared" si="0"/>
        <v>0</v>
      </c>
    </row>
    <row r="11" spans="1:6" x14ac:dyDescent="0.3">
      <c r="A11" s="12" t="s">
        <v>405</v>
      </c>
      <c r="B11" s="18" t="s">
        <v>24</v>
      </c>
      <c r="C11" s="14">
        <f>Base!C6</f>
        <v>500</v>
      </c>
      <c r="D11" s="47" t="s">
        <v>12</v>
      </c>
      <c r="E11" s="43">
        <f>Base!E6*1.04</f>
        <v>0</v>
      </c>
      <c r="F11" s="15">
        <f t="shared" si="0"/>
        <v>0</v>
      </c>
    </row>
    <row r="12" spans="1:6" x14ac:dyDescent="0.3">
      <c r="A12" s="12" t="s">
        <v>406</v>
      </c>
      <c r="B12" s="18" t="s">
        <v>25</v>
      </c>
      <c r="C12" s="14">
        <f>Base!C7</f>
        <v>200</v>
      </c>
      <c r="D12" s="47" t="s">
        <v>12</v>
      </c>
      <c r="E12" s="43">
        <f>Base!E7*1.04</f>
        <v>0</v>
      </c>
      <c r="F12" s="15">
        <f t="shared" si="0"/>
        <v>0</v>
      </c>
    </row>
    <row r="13" spans="1:6" ht="28.8" x14ac:dyDescent="0.3">
      <c r="A13" s="12" t="s">
        <v>407</v>
      </c>
      <c r="B13" s="18" t="s">
        <v>26</v>
      </c>
      <c r="C13" s="14">
        <f>Base!C8</f>
        <v>500</v>
      </c>
      <c r="D13" s="47" t="s">
        <v>12</v>
      </c>
      <c r="E13" s="43">
        <f>Base!E8*1.04</f>
        <v>0</v>
      </c>
      <c r="F13" s="15">
        <f t="shared" si="0"/>
        <v>0</v>
      </c>
    </row>
    <row r="14" spans="1:6" ht="28.8" x14ac:dyDescent="0.3">
      <c r="A14" s="6">
        <v>2003</v>
      </c>
      <c r="B14" s="20" t="s">
        <v>28</v>
      </c>
      <c r="C14" s="14">
        <f>Base!C18</f>
        <v>0</v>
      </c>
      <c r="D14" s="46" t="s">
        <v>9</v>
      </c>
      <c r="E14" s="43">
        <v>0</v>
      </c>
      <c r="F14" s="15"/>
    </row>
    <row r="15" spans="1:6" x14ac:dyDescent="0.3">
      <c r="A15" s="12" t="s">
        <v>408</v>
      </c>
      <c r="B15" s="21" t="s">
        <v>22</v>
      </c>
      <c r="C15" s="14">
        <f>Base!C19</f>
        <v>100</v>
      </c>
      <c r="D15" s="34" t="s">
        <v>12</v>
      </c>
      <c r="E15" s="43">
        <f>Base!E19*1.04</f>
        <v>0</v>
      </c>
      <c r="F15" s="15">
        <f t="shared" si="0"/>
        <v>0</v>
      </c>
    </row>
    <row r="16" spans="1:6" s="19" customFormat="1" x14ac:dyDescent="0.3">
      <c r="A16" s="12" t="s">
        <v>409</v>
      </c>
      <c r="B16" s="21" t="s">
        <v>24</v>
      </c>
      <c r="C16" s="14">
        <f>Base!C20</f>
        <v>100</v>
      </c>
      <c r="D16" s="34" t="s">
        <v>12</v>
      </c>
      <c r="E16" s="43">
        <f>Base!E20*1.04</f>
        <v>0</v>
      </c>
      <c r="F16" s="15">
        <f t="shared" si="0"/>
        <v>0</v>
      </c>
    </row>
    <row r="17" spans="1:6" x14ac:dyDescent="0.3">
      <c r="A17" s="12" t="s">
        <v>410</v>
      </c>
      <c r="B17" s="21" t="s">
        <v>25</v>
      </c>
      <c r="C17" s="14">
        <f>Base!C21</f>
        <v>100</v>
      </c>
      <c r="D17" s="34" t="s">
        <v>12</v>
      </c>
      <c r="E17" s="43">
        <f>Base!E21*1.04</f>
        <v>0</v>
      </c>
      <c r="F17" s="15">
        <f t="shared" si="0"/>
        <v>0</v>
      </c>
    </row>
    <row r="18" spans="1:6" ht="28.8" x14ac:dyDescent="0.3">
      <c r="A18" s="12" t="s">
        <v>411</v>
      </c>
      <c r="B18" s="21" t="s">
        <v>26</v>
      </c>
      <c r="C18" s="14">
        <f>Base!C22</f>
        <v>100</v>
      </c>
      <c r="D18" s="34" t="s">
        <v>12</v>
      </c>
      <c r="E18" s="43">
        <f>Base!E22*1.04</f>
        <v>0</v>
      </c>
      <c r="F18" s="15">
        <f t="shared" si="0"/>
        <v>0</v>
      </c>
    </row>
    <row r="19" spans="1:6" ht="43.2" x14ac:dyDescent="0.3">
      <c r="A19" s="16">
        <v>2004</v>
      </c>
      <c r="B19" s="22" t="s">
        <v>32</v>
      </c>
      <c r="C19" s="14">
        <f>Base!C31</f>
        <v>0</v>
      </c>
      <c r="D19" s="46" t="s">
        <v>9</v>
      </c>
      <c r="E19" s="43">
        <v>0</v>
      </c>
      <c r="F19" s="15"/>
    </row>
    <row r="20" spans="1:6" s="19" customFormat="1" x14ac:dyDescent="0.3">
      <c r="A20" s="23" t="s">
        <v>412</v>
      </c>
      <c r="B20" s="21" t="s">
        <v>34</v>
      </c>
      <c r="C20" s="14">
        <f>Base!C32</f>
        <v>250</v>
      </c>
      <c r="D20" s="49" t="s">
        <v>12</v>
      </c>
      <c r="E20" s="43">
        <f>Base!E32*1.04</f>
        <v>0</v>
      </c>
      <c r="F20" s="15">
        <f t="shared" si="0"/>
        <v>0</v>
      </c>
    </row>
    <row r="21" spans="1:6" x14ac:dyDescent="0.3">
      <c r="A21" s="23" t="s">
        <v>413</v>
      </c>
      <c r="B21" s="21" t="s">
        <v>36</v>
      </c>
      <c r="C21" s="14">
        <f>Base!C33</f>
        <v>1000</v>
      </c>
      <c r="D21" s="49" t="s">
        <v>12</v>
      </c>
      <c r="E21" s="43">
        <f>Base!E33*1.04</f>
        <v>0</v>
      </c>
      <c r="F21" s="15">
        <f t="shared" si="0"/>
        <v>0</v>
      </c>
    </row>
    <row r="22" spans="1:6" x14ac:dyDescent="0.3">
      <c r="A22" s="23" t="s">
        <v>414</v>
      </c>
      <c r="B22" s="21" t="s">
        <v>37</v>
      </c>
      <c r="C22" s="14">
        <f>Base!C34</f>
        <v>200</v>
      </c>
      <c r="D22" s="49" t="s">
        <v>12</v>
      </c>
      <c r="E22" s="43">
        <f>Base!E34*1.04</f>
        <v>0</v>
      </c>
      <c r="F22" s="15">
        <f t="shared" si="0"/>
        <v>0</v>
      </c>
    </row>
    <row r="23" spans="1:6" ht="28.8" x14ac:dyDescent="0.3">
      <c r="A23" s="23" t="s">
        <v>415</v>
      </c>
      <c r="B23" s="21" t="s">
        <v>38</v>
      </c>
      <c r="C23" s="14">
        <f>Base!C35</f>
        <v>50</v>
      </c>
      <c r="D23" s="49" t="s">
        <v>12</v>
      </c>
      <c r="E23" s="43">
        <f>Base!E35*1.04</f>
        <v>0</v>
      </c>
      <c r="F23" s="15">
        <f t="shared" si="0"/>
        <v>0</v>
      </c>
    </row>
    <row r="24" spans="1:6" ht="43.2" x14ac:dyDescent="0.3">
      <c r="A24" s="6">
        <v>2005</v>
      </c>
      <c r="B24" s="22" t="s">
        <v>40</v>
      </c>
      <c r="C24" s="14">
        <f>Base!C36</f>
        <v>0</v>
      </c>
      <c r="D24" s="48" t="s">
        <v>9</v>
      </c>
      <c r="E24" s="43">
        <v>0</v>
      </c>
      <c r="F24" s="15">
        <v>0</v>
      </c>
    </row>
    <row r="25" spans="1:6" s="19" customFormat="1" x14ac:dyDescent="0.3">
      <c r="A25" s="23" t="s">
        <v>416</v>
      </c>
      <c r="B25" s="21" t="s">
        <v>42</v>
      </c>
      <c r="C25" s="14">
        <f>Base!C37</f>
        <v>250</v>
      </c>
      <c r="D25" s="49" t="s">
        <v>12</v>
      </c>
      <c r="E25" s="43">
        <f>Base!E37*1.04</f>
        <v>0</v>
      </c>
      <c r="F25" s="15">
        <f t="shared" si="0"/>
        <v>0</v>
      </c>
    </row>
    <row r="26" spans="1:6" x14ac:dyDescent="0.3">
      <c r="A26" s="23" t="s">
        <v>417</v>
      </c>
      <c r="B26" s="21" t="s">
        <v>44</v>
      </c>
      <c r="C26" s="14">
        <f>Base!C38</f>
        <v>1000</v>
      </c>
      <c r="D26" s="49" t="s">
        <v>12</v>
      </c>
      <c r="E26" s="43">
        <f>Base!E38*1.04</f>
        <v>0</v>
      </c>
      <c r="F26" s="15">
        <f t="shared" si="0"/>
        <v>0</v>
      </c>
    </row>
    <row r="27" spans="1:6" x14ac:dyDescent="0.3">
      <c r="A27" s="23" t="s">
        <v>418</v>
      </c>
      <c r="B27" s="21" t="s">
        <v>46</v>
      </c>
      <c r="C27" s="14">
        <f>Base!C39</f>
        <v>200</v>
      </c>
      <c r="D27" s="49" t="s">
        <v>12</v>
      </c>
      <c r="E27" s="43">
        <f>Base!E39*1.04</f>
        <v>0</v>
      </c>
      <c r="F27" s="15">
        <f t="shared" si="0"/>
        <v>0</v>
      </c>
    </row>
    <row r="28" spans="1:6" ht="28.8" x14ac:dyDescent="0.3">
      <c r="A28" s="23" t="s">
        <v>419</v>
      </c>
      <c r="B28" s="21" t="s">
        <v>48</v>
      </c>
      <c r="C28" s="14">
        <f>Base!C40</f>
        <v>50</v>
      </c>
      <c r="D28" s="49" t="s">
        <v>12</v>
      </c>
      <c r="E28" s="43">
        <f>Base!E40*1.04</f>
        <v>0</v>
      </c>
      <c r="F28" s="15">
        <f t="shared" si="0"/>
        <v>0</v>
      </c>
    </row>
    <row r="29" spans="1:6" ht="43.2" x14ac:dyDescent="0.3">
      <c r="A29" s="16">
        <v>2006</v>
      </c>
      <c r="B29" s="22" t="s">
        <v>50</v>
      </c>
      <c r="C29" s="14">
        <f>Base!C41</f>
        <v>0</v>
      </c>
      <c r="D29" s="46" t="s">
        <v>9</v>
      </c>
      <c r="E29" s="43">
        <v>0</v>
      </c>
      <c r="F29" s="15"/>
    </row>
    <row r="30" spans="1:6" s="19" customFormat="1" x14ac:dyDescent="0.3">
      <c r="A30" s="23" t="s">
        <v>420</v>
      </c>
      <c r="B30" s="21" t="s">
        <v>34</v>
      </c>
      <c r="C30" s="14">
        <f>Base!C42</f>
        <v>1</v>
      </c>
      <c r="D30" s="49" t="s">
        <v>52</v>
      </c>
      <c r="E30" s="43">
        <f>Base!E42*1.04</f>
        <v>0</v>
      </c>
      <c r="F30" s="15">
        <f t="shared" si="0"/>
        <v>0</v>
      </c>
    </row>
    <row r="31" spans="1:6" x14ac:dyDescent="0.3">
      <c r="A31" s="23" t="s">
        <v>421</v>
      </c>
      <c r="B31" s="21" t="s">
        <v>36</v>
      </c>
      <c r="C31" s="14">
        <f>Base!C43</f>
        <v>1</v>
      </c>
      <c r="D31" s="49" t="s">
        <v>52</v>
      </c>
      <c r="E31" s="43">
        <f>Base!E43*1.04</f>
        <v>0</v>
      </c>
      <c r="F31" s="15">
        <f t="shared" si="0"/>
        <v>0</v>
      </c>
    </row>
    <row r="32" spans="1:6" x14ac:dyDescent="0.3">
      <c r="A32" s="23" t="s">
        <v>422</v>
      </c>
      <c r="B32" s="21" t="s">
        <v>37</v>
      </c>
      <c r="C32" s="14">
        <f>Base!C44</f>
        <v>1</v>
      </c>
      <c r="D32" s="49" t="s">
        <v>52</v>
      </c>
      <c r="E32" s="43">
        <f>Base!E44*1.04</f>
        <v>0</v>
      </c>
      <c r="F32" s="15">
        <f t="shared" si="0"/>
        <v>0</v>
      </c>
    </row>
    <row r="33" spans="1:6" ht="28.8" x14ac:dyDescent="0.3">
      <c r="A33" s="23" t="s">
        <v>423</v>
      </c>
      <c r="B33" s="21" t="s">
        <v>38</v>
      </c>
      <c r="C33" s="14">
        <f>Base!C45</f>
        <v>1</v>
      </c>
      <c r="D33" s="49" t="s">
        <v>52</v>
      </c>
      <c r="E33" s="43">
        <f>Base!E45*1.04</f>
        <v>0</v>
      </c>
      <c r="F33" s="15">
        <f t="shared" si="0"/>
        <v>0</v>
      </c>
    </row>
    <row r="34" spans="1:6" ht="43.2" x14ac:dyDescent="0.3">
      <c r="A34" s="6">
        <v>2007</v>
      </c>
      <c r="B34" s="22" t="s">
        <v>55</v>
      </c>
      <c r="C34" s="14">
        <f>Base!C46</f>
        <v>0</v>
      </c>
      <c r="D34" s="48" t="s">
        <v>9</v>
      </c>
      <c r="E34" s="43">
        <v>0</v>
      </c>
      <c r="F34" s="15"/>
    </row>
    <row r="35" spans="1:6" s="19" customFormat="1" x14ac:dyDescent="0.3">
      <c r="A35" s="23" t="s">
        <v>424</v>
      </c>
      <c r="B35" s="21" t="s">
        <v>42</v>
      </c>
      <c r="C35" s="14">
        <f>Base!C47</f>
        <v>1</v>
      </c>
      <c r="D35" s="49" t="s">
        <v>52</v>
      </c>
      <c r="E35" s="43">
        <f>Base!E47*1.04</f>
        <v>0</v>
      </c>
      <c r="F35" s="15">
        <f t="shared" si="0"/>
        <v>0</v>
      </c>
    </row>
    <row r="36" spans="1:6" x14ac:dyDescent="0.3">
      <c r="A36" s="23" t="s">
        <v>425</v>
      </c>
      <c r="B36" s="21" t="s">
        <v>44</v>
      </c>
      <c r="C36" s="14">
        <f>Base!C48</f>
        <v>1</v>
      </c>
      <c r="D36" s="49" t="s">
        <v>52</v>
      </c>
      <c r="E36" s="43">
        <f>Base!E48*1.04</f>
        <v>0</v>
      </c>
      <c r="F36" s="15">
        <f t="shared" si="0"/>
        <v>0</v>
      </c>
    </row>
    <row r="37" spans="1:6" x14ac:dyDescent="0.3">
      <c r="A37" s="23" t="s">
        <v>426</v>
      </c>
      <c r="B37" s="21" t="s">
        <v>46</v>
      </c>
      <c r="C37" s="14">
        <f>Base!C49</f>
        <v>1</v>
      </c>
      <c r="D37" s="49" t="s">
        <v>52</v>
      </c>
      <c r="E37" s="43">
        <f>Base!E49*1.04</f>
        <v>0</v>
      </c>
      <c r="F37" s="15">
        <f t="shared" si="0"/>
        <v>0</v>
      </c>
    </row>
    <row r="38" spans="1:6" ht="28.8" x14ac:dyDescent="0.3">
      <c r="A38" s="23" t="s">
        <v>427</v>
      </c>
      <c r="B38" s="21" t="s">
        <v>48</v>
      </c>
      <c r="C38" s="14">
        <f>Base!C50</f>
        <v>1</v>
      </c>
      <c r="D38" s="49" t="s">
        <v>52</v>
      </c>
      <c r="E38" s="43">
        <f>Base!E50*1.04</f>
        <v>0</v>
      </c>
      <c r="F38" s="15">
        <f t="shared" si="0"/>
        <v>0</v>
      </c>
    </row>
    <row r="39" spans="1:6" ht="43.2" x14ac:dyDescent="0.3">
      <c r="A39" s="6">
        <v>2008</v>
      </c>
      <c r="B39" s="24" t="s">
        <v>59</v>
      </c>
      <c r="C39" s="14">
        <f>Base!C94</f>
        <v>0</v>
      </c>
      <c r="D39" s="48" t="s">
        <v>9</v>
      </c>
      <c r="E39" s="43">
        <v>0</v>
      </c>
      <c r="F39" s="15"/>
    </row>
    <row r="40" spans="1:6" s="19" customFormat="1" x14ac:dyDescent="0.3">
      <c r="A40" s="23" t="s">
        <v>428</v>
      </c>
      <c r="B40" s="21" t="s">
        <v>61</v>
      </c>
      <c r="C40" s="14">
        <f>Base!C95</f>
        <v>200</v>
      </c>
      <c r="D40" s="47" t="s">
        <v>62</v>
      </c>
      <c r="E40" s="43">
        <f>Base!E95*1.04</f>
        <v>0</v>
      </c>
      <c r="F40" s="15">
        <f t="shared" si="0"/>
        <v>0</v>
      </c>
    </row>
    <row r="41" spans="1:6" x14ac:dyDescent="0.3">
      <c r="A41" s="23" t="s">
        <v>429</v>
      </c>
      <c r="B41" s="21" t="s">
        <v>64</v>
      </c>
      <c r="C41" s="14">
        <f>Base!C96</f>
        <v>200</v>
      </c>
      <c r="D41" s="47" t="s">
        <v>62</v>
      </c>
      <c r="E41" s="43">
        <f>Base!E96*1.04</f>
        <v>0</v>
      </c>
      <c r="F41" s="15">
        <f t="shared" si="0"/>
        <v>0</v>
      </c>
    </row>
    <row r="42" spans="1:6" x14ac:dyDescent="0.3">
      <c r="A42" s="23" t="s">
        <v>430</v>
      </c>
      <c r="B42" s="21" t="s">
        <v>66</v>
      </c>
      <c r="C42" s="14">
        <f>Base!C97</f>
        <v>200</v>
      </c>
      <c r="D42" s="47" t="s">
        <v>62</v>
      </c>
      <c r="E42" s="43">
        <f>Base!E97*1.04</f>
        <v>0</v>
      </c>
      <c r="F42" s="15">
        <f t="shared" si="0"/>
        <v>0</v>
      </c>
    </row>
    <row r="43" spans="1:6" x14ac:dyDescent="0.3">
      <c r="A43" s="23" t="s">
        <v>431</v>
      </c>
      <c r="B43" s="21" t="s">
        <v>68</v>
      </c>
      <c r="C43" s="14">
        <f>Base!C98</f>
        <v>200</v>
      </c>
      <c r="D43" s="47" t="s">
        <v>62</v>
      </c>
      <c r="E43" s="43">
        <f>Base!E98*1.04</f>
        <v>0</v>
      </c>
      <c r="F43" s="15">
        <f t="shared" si="0"/>
        <v>0</v>
      </c>
    </row>
    <row r="44" spans="1:6" ht="43.2" x14ac:dyDescent="0.3">
      <c r="A44" s="6">
        <v>2009</v>
      </c>
      <c r="B44" s="24" t="s">
        <v>70</v>
      </c>
      <c r="C44" s="14">
        <f>Base!C99</f>
        <v>0</v>
      </c>
      <c r="D44" s="48" t="s">
        <v>9</v>
      </c>
      <c r="E44" s="43">
        <v>0</v>
      </c>
      <c r="F44" s="15">
        <v>0</v>
      </c>
    </row>
    <row r="45" spans="1:6" x14ac:dyDescent="0.3">
      <c r="A45" s="12" t="s">
        <v>432</v>
      </c>
      <c r="B45" s="21" t="s">
        <v>72</v>
      </c>
      <c r="C45" s="14">
        <f>Base!C100</f>
        <v>200</v>
      </c>
      <c r="D45" s="47" t="s">
        <v>62</v>
      </c>
      <c r="E45" s="43">
        <f>Base!E100*1.04</f>
        <v>0</v>
      </c>
      <c r="F45" s="15">
        <f t="shared" si="0"/>
        <v>0</v>
      </c>
    </row>
    <row r="46" spans="1:6" s="19" customFormat="1" x14ac:dyDescent="0.3">
      <c r="A46" s="12" t="s">
        <v>433</v>
      </c>
      <c r="B46" s="21" t="s">
        <v>74</v>
      </c>
      <c r="C46" s="14">
        <f>Base!C101</f>
        <v>200</v>
      </c>
      <c r="D46" s="47" t="s">
        <v>62</v>
      </c>
      <c r="E46" s="43">
        <f>Base!E101*1.04</f>
        <v>0</v>
      </c>
      <c r="F46" s="15">
        <f t="shared" si="0"/>
        <v>0</v>
      </c>
    </row>
    <row r="47" spans="1:6" x14ac:dyDescent="0.3">
      <c r="A47" s="12" t="s">
        <v>434</v>
      </c>
      <c r="B47" s="21" t="s">
        <v>76</v>
      </c>
      <c r="C47" s="14">
        <f>Base!C102</f>
        <v>200</v>
      </c>
      <c r="D47" s="47" t="s">
        <v>62</v>
      </c>
      <c r="E47" s="43">
        <f>Base!E102*1.04</f>
        <v>0</v>
      </c>
      <c r="F47" s="15">
        <f t="shared" si="0"/>
        <v>0</v>
      </c>
    </row>
    <row r="48" spans="1:6" x14ac:dyDescent="0.3">
      <c r="A48" s="12" t="s">
        <v>435</v>
      </c>
      <c r="B48" s="21" t="s">
        <v>78</v>
      </c>
      <c r="C48" s="14" t="e">
        <f>Base!#REF!</f>
        <v>#REF!</v>
      </c>
      <c r="D48" s="47" t="s">
        <v>62</v>
      </c>
      <c r="E48" s="43" t="e">
        <f>Base!#REF!*1.04</f>
        <v>#REF!</v>
      </c>
      <c r="F48" s="15">
        <f t="shared" si="0"/>
        <v>0</v>
      </c>
    </row>
    <row r="49" spans="1:6" ht="43.2" x14ac:dyDescent="0.3">
      <c r="A49" s="6" t="s">
        <v>866</v>
      </c>
      <c r="B49" s="24" t="s">
        <v>80</v>
      </c>
      <c r="C49" s="14">
        <f>Base!C103</f>
        <v>0</v>
      </c>
      <c r="D49" s="48" t="s">
        <v>9</v>
      </c>
      <c r="E49" s="43">
        <v>0</v>
      </c>
      <c r="F49" s="15"/>
    </row>
    <row r="50" spans="1:6" s="19" customFormat="1" x14ac:dyDescent="0.3">
      <c r="A50" s="23" t="s">
        <v>867</v>
      </c>
      <c r="B50" s="21" t="s">
        <v>61</v>
      </c>
      <c r="C50" s="14">
        <f>Base!C104</f>
        <v>200</v>
      </c>
      <c r="D50" s="47" t="s">
        <v>62</v>
      </c>
      <c r="E50" s="43">
        <f>Base!E104*1.04</f>
        <v>0</v>
      </c>
      <c r="F50" s="15">
        <f t="shared" si="0"/>
        <v>0</v>
      </c>
    </row>
    <row r="51" spans="1:6" x14ac:dyDescent="0.3">
      <c r="A51" s="12" t="s">
        <v>868</v>
      </c>
      <c r="B51" s="21" t="s">
        <v>64</v>
      </c>
      <c r="C51" s="14">
        <f>Base!C105</f>
        <v>200</v>
      </c>
      <c r="D51" s="47" t="s">
        <v>62</v>
      </c>
      <c r="E51" s="43">
        <f>Base!E105*1.04</f>
        <v>0</v>
      </c>
      <c r="F51" s="15">
        <f t="shared" si="0"/>
        <v>0</v>
      </c>
    </row>
    <row r="52" spans="1:6" x14ac:dyDescent="0.3">
      <c r="A52" s="12" t="s">
        <v>869</v>
      </c>
      <c r="B52" s="21" t="s">
        <v>66</v>
      </c>
      <c r="C52" s="14">
        <f>Base!C106</f>
        <v>200</v>
      </c>
      <c r="D52" s="47" t="s">
        <v>62</v>
      </c>
      <c r="E52" s="43">
        <f>Base!E106*1.04</f>
        <v>0</v>
      </c>
      <c r="F52" s="15">
        <f t="shared" si="0"/>
        <v>0</v>
      </c>
    </row>
    <row r="53" spans="1:6" x14ac:dyDescent="0.3">
      <c r="A53" s="12" t="s">
        <v>870</v>
      </c>
      <c r="B53" s="21" t="s">
        <v>68</v>
      </c>
      <c r="C53" s="14">
        <f>Base!C107</f>
        <v>200</v>
      </c>
      <c r="D53" s="47" t="s">
        <v>62</v>
      </c>
      <c r="E53" s="43">
        <f>Base!E107*1.04</f>
        <v>0</v>
      </c>
      <c r="F53" s="15">
        <f t="shared" si="0"/>
        <v>0</v>
      </c>
    </row>
    <row r="54" spans="1:6" ht="43.2" x14ac:dyDescent="0.3">
      <c r="A54" s="6">
        <v>2011</v>
      </c>
      <c r="B54" s="24" t="s">
        <v>86</v>
      </c>
      <c r="C54" s="14">
        <f>Base!C108</f>
        <v>0</v>
      </c>
      <c r="D54" s="48" t="s">
        <v>9</v>
      </c>
      <c r="E54" s="43">
        <v>0</v>
      </c>
      <c r="F54" s="15"/>
    </row>
    <row r="55" spans="1:6" x14ac:dyDescent="0.3">
      <c r="A55" s="23" t="s">
        <v>438</v>
      </c>
      <c r="B55" s="21" t="s">
        <v>72</v>
      </c>
      <c r="C55" s="14">
        <f>Base!C109</f>
        <v>200</v>
      </c>
      <c r="D55" s="47" t="s">
        <v>62</v>
      </c>
      <c r="E55" s="43">
        <f>Base!E109*1.04</f>
        <v>0</v>
      </c>
      <c r="F55" s="15">
        <f t="shared" si="0"/>
        <v>0</v>
      </c>
    </row>
    <row r="56" spans="1:6" s="19" customFormat="1" x14ac:dyDescent="0.3">
      <c r="A56" s="12" t="s">
        <v>439</v>
      </c>
      <c r="B56" s="21" t="s">
        <v>74</v>
      </c>
      <c r="C56" s="14">
        <f>Base!C110</f>
        <v>200</v>
      </c>
      <c r="D56" s="47" t="s">
        <v>62</v>
      </c>
      <c r="E56" s="43">
        <f>Base!E110*1.04</f>
        <v>0</v>
      </c>
      <c r="F56" s="15">
        <f t="shared" si="0"/>
        <v>0</v>
      </c>
    </row>
    <row r="57" spans="1:6" x14ac:dyDescent="0.3">
      <c r="A57" s="12" t="s">
        <v>440</v>
      </c>
      <c r="B57" s="21" t="s">
        <v>76</v>
      </c>
      <c r="C57" s="14">
        <f>Base!C111</f>
        <v>200</v>
      </c>
      <c r="D57" s="47" t="s">
        <v>62</v>
      </c>
      <c r="E57" s="43">
        <f>Base!E111*1.04</f>
        <v>0</v>
      </c>
      <c r="F57" s="15">
        <f t="shared" si="0"/>
        <v>0</v>
      </c>
    </row>
    <row r="58" spans="1:6" x14ac:dyDescent="0.3">
      <c r="A58" s="12" t="s">
        <v>441</v>
      </c>
      <c r="B58" s="21" t="s">
        <v>78</v>
      </c>
      <c r="C58" s="14" t="e">
        <f>Base!#REF!</f>
        <v>#REF!</v>
      </c>
      <c r="D58" s="47" t="s">
        <v>62</v>
      </c>
      <c r="E58" s="43" t="e">
        <f>Base!#REF!*1.04</f>
        <v>#REF!</v>
      </c>
      <c r="F58" s="15">
        <f t="shared" si="0"/>
        <v>0</v>
      </c>
    </row>
    <row r="59" spans="1:6" ht="28.8" x14ac:dyDescent="0.3">
      <c r="A59" s="6">
        <v>2012</v>
      </c>
      <c r="B59" s="24" t="s">
        <v>92</v>
      </c>
      <c r="C59" s="14">
        <f>Base!C51</f>
        <v>0</v>
      </c>
      <c r="D59" s="46" t="s">
        <v>9</v>
      </c>
      <c r="E59" s="43">
        <v>0</v>
      </c>
      <c r="F59" s="15"/>
    </row>
    <row r="60" spans="1:6" x14ac:dyDescent="0.3">
      <c r="A60" s="23" t="s">
        <v>442</v>
      </c>
      <c r="B60" s="21" t="s">
        <v>94</v>
      </c>
      <c r="C60" s="14">
        <f>Base!C52</f>
        <v>1000</v>
      </c>
      <c r="D60" s="34" t="s">
        <v>95</v>
      </c>
      <c r="E60" s="43">
        <f>Base!E52*1.04</f>
        <v>0</v>
      </c>
      <c r="F60" s="15">
        <f t="shared" si="0"/>
        <v>0</v>
      </c>
    </row>
    <row r="61" spans="1:6" x14ac:dyDescent="0.3">
      <c r="A61" s="23" t="s">
        <v>443</v>
      </c>
      <c r="B61" s="21" t="s">
        <v>97</v>
      </c>
      <c r="C61" s="14">
        <f>Base!C53</f>
        <v>1000</v>
      </c>
      <c r="D61" s="34" t="s">
        <v>95</v>
      </c>
      <c r="E61" s="43">
        <f>Base!E53*1.04</f>
        <v>0</v>
      </c>
      <c r="F61" s="15">
        <f t="shared" si="0"/>
        <v>0</v>
      </c>
    </row>
    <row r="62" spans="1:6" x14ac:dyDescent="0.3">
      <c r="A62" s="23" t="s">
        <v>444</v>
      </c>
      <c r="B62" s="21" t="s">
        <v>99</v>
      </c>
      <c r="C62" s="14">
        <f>Base!C54</f>
        <v>1000</v>
      </c>
      <c r="D62" s="34" t="s">
        <v>95</v>
      </c>
      <c r="E62" s="43">
        <f>Base!E54*1.04</f>
        <v>0</v>
      </c>
      <c r="F62" s="15">
        <f t="shared" si="0"/>
        <v>0</v>
      </c>
    </row>
    <row r="63" spans="1:6" x14ac:dyDescent="0.3">
      <c r="A63" s="23" t="s">
        <v>445</v>
      </c>
      <c r="B63" s="21" t="s">
        <v>101</v>
      </c>
      <c r="C63" s="14">
        <f>Base!C55</f>
        <v>1000</v>
      </c>
      <c r="D63" s="34" t="s">
        <v>95</v>
      </c>
      <c r="E63" s="43">
        <f>Base!E55*1.04</f>
        <v>0</v>
      </c>
      <c r="F63" s="15">
        <f t="shared" si="0"/>
        <v>0</v>
      </c>
    </row>
    <row r="64" spans="1:6" s="19" customFormat="1" x14ac:dyDescent="0.3">
      <c r="A64" s="23" t="s">
        <v>446</v>
      </c>
      <c r="B64" s="21" t="s">
        <v>103</v>
      </c>
      <c r="C64" s="14">
        <f>Base!C56</f>
        <v>1000</v>
      </c>
      <c r="D64" s="34" t="s">
        <v>95</v>
      </c>
      <c r="E64" s="43">
        <f>Base!E56*1.04</f>
        <v>0</v>
      </c>
      <c r="F64" s="15">
        <f t="shared" si="0"/>
        <v>0</v>
      </c>
    </row>
    <row r="65" spans="1:6" x14ac:dyDescent="0.3">
      <c r="A65" s="23" t="s">
        <v>447</v>
      </c>
      <c r="B65" s="21" t="s">
        <v>105</v>
      </c>
      <c r="C65" s="14">
        <f>Base!C57</f>
        <v>1000</v>
      </c>
      <c r="D65" s="34" t="s">
        <v>95</v>
      </c>
      <c r="E65" s="43">
        <f>Base!E57*1.04</f>
        <v>0</v>
      </c>
      <c r="F65" s="15">
        <f t="shared" si="0"/>
        <v>0</v>
      </c>
    </row>
    <row r="66" spans="1:6" x14ac:dyDescent="0.3">
      <c r="A66" s="23" t="s">
        <v>448</v>
      </c>
      <c r="B66" s="21" t="s">
        <v>107</v>
      </c>
      <c r="C66" s="14">
        <f>Base!C58</f>
        <v>1000</v>
      </c>
      <c r="D66" s="34" t="s">
        <v>95</v>
      </c>
      <c r="E66" s="43">
        <f>Base!E58*1.04</f>
        <v>0</v>
      </c>
      <c r="F66" s="15">
        <f t="shared" si="0"/>
        <v>0</v>
      </c>
    </row>
    <row r="67" spans="1:6" x14ac:dyDescent="0.3">
      <c r="A67" s="23" t="s">
        <v>449</v>
      </c>
      <c r="B67" s="21" t="s">
        <v>108</v>
      </c>
      <c r="C67" s="14" t="e">
        <f>Base!#REF!</f>
        <v>#REF!</v>
      </c>
      <c r="D67" s="34" t="s">
        <v>95</v>
      </c>
      <c r="E67" s="43" t="e">
        <f>Base!#REF!*1.04</f>
        <v>#REF!</v>
      </c>
      <c r="F67" s="15">
        <f t="shared" si="0"/>
        <v>0</v>
      </c>
    </row>
    <row r="68" spans="1:6" ht="28.8" x14ac:dyDescent="0.3">
      <c r="A68" s="6">
        <v>2013</v>
      </c>
      <c r="B68" s="24" t="s">
        <v>109</v>
      </c>
      <c r="C68" s="14" t="e">
        <f>Base!#REF!</f>
        <v>#REF!</v>
      </c>
      <c r="D68" s="46" t="s">
        <v>9</v>
      </c>
      <c r="E68" s="43">
        <v>0</v>
      </c>
      <c r="F68" s="15"/>
    </row>
    <row r="69" spans="1:6" x14ac:dyDescent="0.3">
      <c r="A69" s="23" t="s">
        <v>450</v>
      </c>
      <c r="B69" s="21" t="s">
        <v>94</v>
      </c>
      <c r="C69" s="14" t="e">
        <f>Base!#REF!</f>
        <v>#REF!</v>
      </c>
      <c r="D69" s="34" t="s">
        <v>95</v>
      </c>
      <c r="E69" s="43" t="e">
        <f>Base!#REF!*1.04</f>
        <v>#REF!</v>
      </c>
      <c r="F69" s="15">
        <f t="shared" si="0"/>
        <v>0</v>
      </c>
    </row>
    <row r="70" spans="1:6" x14ac:dyDescent="0.3">
      <c r="A70" s="23" t="s">
        <v>451</v>
      </c>
      <c r="B70" s="21" t="s">
        <v>97</v>
      </c>
      <c r="C70" s="14" t="e">
        <f>Base!#REF!</f>
        <v>#REF!</v>
      </c>
      <c r="D70" s="34" t="s">
        <v>95</v>
      </c>
      <c r="E70" s="43" t="e">
        <f>Base!#REF!*1.04</f>
        <v>#REF!</v>
      </c>
      <c r="F70" s="15">
        <f t="shared" ref="F70:F133" si="1">IF(ISNUMBER(E70),C70*E70,0)</f>
        <v>0</v>
      </c>
    </row>
    <row r="71" spans="1:6" x14ac:dyDescent="0.3">
      <c r="A71" s="23" t="s">
        <v>452</v>
      </c>
      <c r="B71" s="21" t="s">
        <v>99</v>
      </c>
      <c r="C71" s="14" t="e">
        <f>Base!#REF!</f>
        <v>#REF!</v>
      </c>
      <c r="D71" s="34" t="s">
        <v>95</v>
      </c>
      <c r="E71" s="43" t="e">
        <f>Base!#REF!*1.04</f>
        <v>#REF!</v>
      </c>
      <c r="F71" s="15">
        <f t="shared" si="1"/>
        <v>0</v>
      </c>
    </row>
    <row r="72" spans="1:6" x14ac:dyDescent="0.3">
      <c r="A72" s="23" t="s">
        <v>453</v>
      </c>
      <c r="B72" s="21" t="s">
        <v>101</v>
      </c>
      <c r="C72" s="14" t="e">
        <f>Base!#REF!</f>
        <v>#REF!</v>
      </c>
      <c r="D72" s="34" t="s">
        <v>95</v>
      </c>
      <c r="E72" s="43" t="e">
        <f>Base!#REF!*1.04</f>
        <v>#REF!</v>
      </c>
      <c r="F72" s="15">
        <f t="shared" si="1"/>
        <v>0</v>
      </c>
    </row>
    <row r="73" spans="1:6" s="19" customFormat="1" x14ac:dyDescent="0.3">
      <c r="A73" s="23" t="s">
        <v>454</v>
      </c>
      <c r="B73" s="21" t="s">
        <v>103</v>
      </c>
      <c r="C73" s="14" t="e">
        <f>Base!#REF!</f>
        <v>#REF!</v>
      </c>
      <c r="D73" s="34" t="s">
        <v>95</v>
      </c>
      <c r="E73" s="43" t="e">
        <f>Base!#REF!*1.04</f>
        <v>#REF!</v>
      </c>
      <c r="F73" s="15">
        <f t="shared" si="1"/>
        <v>0</v>
      </c>
    </row>
    <row r="74" spans="1:6" x14ac:dyDescent="0.3">
      <c r="A74" s="23" t="s">
        <v>455</v>
      </c>
      <c r="B74" s="21" t="s">
        <v>105</v>
      </c>
      <c r="C74" s="14" t="e">
        <f>Base!#REF!</f>
        <v>#REF!</v>
      </c>
      <c r="D74" s="34" t="s">
        <v>95</v>
      </c>
      <c r="E74" s="43" t="e">
        <f>Base!#REF!*1.04</f>
        <v>#REF!</v>
      </c>
      <c r="F74" s="15">
        <f t="shared" si="1"/>
        <v>0</v>
      </c>
    </row>
    <row r="75" spans="1:6" x14ac:dyDescent="0.3">
      <c r="A75" s="23" t="s">
        <v>456</v>
      </c>
      <c r="B75" s="21" t="s">
        <v>107</v>
      </c>
      <c r="C75" s="14" t="e">
        <f>Base!#REF!</f>
        <v>#REF!</v>
      </c>
      <c r="D75" s="34" t="s">
        <v>95</v>
      </c>
      <c r="E75" s="43" t="e">
        <f>Base!#REF!*1.04</f>
        <v>#REF!</v>
      </c>
      <c r="F75" s="15">
        <f t="shared" si="1"/>
        <v>0</v>
      </c>
    </row>
    <row r="76" spans="1:6" x14ac:dyDescent="0.3">
      <c r="A76" s="23" t="s">
        <v>457</v>
      </c>
      <c r="B76" s="21" t="s">
        <v>108</v>
      </c>
      <c r="C76" s="14" t="e">
        <f>Base!#REF!</f>
        <v>#REF!</v>
      </c>
      <c r="D76" s="34" t="s">
        <v>95</v>
      </c>
      <c r="E76" s="43" t="e">
        <f>Base!#REF!*1.04</f>
        <v>#REF!</v>
      </c>
      <c r="F76" s="15">
        <f t="shared" si="1"/>
        <v>0</v>
      </c>
    </row>
    <row r="77" spans="1:6" ht="28.8" x14ac:dyDescent="0.3">
      <c r="A77" s="6">
        <v>2014</v>
      </c>
      <c r="B77" s="24" t="s">
        <v>110</v>
      </c>
      <c r="C77" s="14">
        <f>Base!C59</f>
        <v>0</v>
      </c>
      <c r="D77" s="46" t="s">
        <v>9</v>
      </c>
      <c r="E77" s="43">
        <v>0</v>
      </c>
      <c r="F77" s="15"/>
    </row>
    <row r="78" spans="1:6" x14ac:dyDescent="0.3">
      <c r="A78" s="23" t="s">
        <v>458</v>
      </c>
      <c r="B78" s="21" t="s">
        <v>94</v>
      </c>
      <c r="C78" s="14">
        <f>Base!C60</f>
        <v>2500</v>
      </c>
      <c r="D78" s="34" t="s">
        <v>95</v>
      </c>
      <c r="E78" s="43">
        <f>Base!E60*1.04</f>
        <v>0</v>
      </c>
      <c r="F78" s="15">
        <f t="shared" si="1"/>
        <v>0</v>
      </c>
    </row>
    <row r="79" spans="1:6" x14ac:dyDescent="0.3">
      <c r="A79" s="23" t="s">
        <v>459</v>
      </c>
      <c r="B79" s="21" t="s">
        <v>97</v>
      </c>
      <c r="C79" s="14">
        <f>Base!C61</f>
        <v>2500</v>
      </c>
      <c r="D79" s="34" t="s">
        <v>95</v>
      </c>
      <c r="E79" s="43">
        <f>Base!E61*1.04</f>
        <v>0</v>
      </c>
      <c r="F79" s="15">
        <f t="shared" si="1"/>
        <v>0</v>
      </c>
    </row>
    <row r="80" spans="1:6" x14ac:dyDescent="0.3">
      <c r="A80" s="23" t="s">
        <v>460</v>
      </c>
      <c r="B80" s="21" t="s">
        <v>99</v>
      </c>
      <c r="C80" s="14">
        <f>Base!C62</f>
        <v>2500</v>
      </c>
      <c r="D80" s="34" t="s">
        <v>95</v>
      </c>
      <c r="E80" s="43">
        <f>Base!E62*1.04</f>
        <v>0</v>
      </c>
      <c r="F80" s="15">
        <f t="shared" si="1"/>
        <v>0</v>
      </c>
    </row>
    <row r="81" spans="1:6" x14ac:dyDescent="0.3">
      <c r="A81" s="23" t="s">
        <v>461</v>
      </c>
      <c r="B81" s="21" t="s">
        <v>101</v>
      </c>
      <c r="C81" s="14">
        <f>Base!C63</f>
        <v>2500</v>
      </c>
      <c r="D81" s="34" t="s">
        <v>95</v>
      </c>
      <c r="E81" s="43">
        <f>Base!E63*1.04</f>
        <v>0</v>
      </c>
      <c r="F81" s="15">
        <f t="shared" si="1"/>
        <v>0</v>
      </c>
    </row>
    <row r="82" spans="1:6" s="19" customFormat="1" x14ac:dyDescent="0.3">
      <c r="A82" s="23" t="s">
        <v>462</v>
      </c>
      <c r="B82" s="21" t="s">
        <v>103</v>
      </c>
      <c r="C82" s="14">
        <f>Base!C64</f>
        <v>2500</v>
      </c>
      <c r="D82" s="34" t="s">
        <v>95</v>
      </c>
      <c r="E82" s="43">
        <f>Base!E64*1.04</f>
        <v>0</v>
      </c>
      <c r="F82" s="15">
        <f t="shared" si="1"/>
        <v>0</v>
      </c>
    </row>
    <row r="83" spans="1:6" x14ac:dyDescent="0.3">
      <c r="A83" s="23" t="s">
        <v>463</v>
      </c>
      <c r="B83" s="21" t="s">
        <v>105</v>
      </c>
      <c r="C83" s="14">
        <f>Base!C65</f>
        <v>2500</v>
      </c>
      <c r="D83" s="34" t="s">
        <v>95</v>
      </c>
      <c r="E83" s="43">
        <f>Base!E65*1.04</f>
        <v>0</v>
      </c>
      <c r="F83" s="15">
        <f t="shared" si="1"/>
        <v>0</v>
      </c>
    </row>
    <row r="84" spans="1:6" x14ac:dyDescent="0.3">
      <c r="A84" s="23" t="s">
        <v>464</v>
      </c>
      <c r="B84" s="21" t="s">
        <v>107</v>
      </c>
      <c r="C84" s="14">
        <f>Base!C66</f>
        <v>2500</v>
      </c>
      <c r="D84" s="34" t="s">
        <v>95</v>
      </c>
      <c r="E84" s="43">
        <f>Base!E66*1.04</f>
        <v>0</v>
      </c>
      <c r="F84" s="15">
        <f t="shared" si="1"/>
        <v>0</v>
      </c>
    </row>
    <row r="85" spans="1:6" x14ac:dyDescent="0.3">
      <c r="A85" s="23" t="s">
        <v>465</v>
      </c>
      <c r="B85" s="21" t="s">
        <v>108</v>
      </c>
      <c r="C85" s="14" t="e">
        <f>Base!#REF!</f>
        <v>#REF!</v>
      </c>
      <c r="D85" s="34" t="s">
        <v>95</v>
      </c>
      <c r="E85" s="43" t="e">
        <f>Base!#REF!*1.04</f>
        <v>#REF!</v>
      </c>
      <c r="F85" s="15">
        <f t="shared" si="1"/>
        <v>0</v>
      </c>
    </row>
    <row r="86" spans="1:6" s="25" customFormat="1" ht="43.2" x14ac:dyDescent="0.3">
      <c r="A86" s="6">
        <v>2015</v>
      </c>
      <c r="B86" s="22" t="s">
        <v>112</v>
      </c>
      <c r="C86" s="14">
        <f>Base!C9</f>
        <v>0</v>
      </c>
      <c r="D86" s="46" t="s">
        <v>9</v>
      </c>
      <c r="E86" s="43">
        <v>0</v>
      </c>
      <c r="F86" s="15"/>
    </row>
    <row r="87" spans="1:6" s="19" customFormat="1" x14ac:dyDescent="0.3">
      <c r="A87" s="23" t="s">
        <v>466</v>
      </c>
      <c r="B87" s="18" t="s">
        <v>114</v>
      </c>
      <c r="C87" s="14">
        <f>Base!C10</f>
        <v>1000</v>
      </c>
      <c r="D87" s="47" t="s">
        <v>12</v>
      </c>
      <c r="E87" s="43">
        <f>Base!E10*1.04</f>
        <v>0</v>
      </c>
      <c r="F87" s="15">
        <f t="shared" si="1"/>
        <v>0</v>
      </c>
    </row>
    <row r="88" spans="1:6" x14ac:dyDescent="0.3">
      <c r="A88" s="23" t="s">
        <v>467</v>
      </c>
      <c r="B88" s="18" t="s">
        <v>116</v>
      </c>
      <c r="C88" s="14">
        <f>Base!C11</f>
        <v>2500</v>
      </c>
      <c r="D88" s="47" t="s">
        <v>12</v>
      </c>
      <c r="E88" s="43">
        <f>Base!E11*1.04</f>
        <v>0</v>
      </c>
      <c r="F88" s="15">
        <f t="shared" si="1"/>
        <v>0</v>
      </c>
    </row>
    <row r="89" spans="1:6" ht="28.8" x14ac:dyDescent="0.3">
      <c r="A89" s="6">
        <v>2016</v>
      </c>
      <c r="B89" s="20" t="s">
        <v>118</v>
      </c>
      <c r="C89" s="14">
        <f>Base!C23</f>
        <v>0</v>
      </c>
      <c r="D89" s="46" t="s">
        <v>9</v>
      </c>
      <c r="E89" s="43">
        <v>0</v>
      </c>
      <c r="F89" s="15"/>
    </row>
    <row r="90" spans="1:6" x14ac:dyDescent="0.3">
      <c r="A90" s="12" t="s">
        <v>468</v>
      </c>
      <c r="B90" s="21" t="s">
        <v>114</v>
      </c>
      <c r="C90" s="14">
        <f>Base!C24</f>
        <v>10</v>
      </c>
      <c r="D90" s="34" t="s">
        <v>12</v>
      </c>
      <c r="E90" s="43">
        <f>Base!E24*1.04</f>
        <v>0</v>
      </c>
      <c r="F90" s="15">
        <f t="shared" si="1"/>
        <v>0</v>
      </c>
    </row>
    <row r="91" spans="1:6" x14ac:dyDescent="0.3">
      <c r="A91" s="12" t="s">
        <v>469</v>
      </c>
      <c r="B91" s="21" t="s">
        <v>116</v>
      </c>
      <c r="C91" s="14">
        <f>Base!C25</f>
        <v>10</v>
      </c>
      <c r="D91" s="34" t="s">
        <v>12</v>
      </c>
      <c r="E91" s="43">
        <f>Base!E25*1.04</f>
        <v>0</v>
      </c>
      <c r="F91" s="15">
        <f t="shared" si="1"/>
        <v>0</v>
      </c>
    </row>
    <row r="92" spans="1:6" ht="28.8" x14ac:dyDescent="0.3">
      <c r="A92" s="6">
        <v>2017</v>
      </c>
      <c r="B92" s="22" t="s">
        <v>122</v>
      </c>
      <c r="C92" s="14">
        <f>Base!C12</f>
        <v>0</v>
      </c>
      <c r="D92" s="46" t="s">
        <v>9</v>
      </c>
      <c r="E92" s="43">
        <v>0</v>
      </c>
      <c r="F92" s="15"/>
    </row>
    <row r="93" spans="1:6" x14ac:dyDescent="0.3">
      <c r="A93" s="23" t="s">
        <v>470</v>
      </c>
      <c r="B93" s="18" t="s">
        <v>124</v>
      </c>
      <c r="C93" s="14">
        <f>Base!C13</f>
        <v>1000</v>
      </c>
      <c r="D93" s="47" t="s">
        <v>12</v>
      </c>
      <c r="E93" s="43">
        <f>Base!E13*1.04</f>
        <v>0</v>
      </c>
      <c r="F93" s="15">
        <f t="shared" si="1"/>
        <v>0</v>
      </c>
    </row>
    <row r="94" spans="1:6" x14ac:dyDescent="0.3">
      <c r="A94" s="12" t="s">
        <v>471</v>
      </c>
      <c r="B94" s="18" t="s">
        <v>126</v>
      </c>
      <c r="C94" s="14">
        <f>Base!C14</f>
        <v>2500</v>
      </c>
      <c r="D94" s="47" t="s">
        <v>12</v>
      </c>
      <c r="E94" s="43">
        <f>Base!E14*1.04</f>
        <v>0</v>
      </c>
      <c r="F94" s="15">
        <f t="shared" si="1"/>
        <v>0</v>
      </c>
    </row>
    <row r="95" spans="1:6" ht="28.8" x14ac:dyDescent="0.3">
      <c r="A95" s="16">
        <v>2018</v>
      </c>
      <c r="B95" s="24" t="s">
        <v>127</v>
      </c>
      <c r="C95" s="14">
        <f>Base!C127</f>
        <v>0</v>
      </c>
      <c r="D95" s="48" t="s">
        <v>9</v>
      </c>
      <c r="E95" s="43">
        <v>0</v>
      </c>
      <c r="F95" s="15"/>
    </row>
    <row r="96" spans="1:6" s="26" customFormat="1" x14ac:dyDescent="0.3">
      <c r="A96" s="23" t="s">
        <v>472</v>
      </c>
      <c r="B96" s="21" t="s">
        <v>128</v>
      </c>
      <c r="C96" s="14">
        <f>Base!C128</f>
        <v>1</v>
      </c>
      <c r="D96" s="34" t="s">
        <v>12</v>
      </c>
      <c r="E96" s="43">
        <f>Base!E128*1.04</f>
        <v>0</v>
      </c>
      <c r="F96" s="15">
        <f t="shared" si="1"/>
        <v>0</v>
      </c>
    </row>
    <row r="97" spans="1:7" x14ac:dyDescent="0.3">
      <c r="A97" s="23" t="s">
        <v>473</v>
      </c>
      <c r="B97" s="18" t="s">
        <v>129</v>
      </c>
      <c r="C97" s="14">
        <f>Base!C129</f>
        <v>1</v>
      </c>
      <c r="D97" s="47" t="s">
        <v>12</v>
      </c>
      <c r="E97" s="43">
        <f>Base!E129*1.04</f>
        <v>0</v>
      </c>
      <c r="F97" s="15">
        <f t="shared" si="1"/>
        <v>0</v>
      </c>
    </row>
    <row r="98" spans="1:7" ht="28.8" x14ac:dyDescent="0.3">
      <c r="A98" s="23" t="s">
        <v>474</v>
      </c>
      <c r="B98" s="18" t="s">
        <v>130</v>
      </c>
      <c r="C98" s="14">
        <f>Base!C130</f>
        <v>1000</v>
      </c>
      <c r="D98" s="47" t="s">
        <v>131</v>
      </c>
      <c r="E98" s="43">
        <f>Base!E130*1.04</f>
        <v>0</v>
      </c>
      <c r="F98" s="15">
        <f t="shared" si="1"/>
        <v>0</v>
      </c>
      <c r="G98" s="27"/>
    </row>
    <row r="99" spans="1:7" x14ac:dyDescent="0.3">
      <c r="A99" s="23" t="s">
        <v>475</v>
      </c>
      <c r="B99" s="18" t="s">
        <v>132</v>
      </c>
      <c r="C99" s="14">
        <f>Base!C131</f>
        <v>1000</v>
      </c>
      <c r="D99" s="47" t="s">
        <v>131</v>
      </c>
      <c r="E99" s="43">
        <f>Base!E131*1.04</f>
        <v>0</v>
      </c>
      <c r="F99" s="15">
        <f t="shared" si="1"/>
        <v>0</v>
      </c>
      <c r="G99" s="27"/>
    </row>
    <row r="100" spans="1:7" x14ac:dyDescent="0.3">
      <c r="A100" s="23" t="s">
        <v>476</v>
      </c>
      <c r="B100" s="18" t="s">
        <v>133</v>
      </c>
      <c r="C100" s="14">
        <f>Base!C132</f>
        <v>1000</v>
      </c>
      <c r="D100" s="47" t="s">
        <v>131</v>
      </c>
      <c r="E100" s="43">
        <f>Base!E132*1.04</f>
        <v>0</v>
      </c>
      <c r="F100" s="15">
        <f t="shared" si="1"/>
        <v>0</v>
      </c>
      <c r="G100" s="27"/>
    </row>
    <row r="101" spans="1:7" x14ac:dyDescent="0.3">
      <c r="A101" s="23" t="s">
        <v>477</v>
      </c>
      <c r="B101" s="28" t="s">
        <v>134</v>
      </c>
      <c r="C101" s="14">
        <f>Base!C133</f>
        <v>1000</v>
      </c>
      <c r="D101" s="47" t="s">
        <v>131</v>
      </c>
      <c r="E101" s="43">
        <f>Base!E133*1.04</f>
        <v>0</v>
      </c>
      <c r="F101" s="15">
        <f t="shared" si="1"/>
        <v>0</v>
      </c>
      <c r="G101" s="27"/>
    </row>
    <row r="102" spans="1:7" ht="28.8" x14ac:dyDescent="0.3">
      <c r="A102" s="23" t="s">
        <v>478</v>
      </c>
      <c r="B102" s="21" t="s">
        <v>135</v>
      </c>
      <c r="C102" s="14">
        <f>Base!C134</f>
        <v>50</v>
      </c>
      <c r="D102" s="47" t="s">
        <v>131</v>
      </c>
      <c r="E102" s="43">
        <f>Base!E134*1.04</f>
        <v>0</v>
      </c>
      <c r="F102" s="15">
        <f t="shared" si="1"/>
        <v>0</v>
      </c>
      <c r="G102" s="27"/>
    </row>
    <row r="103" spans="1:7" ht="28.8" x14ac:dyDescent="0.3">
      <c r="A103" s="23" t="s">
        <v>479</v>
      </c>
      <c r="B103" s="21" t="s">
        <v>136</v>
      </c>
      <c r="C103" s="14">
        <f>Base!C135</f>
        <v>50</v>
      </c>
      <c r="D103" s="47" t="s">
        <v>131</v>
      </c>
      <c r="E103" s="43">
        <f>Base!E135*1.04</f>
        <v>0</v>
      </c>
      <c r="F103" s="15">
        <f t="shared" si="1"/>
        <v>0</v>
      </c>
      <c r="G103" s="27"/>
    </row>
    <row r="104" spans="1:7" ht="28.8" x14ac:dyDescent="0.3">
      <c r="A104" s="23" t="s">
        <v>480</v>
      </c>
      <c r="B104" s="21" t="s">
        <v>137</v>
      </c>
      <c r="C104" s="14">
        <f>Base!C136</f>
        <v>50</v>
      </c>
      <c r="D104" s="47" t="s">
        <v>131</v>
      </c>
      <c r="E104" s="43">
        <f>Base!E136*1.04</f>
        <v>0</v>
      </c>
      <c r="F104" s="15">
        <f t="shared" si="1"/>
        <v>0</v>
      </c>
      <c r="G104" s="27"/>
    </row>
    <row r="105" spans="1:7" x14ac:dyDescent="0.3">
      <c r="A105" s="29" t="s">
        <v>481</v>
      </c>
      <c r="B105" s="30" t="s">
        <v>138</v>
      </c>
      <c r="C105" s="14" t="e">
        <f>Base!#REF!</f>
        <v>#REF!</v>
      </c>
      <c r="D105" s="47" t="s">
        <v>131</v>
      </c>
      <c r="E105" s="43" t="e">
        <f>Base!#REF!*1.04</f>
        <v>#REF!</v>
      </c>
      <c r="F105" s="15">
        <f t="shared" si="1"/>
        <v>0</v>
      </c>
      <c r="G105" s="27"/>
    </row>
    <row r="106" spans="1:7" x14ac:dyDescent="0.3">
      <c r="A106" s="29" t="s">
        <v>482</v>
      </c>
      <c r="B106" s="30" t="s">
        <v>139</v>
      </c>
      <c r="C106" s="14" t="e">
        <f>Base!#REF!</f>
        <v>#REF!</v>
      </c>
      <c r="D106" s="47" t="s">
        <v>131</v>
      </c>
      <c r="E106" s="43" t="e">
        <f>Base!#REF!*1.04</f>
        <v>#REF!</v>
      </c>
      <c r="F106" s="15">
        <f t="shared" si="1"/>
        <v>0</v>
      </c>
      <c r="G106" s="27"/>
    </row>
    <row r="107" spans="1:7" x14ac:dyDescent="0.3">
      <c r="A107" s="31" t="s">
        <v>483</v>
      </c>
      <c r="B107" s="32" t="s">
        <v>140</v>
      </c>
      <c r="C107" s="14" t="e">
        <f>Base!#REF!</f>
        <v>#REF!</v>
      </c>
      <c r="D107" s="47" t="s">
        <v>131</v>
      </c>
      <c r="E107" s="43" t="e">
        <f>Base!#REF!*1.04</f>
        <v>#REF!</v>
      </c>
      <c r="F107" s="15">
        <f t="shared" si="1"/>
        <v>0</v>
      </c>
      <c r="G107" s="27"/>
    </row>
    <row r="108" spans="1:7" s="25" customFormat="1" x14ac:dyDescent="0.3">
      <c r="A108" s="31" t="s">
        <v>484</v>
      </c>
      <c r="B108" s="32" t="s">
        <v>141</v>
      </c>
      <c r="C108" s="14" t="e">
        <f>Base!#REF!</f>
        <v>#REF!</v>
      </c>
      <c r="D108" s="47" t="s">
        <v>131</v>
      </c>
      <c r="E108" s="43" t="e">
        <f>Base!#REF!*1.04</f>
        <v>#REF!</v>
      </c>
      <c r="F108" s="15">
        <f t="shared" si="1"/>
        <v>0</v>
      </c>
    </row>
    <row r="109" spans="1:7" s="35" customFormat="1" ht="28.8" x14ac:dyDescent="0.3">
      <c r="A109" s="33">
        <v>2019</v>
      </c>
      <c r="B109" s="28" t="s">
        <v>143</v>
      </c>
      <c r="C109" s="14">
        <f>Base!C119</f>
        <v>0</v>
      </c>
      <c r="D109" s="34" t="s">
        <v>9</v>
      </c>
      <c r="E109" s="43">
        <v>0</v>
      </c>
      <c r="F109" s="15"/>
    </row>
    <row r="110" spans="1:7" s="35" customFormat="1" x14ac:dyDescent="0.3">
      <c r="A110" s="36" t="s">
        <v>485</v>
      </c>
      <c r="B110" s="28" t="s">
        <v>145</v>
      </c>
      <c r="C110" s="14">
        <f>Base!C120</f>
        <v>1</v>
      </c>
      <c r="D110" s="34" t="s">
        <v>146</v>
      </c>
      <c r="E110" s="43">
        <f>Base!E120*1.04</f>
        <v>0</v>
      </c>
      <c r="F110" s="15">
        <f t="shared" si="1"/>
        <v>0</v>
      </c>
    </row>
    <row r="111" spans="1:7" s="35" customFormat="1" x14ac:dyDescent="0.3">
      <c r="A111" s="36" t="s">
        <v>486</v>
      </c>
      <c r="B111" s="28" t="s">
        <v>148</v>
      </c>
      <c r="C111" s="14">
        <f>Base!C121</f>
        <v>1</v>
      </c>
      <c r="D111" s="34" t="s">
        <v>146</v>
      </c>
      <c r="E111" s="43">
        <f>Base!E121*1.04</f>
        <v>0</v>
      </c>
      <c r="F111" s="15">
        <f t="shared" si="1"/>
        <v>0</v>
      </c>
    </row>
    <row r="112" spans="1:7" s="35" customFormat="1" x14ac:dyDescent="0.3">
      <c r="A112" s="36" t="s">
        <v>487</v>
      </c>
      <c r="B112" s="28" t="s">
        <v>150</v>
      </c>
      <c r="C112" s="14">
        <f>Base!C122</f>
        <v>0</v>
      </c>
      <c r="D112" s="34" t="s">
        <v>146</v>
      </c>
      <c r="E112" s="43">
        <f>Base!E122*1.04</f>
        <v>0</v>
      </c>
      <c r="F112" s="15">
        <f t="shared" si="1"/>
        <v>0</v>
      </c>
    </row>
    <row r="113" spans="1:6" s="35" customFormat="1" x14ac:dyDescent="0.3">
      <c r="A113" s="36" t="s">
        <v>488</v>
      </c>
      <c r="B113" s="28" t="s">
        <v>128</v>
      </c>
      <c r="C113" s="14" t="e">
        <f>Base!#REF!</f>
        <v>#REF!</v>
      </c>
      <c r="D113" s="34" t="s">
        <v>146</v>
      </c>
      <c r="E113" s="43" t="e">
        <f>Base!#REF!*1.04</f>
        <v>#REF!</v>
      </c>
      <c r="F113" s="15">
        <f t="shared" si="1"/>
        <v>0</v>
      </c>
    </row>
    <row r="114" spans="1:6" s="35" customFormat="1" x14ac:dyDescent="0.3">
      <c r="A114" s="36" t="s">
        <v>489</v>
      </c>
      <c r="B114" s="28" t="s">
        <v>129</v>
      </c>
      <c r="C114" s="14" t="e">
        <f>Base!#REF!</f>
        <v>#REF!</v>
      </c>
      <c r="D114" s="34" t="s">
        <v>146</v>
      </c>
      <c r="E114" s="43" t="e">
        <f>Base!#REF!*1.04</f>
        <v>#REF!</v>
      </c>
      <c r="F114" s="15">
        <f t="shared" si="1"/>
        <v>0</v>
      </c>
    </row>
    <row r="115" spans="1:6" s="25" customFormat="1" ht="43.2" x14ac:dyDescent="0.3">
      <c r="A115" s="6">
        <v>2020</v>
      </c>
      <c r="B115" s="24" t="s">
        <v>152</v>
      </c>
      <c r="C115" s="14">
        <f>Base!C137</f>
        <v>0</v>
      </c>
      <c r="D115" s="46" t="s">
        <v>9</v>
      </c>
      <c r="E115" s="43">
        <v>0</v>
      </c>
      <c r="F115" s="15"/>
    </row>
    <row r="116" spans="1:6" s="26" customFormat="1" x14ac:dyDescent="0.3">
      <c r="A116" s="37" t="s">
        <v>436</v>
      </c>
      <c r="B116" s="18" t="s">
        <v>154</v>
      </c>
      <c r="C116" s="14">
        <f>Base!C138</f>
        <v>500</v>
      </c>
      <c r="D116" s="34" t="s">
        <v>12</v>
      </c>
      <c r="E116" s="43">
        <f>Base!E138*1.04</f>
        <v>0</v>
      </c>
      <c r="F116" s="15">
        <f t="shared" si="1"/>
        <v>0</v>
      </c>
    </row>
    <row r="117" spans="1:6" s="25" customFormat="1" x14ac:dyDescent="0.3">
      <c r="A117" s="37" t="s">
        <v>437</v>
      </c>
      <c r="B117" s="18" t="s">
        <v>156</v>
      </c>
      <c r="C117" s="14">
        <f>Base!C139</f>
        <v>1000</v>
      </c>
      <c r="D117" s="34" t="s">
        <v>12</v>
      </c>
      <c r="E117" s="43">
        <f>Base!E139*1.04</f>
        <v>0</v>
      </c>
      <c r="F117" s="15">
        <f t="shared" si="1"/>
        <v>0</v>
      </c>
    </row>
    <row r="118" spans="1:6" s="25" customFormat="1" ht="43.2" x14ac:dyDescent="0.3">
      <c r="A118" s="6">
        <v>2021</v>
      </c>
      <c r="B118" s="22" t="s">
        <v>158</v>
      </c>
      <c r="C118" s="14">
        <f>Base!C15</f>
        <v>0</v>
      </c>
      <c r="D118" s="46" t="s">
        <v>9</v>
      </c>
      <c r="E118" s="43">
        <v>0</v>
      </c>
      <c r="F118" s="15"/>
    </row>
    <row r="119" spans="1:6" s="19" customFormat="1" x14ac:dyDescent="0.3">
      <c r="A119" s="23" t="s">
        <v>490</v>
      </c>
      <c r="B119" s="18" t="s">
        <v>160</v>
      </c>
      <c r="C119" s="14">
        <f>Base!C16</f>
        <v>1000</v>
      </c>
      <c r="D119" s="34" t="s">
        <v>12</v>
      </c>
      <c r="E119" s="43">
        <f>Base!E16*1.04</f>
        <v>0</v>
      </c>
      <c r="F119" s="15">
        <f t="shared" si="1"/>
        <v>0</v>
      </c>
    </row>
    <row r="120" spans="1:6" x14ac:dyDescent="0.3">
      <c r="A120" s="23" t="s">
        <v>491</v>
      </c>
      <c r="B120" s="18" t="s">
        <v>162</v>
      </c>
      <c r="C120" s="14">
        <f>Base!C17</f>
        <v>2500</v>
      </c>
      <c r="D120" s="34" t="s">
        <v>12</v>
      </c>
      <c r="E120" s="43">
        <f>Base!E17*1.04</f>
        <v>0</v>
      </c>
      <c r="F120" s="15">
        <f t="shared" si="1"/>
        <v>0</v>
      </c>
    </row>
    <row r="121" spans="1:6" ht="43.2" x14ac:dyDescent="0.3">
      <c r="A121" s="6">
        <v>2022</v>
      </c>
      <c r="B121" s="20" t="s">
        <v>164</v>
      </c>
      <c r="C121" s="14">
        <f>Base!C26</f>
        <v>0</v>
      </c>
      <c r="D121" s="46" t="s">
        <v>9</v>
      </c>
      <c r="E121" s="43">
        <v>0</v>
      </c>
      <c r="F121" s="15"/>
    </row>
    <row r="122" spans="1:6" x14ac:dyDescent="0.3">
      <c r="A122" s="12" t="s">
        <v>492</v>
      </c>
      <c r="B122" s="21" t="s">
        <v>160</v>
      </c>
      <c r="C122" s="14">
        <f>Base!C27</f>
        <v>10</v>
      </c>
      <c r="D122" s="34" t="s">
        <v>12</v>
      </c>
      <c r="E122" s="43">
        <f>Base!E27*1.04</f>
        <v>0</v>
      </c>
      <c r="F122" s="15">
        <f t="shared" si="1"/>
        <v>0</v>
      </c>
    </row>
    <row r="123" spans="1:6" x14ac:dyDescent="0.3">
      <c r="A123" s="12" t="s">
        <v>493</v>
      </c>
      <c r="B123" s="21" t="s">
        <v>162</v>
      </c>
      <c r="C123" s="14">
        <f>Base!C28</f>
        <v>10</v>
      </c>
      <c r="D123" s="34" t="s">
        <v>12</v>
      </c>
      <c r="E123" s="43">
        <f>Base!E28*1.04</f>
        <v>0</v>
      </c>
      <c r="F123" s="15">
        <f t="shared" si="1"/>
        <v>0</v>
      </c>
    </row>
    <row r="124" spans="1:6" ht="28.8" x14ac:dyDescent="0.3">
      <c r="A124" s="6">
        <v>2023</v>
      </c>
      <c r="B124" s="24" t="s">
        <v>168</v>
      </c>
      <c r="C124" s="14">
        <f>Base!C67</f>
        <v>0</v>
      </c>
      <c r="D124" s="46" t="s">
        <v>9</v>
      </c>
      <c r="E124" s="43">
        <v>0</v>
      </c>
      <c r="F124" s="15"/>
    </row>
    <row r="125" spans="1:6" x14ac:dyDescent="0.3">
      <c r="A125" s="12" t="s">
        <v>494</v>
      </c>
      <c r="B125" s="28" t="s">
        <v>170</v>
      </c>
      <c r="C125" s="14">
        <f>Base!C68</f>
        <v>125</v>
      </c>
      <c r="D125" s="50" t="s">
        <v>12</v>
      </c>
      <c r="E125" s="43">
        <f>Base!E68*1.04</f>
        <v>0</v>
      </c>
      <c r="F125" s="15">
        <f t="shared" si="1"/>
        <v>0</v>
      </c>
    </row>
    <row r="126" spans="1:6" x14ac:dyDescent="0.3">
      <c r="A126" s="12" t="s">
        <v>495</v>
      </c>
      <c r="B126" s="28" t="s">
        <v>172</v>
      </c>
      <c r="C126" s="14">
        <f>Base!C69</f>
        <v>1750</v>
      </c>
      <c r="D126" s="50" t="s">
        <v>12</v>
      </c>
      <c r="E126" s="43">
        <f>Base!E69*1.04</f>
        <v>0</v>
      </c>
      <c r="F126" s="15">
        <f t="shared" si="1"/>
        <v>0</v>
      </c>
    </row>
    <row r="127" spans="1:6" s="19" customFormat="1" x14ac:dyDescent="0.3">
      <c r="A127" s="12" t="s">
        <v>496</v>
      </c>
      <c r="B127" s="28" t="s">
        <v>174</v>
      </c>
      <c r="C127" s="14">
        <f>Base!C70</f>
        <v>100</v>
      </c>
      <c r="D127" s="50" t="s">
        <v>12</v>
      </c>
      <c r="E127" s="43">
        <f>Base!E70*1.04</f>
        <v>0</v>
      </c>
      <c r="F127" s="15">
        <f t="shared" si="1"/>
        <v>0</v>
      </c>
    </row>
    <row r="128" spans="1:6" x14ac:dyDescent="0.3">
      <c r="A128" s="12" t="s">
        <v>497</v>
      </c>
      <c r="B128" s="28" t="s">
        <v>175</v>
      </c>
      <c r="C128" s="14">
        <f>Base!C71</f>
        <v>25</v>
      </c>
      <c r="D128" s="50" t="s">
        <v>12</v>
      </c>
      <c r="E128" s="43">
        <f>Base!E71*1.04</f>
        <v>0</v>
      </c>
      <c r="F128" s="15">
        <f t="shared" si="1"/>
        <v>0</v>
      </c>
    </row>
    <row r="129" spans="1:6" ht="43.2" x14ac:dyDescent="0.3">
      <c r="A129" s="6">
        <v>2024</v>
      </c>
      <c r="B129" s="17" t="s">
        <v>177</v>
      </c>
      <c r="C129" s="14">
        <f>Base!C72</f>
        <v>0</v>
      </c>
      <c r="D129" s="46" t="s">
        <v>9</v>
      </c>
      <c r="E129" s="43">
        <v>0</v>
      </c>
      <c r="F129" s="15"/>
    </row>
    <row r="130" spans="1:6" x14ac:dyDescent="0.3">
      <c r="A130" s="23" t="s">
        <v>498</v>
      </c>
      <c r="B130" s="28" t="s">
        <v>179</v>
      </c>
      <c r="C130" s="14">
        <f>Base!C73</f>
        <v>125</v>
      </c>
      <c r="D130" s="50" t="s">
        <v>12</v>
      </c>
      <c r="E130" s="43">
        <f>Base!E73*1.04</f>
        <v>0</v>
      </c>
      <c r="F130" s="15">
        <f t="shared" si="1"/>
        <v>0</v>
      </c>
    </row>
    <row r="131" spans="1:6" x14ac:dyDescent="0.3">
      <c r="A131" s="23" t="s">
        <v>499</v>
      </c>
      <c r="B131" s="28" t="s">
        <v>181</v>
      </c>
      <c r="C131" s="14">
        <f>Base!C74</f>
        <v>1750</v>
      </c>
      <c r="D131" s="50" t="s">
        <v>12</v>
      </c>
      <c r="E131" s="43">
        <f>Base!E74*1.04</f>
        <v>0</v>
      </c>
      <c r="F131" s="15">
        <f t="shared" si="1"/>
        <v>0</v>
      </c>
    </row>
    <row r="132" spans="1:6" s="26" customFormat="1" x14ac:dyDescent="0.3">
      <c r="A132" s="23" t="s">
        <v>500</v>
      </c>
      <c r="B132" s="28" t="s">
        <v>183</v>
      </c>
      <c r="C132" s="14">
        <f>Base!C75</f>
        <v>100</v>
      </c>
      <c r="D132" s="50" t="s">
        <v>12</v>
      </c>
      <c r="E132" s="43">
        <f>Base!E75*1.04</f>
        <v>0</v>
      </c>
      <c r="F132" s="15">
        <f t="shared" si="1"/>
        <v>0</v>
      </c>
    </row>
    <row r="133" spans="1:6" x14ac:dyDescent="0.3">
      <c r="A133" s="23" t="s">
        <v>501</v>
      </c>
      <c r="B133" s="28" t="s">
        <v>184</v>
      </c>
      <c r="C133" s="14" t="e">
        <f>Base!#REF!</f>
        <v>#REF!</v>
      </c>
      <c r="D133" s="50" t="s">
        <v>12</v>
      </c>
      <c r="E133" s="43" t="e">
        <f>Base!#REF!*1.04</f>
        <v>#REF!</v>
      </c>
      <c r="F133" s="15">
        <f t="shared" si="1"/>
        <v>0</v>
      </c>
    </row>
    <row r="134" spans="1:6" ht="28.8" x14ac:dyDescent="0.3">
      <c r="A134" s="6">
        <v>2025</v>
      </c>
      <c r="B134" s="24" t="s">
        <v>186</v>
      </c>
      <c r="C134" s="14">
        <f>Base!C76</f>
        <v>0</v>
      </c>
      <c r="D134" s="46" t="s">
        <v>9</v>
      </c>
      <c r="E134" s="43">
        <v>0</v>
      </c>
      <c r="F134" s="15"/>
    </row>
    <row r="135" spans="1:6" x14ac:dyDescent="0.3">
      <c r="A135" s="23" t="s">
        <v>502</v>
      </c>
      <c r="B135" s="21" t="s">
        <v>170</v>
      </c>
      <c r="C135" s="14">
        <f>Base!C77</f>
        <v>500</v>
      </c>
      <c r="D135" s="34" t="s">
        <v>95</v>
      </c>
      <c r="E135" s="43">
        <f>Base!E77*1.04</f>
        <v>0</v>
      </c>
      <c r="F135" s="15">
        <f t="shared" ref="F135:F196" si="2">IF(ISNUMBER(E135),C135*E135,0)</f>
        <v>0</v>
      </c>
    </row>
    <row r="136" spans="1:6" x14ac:dyDescent="0.3">
      <c r="A136" s="23" t="s">
        <v>503</v>
      </c>
      <c r="B136" s="21" t="s">
        <v>172</v>
      </c>
      <c r="C136" s="14">
        <f>Base!C78</f>
        <v>500</v>
      </c>
      <c r="D136" s="34" t="s">
        <v>95</v>
      </c>
      <c r="E136" s="43">
        <f>Base!E78*1.04</f>
        <v>0</v>
      </c>
      <c r="F136" s="15">
        <f t="shared" si="2"/>
        <v>0</v>
      </c>
    </row>
    <row r="137" spans="1:6" x14ac:dyDescent="0.3">
      <c r="A137" s="23" t="s">
        <v>504</v>
      </c>
      <c r="B137" s="21" t="s">
        <v>174</v>
      </c>
      <c r="C137" s="14">
        <f>Base!C79</f>
        <v>500</v>
      </c>
      <c r="D137" s="34" t="s">
        <v>95</v>
      </c>
      <c r="E137" s="43">
        <f>Base!E79*1.04</f>
        <v>0</v>
      </c>
      <c r="F137" s="15">
        <f t="shared" si="2"/>
        <v>0</v>
      </c>
    </row>
    <row r="138" spans="1:6" x14ac:dyDescent="0.3">
      <c r="A138" s="23" t="s">
        <v>505</v>
      </c>
      <c r="B138" s="21" t="s">
        <v>190</v>
      </c>
      <c r="C138" s="14">
        <f>Base!C80</f>
        <v>500</v>
      </c>
      <c r="D138" s="34" t="s">
        <v>95</v>
      </c>
      <c r="E138" s="43">
        <f>Base!E80*1.04</f>
        <v>0</v>
      </c>
      <c r="F138" s="15">
        <f t="shared" si="2"/>
        <v>0</v>
      </c>
    </row>
    <row r="139" spans="1:6" x14ac:dyDescent="0.3">
      <c r="A139" s="23" t="s">
        <v>506</v>
      </c>
      <c r="B139" s="21" t="s">
        <v>179</v>
      </c>
      <c r="C139" s="14">
        <f>Base!C81</f>
        <v>500</v>
      </c>
      <c r="D139" s="34" t="s">
        <v>95</v>
      </c>
      <c r="E139" s="43">
        <f>Base!E81*1.04</f>
        <v>0</v>
      </c>
      <c r="F139" s="15">
        <f t="shared" si="2"/>
        <v>0</v>
      </c>
    </row>
    <row r="140" spans="1:6" x14ac:dyDescent="0.3">
      <c r="A140" s="23" t="s">
        <v>507</v>
      </c>
      <c r="B140" s="21" t="s">
        <v>181</v>
      </c>
      <c r="C140" s="14">
        <f>Base!C82</f>
        <v>500</v>
      </c>
      <c r="D140" s="34" t="s">
        <v>95</v>
      </c>
      <c r="E140" s="43">
        <f>Base!E82*1.04</f>
        <v>0</v>
      </c>
      <c r="F140" s="15">
        <f t="shared" si="2"/>
        <v>0</v>
      </c>
    </row>
    <row r="141" spans="1:6" x14ac:dyDescent="0.3">
      <c r="A141" s="23" t="s">
        <v>508</v>
      </c>
      <c r="B141" s="21" t="s">
        <v>183</v>
      </c>
      <c r="C141" s="14">
        <f>Base!C83</f>
        <v>500</v>
      </c>
      <c r="D141" s="34" t="s">
        <v>95</v>
      </c>
      <c r="E141" s="43">
        <f>Base!E83*1.04</f>
        <v>0</v>
      </c>
      <c r="F141" s="15">
        <f t="shared" si="2"/>
        <v>0</v>
      </c>
    </row>
    <row r="142" spans="1:6" x14ac:dyDescent="0.3">
      <c r="A142" s="23" t="s">
        <v>509</v>
      </c>
      <c r="B142" s="21" t="s">
        <v>191</v>
      </c>
      <c r="C142" s="14" t="e">
        <f>Base!#REF!</f>
        <v>#REF!</v>
      </c>
      <c r="D142" s="34" t="s">
        <v>95</v>
      </c>
      <c r="E142" s="43" t="e">
        <f>Base!#REF!*1.04</f>
        <v>#REF!</v>
      </c>
      <c r="F142" s="15">
        <f t="shared" si="2"/>
        <v>0</v>
      </c>
    </row>
    <row r="143" spans="1:6" ht="28.8" x14ac:dyDescent="0.3">
      <c r="A143" s="6">
        <v>2026</v>
      </c>
      <c r="B143" s="24" t="s">
        <v>193</v>
      </c>
      <c r="C143" s="14" t="e">
        <f>Base!#REF!</f>
        <v>#REF!</v>
      </c>
      <c r="D143" s="46" t="s">
        <v>9</v>
      </c>
      <c r="E143" s="43">
        <v>0</v>
      </c>
      <c r="F143" s="15"/>
    </row>
    <row r="144" spans="1:6" x14ac:dyDescent="0.3">
      <c r="A144" s="23" t="s">
        <v>510</v>
      </c>
      <c r="B144" s="21" t="s">
        <v>170</v>
      </c>
      <c r="C144" s="14" t="e">
        <f>Base!#REF!</f>
        <v>#REF!</v>
      </c>
      <c r="D144" s="34" t="s">
        <v>95</v>
      </c>
      <c r="E144" s="43" t="e">
        <f>Base!#REF!*1.04</f>
        <v>#REF!</v>
      </c>
      <c r="F144" s="15">
        <f t="shared" si="2"/>
        <v>0</v>
      </c>
    </row>
    <row r="145" spans="1:6" x14ac:dyDescent="0.3">
      <c r="A145" s="23" t="s">
        <v>511</v>
      </c>
      <c r="B145" s="21" t="s">
        <v>172</v>
      </c>
      <c r="C145" s="14" t="e">
        <f>Base!#REF!</f>
        <v>#REF!</v>
      </c>
      <c r="D145" s="34" t="s">
        <v>95</v>
      </c>
      <c r="E145" s="43" t="e">
        <f>Base!#REF!*1.04</f>
        <v>#REF!</v>
      </c>
      <c r="F145" s="15">
        <f t="shared" si="2"/>
        <v>0</v>
      </c>
    </row>
    <row r="146" spans="1:6" x14ac:dyDescent="0.3">
      <c r="A146" s="23" t="s">
        <v>512</v>
      </c>
      <c r="B146" s="21" t="s">
        <v>174</v>
      </c>
      <c r="C146" s="14" t="e">
        <f>Base!#REF!</f>
        <v>#REF!</v>
      </c>
      <c r="D146" s="34" t="s">
        <v>95</v>
      </c>
      <c r="E146" s="43" t="e">
        <f>Base!#REF!*1.04</f>
        <v>#REF!</v>
      </c>
      <c r="F146" s="15">
        <f t="shared" si="2"/>
        <v>0</v>
      </c>
    </row>
    <row r="147" spans="1:6" x14ac:dyDescent="0.3">
      <c r="A147" s="23" t="s">
        <v>513</v>
      </c>
      <c r="B147" s="21" t="s">
        <v>190</v>
      </c>
      <c r="C147" s="14" t="e">
        <f>Base!#REF!</f>
        <v>#REF!</v>
      </c>
      <c r="D147" s="34" t="s">
        <v>95</v>
      </c>
      <c r="E147" s="43" t="e">
        <f>Base!#REF!*1.04</f>
        <v>#REF!</v>
      </c>
      <c r="F147" s="15">
        <f t="shared" si="2"/>
        <v>0</v>
      </c>
    </row>
    <row r="148" spans="1:6" x14ac:dyDescent="0.3">
      <c r="A148" s="23" t="s">
        <v>514</v>
      </c>
      <c r="B148" s="21" t="s">
        <v>179</v>
      </c>
      <c r="C148" s="14" t="e">
        <f>Base!#REF!</f>
        <v>#REF!</v>
      </c>
      <c r="D148" s="34" t="s">
        <v>95</v>
      </c>
      <c r="E148" s="43" t="e">
        <f>Base!#REF!*1.04</f>
        <v>#REF!</v>
      </c>
      <c r="F148" s="15">
        <f t="shared" si="2"/>
        <v>0</v>
      </c>
    </row>
    <row r="149" spans="1:6" x14ac:dyDescent="0.3">
      <c r="A149" s="23" t="s">
        <v>515</v>
      </c>
      <c r="B149" s="21" t="s">
        <v>181</v>
      </c>
      <c r="C149" s="14" t="e">
        <f>Base!#REF!</f>
        <v>#REF!</v>
      </c>
      <c r="D149" s="34" t="s">
        <v>95</v>
      </c>
      <c r="E149" s="43" t="e">
        <f>Base!#REF!*1.04</f>
        <v>#REF!</v>
      </c>
      <c r="F149" s="15">
        <f t="shared" si="2"/>
        <v>0</v>
      </c>
    </row>
    <row r="150" spans="1:6" x14ac:dyDescent="0.3">
      <c r="A150" s="23" t="s">
        <v>516</v>
      </c>
      <c r="B150" s="21" t="s">
        <v>183</v>
      </c>
      <c r="C150" s="14" t="e">
        <f>Base!#REF!</f>
        <v>#REF!</v>
      </c>
      <c r="D150" s="34" t="s">
        <v>95</v>
      </c>
      <c r="E150" s="43" t="e">
        <f>Base!#REF!*1.04</f>
        <v>#REF!</v>
      </c>
      <c r="F150" s="15">
        <f t="shared" si="2"/>
        <v>0</v>
      </c>
    </row>
    <row r="151" spans="1:6" x14ac:dyDescent="0.3">
      <c r="A151" s="23" t="s">
        <v>517</v>
      </c>
      <c r="B151" s="21" t="s">
        <v>191</v>
      </c>
      <c r="C151" s="14" t="e">
        <f>Base!#REF!</f>
        <v>#REF!</v>
      </c>
      <c r="D151" s="34" t="s">
        <v>95</v>
      </c>
      <c r="E151" s="43" t="e">
        <f>Base!#REF!*1.04</f>
        <v>#REF!</v>
      </c>
      <c r="F151" s="15">
        <f t="shared" si="2"/>
        <v>0</v>
      </c>
    </row>
    <row r="152" spans="1:6" ht="28.8" x14ac:dyDescent="0.3">
      <c r="A152" s="6">
        <v>2027</v>
      </c>
      <c r="B152" s="24" t="s">
        <v>197</v>
      </c>
      <c r="C152" s="14">
        <f>Base!C84</f>
        <v>0</v>
      </c>
      <c r="D152" s="46" t="s">
        <v>9</v>
      </c>
      <c r="E152" s="43">
        <v>0</v>
      </c>
      <c r="F152" s="15"/>
    </row>
    <row r="153" spans="1:6" x14ac:dyDescent="0.3">
      <c r="A153" s="23" t="s">
        <v>518</v>
      </c>
      <c r="B153" s="21" t="s">
        <v>170</v>
      </c>
      <c r="C153" s="14">
        <f>Base!C85</f>
        <v>1750</v>
      </c>
      <c r="D153" s="34" t="s">
        <v>95</v>
      </c>
      <c r="E153" s="43">
        <f>Base!E85*1.04</f>
        <v>0</v>
      </c>
      <c r="F153" s="15">
        <f t="shared" si="2"/>
        <v>0</v>
      </c>
    </row>
    <row r="154" spans="1:6" x14ac:dyDescent="0.3">
      <c r="A154" s="23" t="s">
        <v>519</v>
      </c>
      <c r="B154" s="21" t="s">
        <v>172</v>
      </c>
      <c r="C154" s="14">
        <f>Base!C86</f>
        <v>1750</v>
      </c>
      <c r="D154" s="34" t="s">
        <v>95</v>
      </c>
      <c r="E154" s="43">
        <f>Base!E86*1.04</f>
        <v>0</v>
      </c>
      <c r="F154" s="15">
        <f t="shared" si="2"/>
        <v>0</v>
      </c>
    </row>
    <row r="155" spans="1:6" x14ac:dyDescent="0.3">
      <c r="A155" s="23" t="s">
        <v>520</v>
      </c>
      <c r="B155" s="21" t="s">
        <v>174</v>
      </c>
      <c r="C155" s="14">
        <f>Base!C87</f>
        <v>1750</v>
      </c>
      <c r="D155" s="34" t="s">
        <v>95</v>
      </c>
      <c r="E155" s="43">
        <f>Base!E87*1.04</f>
        <v>0</v>
      </c>
      <c r="F155" s="15">
        <f t="shared" si="2"/>
        <v>0</v>
      </c>
    </row>
    <row r="156" spans="1:6" x14ac:dyDescent="0.3">
      <c r="A156" s="23" t="s">
        <v>521</v>
      </c>
      <c r="B156" s="21" t="s">
        <v>190</v>
      </c>
      <c r="C156" s="14">
        <f>Base!C88</f>
        <v>1750</v>
      </c>
      <c r="D156" s="34" t="s">
        <v>95</v>
      </c>
      <c r="E156" s="43">
        <f>Base!E88*1.04</f>
        <v>0</v>
      </c>
      <c r="F156" s="15">
        <f t="shared" si="2"/>
        <v>0</v>
      </c>
    </row>
    <row r="157" spans="1:6" x14ac:dyDescent="0.3">
      <c r="A157" s="23" t="s">
        <v>522</v>
      </c>
      <c r="B157" s="21" t="s">
        <v>179</v>
      </c>
      <c r="C157" s="14">
        <f>Base!C89</f>
        <v>1750</v>
      </c>
      <c r="D157" s="34" t="s">
        <v>95</v>
      </c>
      <c r="E157" s="43">
        <f>Base!E89*1.04</f>
        <v>0</v>
      </c>
      <c r="F157" s="15">
        <f t="shared" si="2"/>
        <v>0</v>
      </c>
    </row>
    <row r="158" spans="1:6" x14ac:dyDescent="0.3">
      <c r="A158" s="23" t="s">
        <v>523</v>
      </c>
      <c r="B158" s="21" t="s">
        <v>181</v>
      </c>
      <c r="C158" s="14">
        <f>Base!C90</f>
        <v>1750</v>
      </c>
      <c r="D158" s="34" t="s">
        <v>95</v>
      </c>
      <c r="E158" s="43">
        <f>Base!E90*1.04</f>
        <v>0</v>
      </c>
      <c r="F158" s="15">
        <f t="shared" si="2"/>
        <v>0</v>
      </c>
    </row>
    <row r="159" spans="1:6" s="19" customFormat="1" x14ac:dyDescent="0.3">
      <c r="A159" s="23" t="s">
        <v>524</v>
      </c>
      <c r="B159" s="21" t="s">
        <v>183</v>
      </c>
      <c r="C159" s="14">
        <f>Base!C91</f>
        <v>1750</v>
      </c>
      <c r="D159" s="34" t="s">
        <v>95</v>
      </c>
      <c r="E159" s="43">
        <f>Base!E91*1.04</f>
        <v>0</v>
      </c>
      <c r="F159" s="15">
        <f t="shared" si="2"/>
        <v>0</v>
      </c>
    </row>
    <row r="160" spans="1:6" x14ac:dyDescent="0.3">
      <c r="A160" s="23" t="s">
        <v>525</v>
      </c>
      <c r="B160" s="21" t="s">
        <v>191</v>
      </c>
      <c r="C160" s="14" t="e">
        <f>Base!#REF!</f>
        <v>#REF!</v>
      </c>
      <c r="D160" s="34" t="s">
        <v>95</v>
      </c>
      <c r="E160" s="43" t="e">
        <f>Base!#REF!*1.04</f>
        <v>#REF!</v>
      </c>
      <c r="F160" s="15">
        <f t="shared" si="2"/>
        <v>0</v>
      </c>
    </row>
    <row r="161" spans="1:6" ht="28.8" x14ac:dyDescent="0.3">
      <c r="A161" s="16">
        <v>2028</v>
      </c>
      <c r="B161" s="24" t="s">
        <v>207</v>
      </c>
      <c r="C161" s="14">
        <f>Base!C140</f>
        <v>0</v>
      </c>
      <c r="D161" s="48" t="s">
        <v>9</v>
      </c>
      <c r="E161" s="43">
        <v>0</v>
      </c>
      <c r="F161" s="15"/>
    </row>
    <row r="162" spans="1:6" x14ac:dyDescent="0.3">
      <c r="A162" s="23" t="s">
        <v>526</v>
      </c>
      <c r="B162" s="21" t="s">
        <v>128</v>
      </c>
      <c r="C162" s="14">
        <f>Base!C141</f>
        <v>1</v>
      </c>
      <c r="D162" s="34" t="s">
        <v>12</v>
      </c>
      <c r="E162" s="43">
        <f>Base!E141*1.04</f>
        <v>0</v>
      </c>
      <c r="F162" s="15">
        <f t="shared" si="2"/>
        <v>0</v>
      </c>
    </row>
    <row r="163" spans="1:6" x14ac:dyDescent="0.3">
      <c r="A163" s="23" t="s">
        <v>527</v>
      </c>
      <c r="B163" s="18" t="s">
        <v>129</v>
      </c>
      <c r="C163" s="14">
        <f>Base!C142</f>
        <v>1</v>
      </c>
      <c r="D163" s="47" t="s">
        <v>12</v>
      </c>
      <c r="E163" s="43">
        <f>Base!E142*1.04</f>
        <v>0</v>
      </c>
      <c r="F163" s="15">
        <f t="shared" si="2"/>
        <v>0</v>
      </c>
    </row>
    <row r="164" spans="1:6" s="25" customFormat="1" ht="28.8" x14ac:dyDescent="0.3">
      <c r="A164" s="23" t="s">
        <v>528</v>
      </c>
      <c r="B164" s="18" t="s">
        <v>210</v>
      </c>
      <c r="C164" s="14">
        <f>Base!C143</f>
        <v>1000</v>
      </c>
      <c r="D164" s="47" t="s">
        <v>131</v>
      </c>
      <c r="E164" s="43">
        <f>Base!E143*1.04</f>
        <v>0</v>
      </c>
      <c r="F164" s="15">
        <f t="shared" si="2"/>
        <v>0</v>
      </c>
    </row>
    <row r="165" spans="1:6" x14ac:dyDescent="0.3">
      <c r="A165" s="23" t="s">
        <v>529</v>
      </c>
      <c r="B165" s="18" t="s">
        <v>211</v>
      </c>
      <c r="C165" s="14">
        <f>Base!C144</f>
        <v>1000</v>
      </c>
      <c r="D165" s="47" t="s">
        <v>131</v>
      </c>
      <c r="E165" s="43">
        <f>Base!E144*1.04</f>
        <v>0</v>
      </c>
      <c r="F165" s="15">
        <f t="shared" si="2"/>
        <v>0</v>
      </c>
    </row>
    <row r="166" spans="1:6" x14ac:dyDescent="0.3">
      <c r="A166" s="23" t="s">
        <v>530</v>
      </c>
      <c r="B166" s="18" t="s">
        <v>212</v>
      </c>
      <c r="C166" s="14">
        <f>Base!C145</f>
        <v>1000</v>
      </c>
      <c r="D166" s="47" t="s">
        <v>131</v>
      </c>
      <c r="E166" s="43">
        <f>Base!E145*1.04</f>
        <v>0</v>
      </c>
      <c r="F166" s="15">
        <f t="shared" si="2"/>
        <v>0</v>
      </c>
    </row>
    <row r="167" spans="1:6" x14ac:dyDescent="0.3">
      <c r="A167" s="23" t="s">
        <v>531</v>
      </c>
      <c r="B167" s="28" t="s">
        <v>213</v>
      </c>
      <c r="C167" s="14">
        <f>Base!C146</f>
        <v>1000</v>
      </c>
      <c r="D167" s="47" t="s">
        <v>131</v>
      </c>
      <c r="E167" s="43">
        <f>Base!E146*1.04</f>
        <v>0</v>
      </c>
      <c r="F167" s="15">
        <f t="shared" si="2"/>
        <v>0</v>
      </c>
    </row>
    <row r="168" spans="1:6" ht="28.8" x14ac:dyDescent="0.3">
      <c r="A168" s="23" t="s">
        <v>532</v>
      </c>
      <c r="B168" s="21" t="s">
        <v>214</v>
      </c>
      <c r="C168" s="14">
        <f>Base!C147</f>
        <v>50</v>
      </c>
      <c r="D168" s="47" t="s">
        <v>131</v>
      </c>
      <c r="E168" s="43">
        <f>Base!E147*1.04</f>
        <v>0</v>
      </c>
      <c r="F168" s="15">
        <f t="shared" si="2"/>
        <v>0</v>
      </c>
    </row>
    <row r="169" spans="1:6" ht="28.8" x14ac:dyDescent="0.3">
      <c r="A169" s="23" t="s">
        <v>533</v>
      </c>
      <c r="B169" s="21" t="s">
        <v>215</v>
      </c>
      <c r="C169" s="14">
        <f>Base!C148</f>
        <v>50</v>
      </c>
      <c r="D169" s="47" t="s">
        <v>131</v>
      </c>
      <c r="E169" s="43">
        <f>Base!E148*1.04</f>
        <v>0</v>
      </c>
      <c r="F169" s="15">
        <f t="shared" si="2"/>
        <v>0</v>
      </c>
    </row>
    <row r="170" spans="1:6" ht="28.8" x14ac:dyDescent="0.3">
      <c r="A170" s="23" t="s">
        <v>534</v>
      </c>
      <c r="B170" s="21" t="s">
        <v>216</v>
      </c>
      <c r="C170" s="14">
        <f>Base!C149</f>
        <v>50</v>
      </c>
      <c r="D170" s="47" t="s">
        <v>131</v>
      </c>
      <c r="E170" s="43">
        <f>Base!E149*1.04</f>
        <v>0</v>
      </c>
      <c r="F170" s="15">
        <f t="shared" si="2"/>
        <v>0</v>
      </c>
    </row>
    <row r="171" spans="1:6" x14ac:dyDescent="0.3">
      <c r="A171" s="29" t="s">
        <v>535</v>
      </c>
      <c r="B171" s="30" t="s">
        <v>138</v>
      </c>
      <c r="C171" s="14">
        <f>Base!C165</f>
        <v>50</v>
      </c>
      <c r="D171" s="47" t="s">
        <v>131</v>
      </c>
      <c r="E171" s="43">
        <f>Base!E165*1.04</f>
        <v>0</v>
      </c>
      <c r="F171" s="15">
        <f t="shared" si="2"/>
        <v>0</v>
      </c>
    </row>
    <row r="172" spans="1:6" x14ac:dyDescent="0.3">
      <c r="A172" s="29" t="s">
        <v>536</v>
      </c>
      <c r="B172" s="30" t="s">
        <v>139</v>
      </c>
      <c r="C172" s="14">
        <f>Base!C166</f>
        <v>1000</v>
      </c>
      <c r="D172" s="47" t="s">
        <v>131</v>
      </c>
      <c r="E172" s="43">
        <f>Base!E166*1.04</f>
        <v>0</v>
      </c>
      <c r="F172" s="15">
        <f t="shared" si="2"/>
        <v>0</v>
      </c>
    </row>
    <row r="173" spans="1:6" x14ac:dyDescent="0.3">
      <c r="A173" s="31" t="s">
        <v>537</v>
      </c>
      <c r="B173" s="32" t="s">
        <v>140</v>
      </c>
      <c r="C173" s="14">
        <f>Base!C167</f>
        <v>50</v>
      </c>
      <c r="D173" s="47" t="s">
        <v>131</v>
      </c>
      <c r="E173" s="43">
        <f>Base!E167*1.04</f>
        <v>0</v>
      </c>
      <c r="F173" s="15">
        <f t="shared" si="2"/>
        <v>0</v>
      </c>
    </row>
    <row r="174" spans="1:6" x14ac:dyDescent="0.3">
      <c r="A174" s="31" t="s">
        <v>538</v>
      </c>
      <c r="B174" s="32" t="s">
        <v>141</v>
      </c>
      <c r="C174" s="14">
        <f>Base!C168</f>
        <v>50</v>
      </c>
      <c r="D174" s="47" t="s">
        <v>131</v>
      </c>
      <c r="E174" s="43">
        <f>Base!E168*1.04</f>
        <v>0</v>
      </c>
      <c r="F174" s="15">
        <f t="shared" si="2"/>
        <v>0</v>
      </c>
    </row>
    <row r="175" spans="1:6" ht="28.8" x14ac:dyDescent="0.3">
      <c r="A175" s="6">
        <v>2030</v>
      </c>
      <c r="B175" s="24" t="s">
        <v>218</v>
      </c>
      <c r="C175" s="14">
        <f>Base!C150</f>
        <v>0</v>
      </c>
      <c r="D175" s="48" t="s">
        <v>9</v>
      </c>
      <c r="E175" s="43">
        <v>0</v>
      </c>
      <c r="F175" s="15"/>
    </row>
    <row r="176" spans="1:6" x14ac:dyDescent="0.3">
      <c r="A176" s="23" t="s">
        <v>539</v>
      </c>
      <c r="B176" s="18" t="s">
        <v>219</v>
      </c>
      <c r="C176" s="14">
        <f>Base!C151</f>
        <v>10000</v>
      </c>
      <c r="D176" s="47" t="s">
        <v>12</v>
      </c>
      <c r="E176" s="43">
        <f>Base!E151*1.04</f>
        <v>0</v>
      </c>
      <c r="F176" s="15">
        <f t="shared" si="2"/>
        <v>0</v>
      </c>
    </row>
    <row r="177" spans="1:6" x14ac:dyDescent="0.3">
      <c r="A177" s="23" t="s">
        <v>540</v>
      </c>
      <c r="B177" s="18" t="s">
        <v>148</v>
      </c>
      <c r="C177" s="14">
        <f>Base!C152</f>
        <v>20000</v>
      </c>
      <c r="D177" s="47" t="s">
        <v>12</v>
      </c>
      <c r="E177" s="43">
        <f>Base!E152*1.04</f>
        <v>0</v>
      </c>
      <c r="F177" s="15">
        <f t="shared" si="2"/>
        <v>0</v>
      </c>
    </row>
    <row r="178" spans="1:6" s="38" customFormat="1" x14ac:dyDescent="0.3">
      <c r="A178" s="23" t="s">
        <v>541</v>
      </c>
      <c r="B178" s="18" t="s">
        <v>220</v>
      </c>
      <c r="C178" s="14">
        <f>Base!C153</f>
        <v>5000</v>
      </c>
      <c r="D178" s="34" t="s">
        <v>12</v>
      </c>
      <c r="E178" s="43">
        <f>Base!E153*1.04</f>
        <v>0</v>
      </c>
      <c r="F178" s="15">
        <f t="shared" si="2"/>
        <v>0</v>
      </c>
    </row>
    <row r="179" spans="1:6" x14ac:dyDescent="0.3">
      <c r="A179" s="23" t="s">
        <v>542</v>
      </c>
      <c r="B179" s="18" t="s">
        <v>128</v>
      </c>
      <c r="C179" s="14">
        <f>Base!C154</f>
        <v>5000</v>
      </c>
      <c r="D179" s="34" t="s">
        <v>12</v>
      </c>
      <c r="E179" s="43">
        <f>Base!E154*1.04</f>
        <v>0</v>
      </c>
      <c r="F179" s="15">
        <f t="shared" si="2"/>
        <v>0</v>
      </c>
    </row>
    <row r="180" spans="1:6" x14ac:dyDescent="0.3">
      <c r="A180" s="23" t="s">
        <v>543</v>
      </c>
      <c r="B180" s="18" t="s">
        <v>129</v>
      </c>
      <c r="C180" s="14">
        <f>Base!C155</f>
        <v>20000</v>
      </c>
      <c r="D180" s="34" t="s">
        <v>12</v>
      </c>
      <c r="E180" s="43">
        <f>Base!E155*1.04</f>
        <v>0</v>
      </c>
      <c r="F180" s="52">
        <f t="shared" si="2"/>
        <v>0</v>
      </c>
    </row>
    <row r="181" spans="1:6" ht="28.8" x14ac:dyDescent="0.3">
      <c r="A181" s="16">
        <v>2031</v>
      </c>
      <c r="B181" s="22" t="s">
        <v>237</v>
      </c>
      <c r="C181" s="14">
        <f>Base!C171</f>
        <v>1</v>
      </c>
      <c r="D181" s="47" t="s">
        <v>222</v>
      </c>
      <c r="E181" s="43">
        <f>Base!E171*1.04</f>
        <v>0</v>
      </c>
      <c r="F181" s="52">
        <v>25000</v>
      </c>
    </row>
    <row r="182" spans="1:6" ht="28.8" x14ac:dyDescent="0.3">
      <c r="A182" s="6">
        <v>2032</v>
      </c>
      <c r="B182" s="24" t="s">
        <v>224</v>
      </c>
      <c r="C182" s="14">
        <f>Base!C158</f>
        <v>0</v>
      </c>
      <c r="D182" s="46" t="s">
        <v>9</v>
      </c>
      <c r="E182" s="43">
        <v>0</v>
      </c>
      <c r="F182" s="15"/>
    </row>
    <row r="183" spans="1:6" x14ac:dyDescent="0.3">
      <c r="A183" s="23" t="s">
        <v>544</v>
      </c>
      <c r="B183" s="21" t="s">
        <v>225</v>
      </c>
      <c r="C183" s="14">
        <f>Base!C159</f>
        <v>30</v>
      </c>
      <c r="D183" s="34" t="s">
        <v>226</v>
      </c>
      <c r="E183" s="43">
        <f>Base!E159*1.04</f>
        <v>0</v>
      </c>
      <c r="F183" s="15">
        <f t="shared" si="2"/>
        <v>0</v>
      </c>
    </row>
    <row r="184" spans="1:6" s="26" customFormat="1" x14ac:dyDescent="0.3">
      <c r="A184" s="23" t="s">
        <v>545</v>
      </c>
      <c r="B184" s="21" t="s">
        <v>227</v>
      </c>
      <c r="C184" s="14">
        <f>Base!C160</f>
        <v>30</v>
      </c>
      <c r="D184" s="34" t="s">
        <v>226</v>
      </c>
      <c r="E184" s="43">
        <f>Base!E160*1.04</f>
        <v>0</v>
      </c>
      <c r="F184" s="15">
        <f t="shared" si="2"/>
        <v>0</v>
      </c>
    </row>
    <row r="185" spans="1:6" s="25" customFormat="1" x14ac:dyDescent="0.3">
      <c r="A185" s="23" t="s">
        <v>546</v>
      </c>
      <c r="B185" s="21" t="s">
        <v>228</v>
      </c>
      <c r="C185" s="14" t="e">
        <f>Base!#REF!</f>
        <v>#REF!</v>
      </c>
      <c r="D185" s="34" t="s">
        <v>226</v>
      </c>
      <c r="E185" s="43" t="e">
        <f>Base!#REF!*1.04</f>
        <v>#REF!</v>
      </c>
      <c r="F185" s="15">
        <f t="shared" si="2"/>
        <v>0</v>
      </c>
    </row>
    <row r="186" spans="1:6" x14ac:dyDescent="0.3">
      <c r="A186" s="23" t="s">
        <v>547</v>
      </c>
      <c r="B186" s="21" t="s">
        <v>229</v>
      </c>
      <c r="C186" s="14" t="e">
        <f>Base!#REF!</f>
        <v>#REF!</v>
      </c>
      <c r="D186" s="34" t="s">
        <v>226</v>
      </c>
      <c r="E186" s="43" t="e">
        <f>Base!#REF!*1.04</f>
        <v>#REF!</v>
      </c>
      <c r="F186" s="15">
        <f t="shared" si="2"/>
        <v>0</v>
      </c>
    </row>
    <row r="187" spans="1:6" x14ac:dyDescent="0.3">
      <c r="A187" s="23" t="s">
        <v>548</v>
      </c>
      <c r="B187" s="21" t="s">
        <v>128</v>
      </c>
      <c r="C187" s="14" t="e">
        <f>Base!#REF!</f>
        <v>#REF!</v>
      </c>
      <c r="D187" s="34" t="s">
        <v>226</v>
      </c>
      <c r="E187" s="43" t="e">
        <f>Base!#REF!*1.04</f>
        <v>#REF!</v>
      </c>
      <c r="F187" s="15">
        <f t="shared" si="2"/>
        <v>0</v>
      </c>
    </row>
    <row r="188" spans="1:6" x14ac:dyDescent="0.3">
      <c r="A188" s="23" t="s">
        <v>549</v>
      </c>
      <c r="B188" s="21" t="s">
        <v>129</v>
      </c>
      <c r="C188" s="14" t="e">
        <f>Base!#REF!</f>
        <v>#REF!</v>
      </c>
      <c r="D188" s="34" t="s">
        <v>226</v>
      </c>
      <c r="E188" s="43" t="e">
        <f>Base!#REF!*1.04</f>
        <v>#REF!</v>
      </c>
      <c r="F188" s="15">
        <f t="shared" si="2"/>
        <v>0</v>
      </c>
    </row>
    <row r="189" spans="1:6" ht="28.8" x14ac:dyDescent="0.3">
      <c r="A189" s="6">
        <v>2033</v>
      </c>
      <c r="B189" s="24" t="s">
        <v>231</v>
      </c>
      <c r="C189" s="14">
        <f>Base!C161</f>
        <v>0</v>
      </c>
      <c r="D189" s="46" t="s">
        <v>9</v>
      </c>
      <c r="E189" s="43">
        <v>0</v>
      </c>
      <c r="F189" s="15"/>
    </row>
    <row r="190" spans="1:6" x14ac:dyDescent="0.3">
      <c r="A190" s="12" t="s">
        <v>550</v>
      </c>
      <c r="B190" s="21" t="s">
        <v>225</v>
      </c>
      <c r="C190" s="14">
        <f>Base!C162</f>
        <v>30</v>
      </c>
      <c r="D190" s="34" t="s">
        <v>226</v>
      </c>
      <c r="E190" s="43">
        <f>Base!E162*1.04</f>
        <v>0</v>
      </c>
      <c r="F190" s="15">
        <f t="shared" si="2"/>
        <v>0</v>
      </c>
    </row>
    <row r="191" spans="1:6" s="26" customFormat="1" x14ac:dyDescent="0.3">
      <c r="A191" s="12" t="s">
        <v>551</v>
      </c>
      <c r="B191" s="21" t="s">
        <v>227</v>
      </c>
      <c r="C191" s="14">
        <f>Base!C163</f>
        <v>30</v>
      </c>
      <c r="D191" s="34" t="s">
        <v>226</v>
      </c>
      <c r="E191" s="43">
        <f>Base!E163*1.04</f>
        <v>0</v>
      </c>
      <c r="F191" s="15">
        <f t="shared" si="2"/>
        <v>0</v>
      </c>
    </row>
    <row r="192" spans="1:6" s="25" customFormat="1" x14ac:dyDescent="0.3">
      <c r="A192" s="12" t="s">
        <v>552</v>
      </c>
      <c r="B192" s="21" t="s">
        <v>228</v>
      </c>
      <c r="C192" s="14" t="e">
        <f>Base!#REF!</f>
        <v>#REF!</v>
      </c>
      <c r="D192" s="34" t="s">
        <v>226</v>
      </c>
      <c r="E192" s="43" t="e">
        <f>Base!#REF!*1.04</f>
        <v>#REF!</v>
      </c>
      <c r="F192" s="15">
        <f t="shared" si="2"/>
        <v>0</v>
      </c>
    </row>
    <row r="193" spans="1:6" x14ac:dyDescent="0.3">
      <c r="A193" s="12" t="s">
        <v>553</v>
      </c>
      <c r="B193" s="21" t="s">
        <v>229</v>
      </c>
      <c r="C193" s="14" t="e">
        <f>Base!#REF!</f>
        <v>#REF!</v>
      </c>
      <c r="D193" s="34" t="s">
        <v>226</v>
      </c>
      <c r="E193" s="43" t="e">
        <f>Base!#REF!*1.04</f>
        <v>#REF!</v>
      </c>
      <c r="F193" s="15">
        <f t="shared" si="2"/>
        <v>0</v>
      </c>
    </row>
    <row r="194" spans="1:6" x14ac:dyDescent="0.3">
      <c r="A194" s="12" t="s">
        <v>554</v>
      </c>
      <c r="B194" s="21" t="s">
        <v>232</v>
      </c>
      <c r="C194" s="14" t="e">
        <f>Base!#REF!</f>
        <v>#REF!</v>
      </c>
      <c r="D194" s="34" t="s">
        <v>226</v>
      </c>
      <c r="E194" s="43" t="e">
        <f>Base!#REF!*1.04</f>
        <v>#REF!</v>
      </c>
      <c r="F194" s="15">
        <f t="shared" si="2"/>
        <v>0</v>
      </c>
    </row>
    <row r="195" spans="1:6" x14ac:dyDescent="0.3">
      <c r="A195" s="12" t="s">
        <v>555</v>
      </c>
      <c r="B195" s="21" t="s">
        <v>233</v>
      </c>
      <c r="C195" s="14" t="e">
        <f>Base!#REF!</f>
        <v>#REF!</v>
      </c>
      <c r="D195" s="34" t="s">
        <v>226</v>
      </c>
      <c r="E195" s="43" t="e">
        <f>Base!#REF!*1.04</f>
        <v>#REF!</v>
      </c>
      <c r="F195" s="15">
        <f t="shared" si="2"/>
        <v>0</v>
      </c>
    </row>
    <row r="196" spans="1:6" x14ac:dyDescent="0.3">
      <c r="A196" s="6">
        <v>2034</v>
      </c>
      <c r="B196" s="24" t="s">
        <v>234</v>
      </c>
      <c r="C196" s="14">
        <f>Base!C164</f>
        <v>50</v>
      </c>
      <c r="D196" s="34" t="s">
        <v>12</v>
      </c>
      <c r="E196" s="43">
        <f>Base!E164*1.04</f>
        <v>0</v>
      </c>
      <c r="F196" s="15">
        <f t="shared" si="2"/>
        <v>0</v>
      </c>
    </row>
    <row r="197" spans="1:6" ht="27.75" customHeight="1" x14ac:dyDescent="0.3">
      <c r="A197" s="107" t="s">
        <v>235</v>
      </c>
      <c r="B197" s="107"/>
      <c r="C197" s="107"/>
      <c r="D197" s="107"/>
      <c r="E197" s="107"/>
      <c r="F197" s="39">
        <f>SUM(F5:F196)</f>
        <v>25000</v>
      </c>
    </row>
  </sheetData>
  <protectedRanges>
    <protectedRange sqref="E3:E196" name="Unit Prices"/>
    <protectedRange sqref="B5:B196" name="Description"/>
  </protectedRanges>
  <mergeCells count="3">
    <mergeCell ref="A1:F1"/>
    <mergeCell ref="A2:F2"/>
    <mergeCell ref="A197:E19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7"/>
  <sheetViews>
    <sheetView topLeftCell="A184" workbookViewId="0">
      <selection activeCell="E173" sqref="E173"/>
    </sheetView>
  </sheetViews>
  <sheetFormatPr defaultColWidth="9.109375" defaultRowHeight="14.4" x14ac:dyDescent="0.3"/>
  <cols>
    <col min="1" max="1" width="9" style="40" customWidth="1"/>
    <col min="2" max="2" width="74.109375" style="41" customWidth="1"/>
    <col min="3" max="3" width="11.44140625" style="5" customWidth="1"/>
    <col min="4" max="4" width="19" style="51" customWidth="1"/>
    <col min="5" max="5" width="13.5546875" style="44" customWidth="1"/>
    <col min="6" max="6" width="16.5546875" style="42" customWidth="1"/>
    <col min="7" max="16384" width="9.109375" style="1"/>
  </cols>
  <sheetData>
    <row r="1" spans="1:6" x14ac:dyDescent="0.3">
      <c r="A1" s="107" t="s">
        <v>710</v>
      </c>
      <c r="B1" s="107"/>
      <c r="C1" s="107"/>
      <c r="D1" s="107"/>
      <c r="E1" s="107"/>
      <c r="F1" s="107"/>
    </row>
    <row r="2" spans="1:6" ht="30.9" customHeight="1" x14ac:dyDescent="0.3">
      <c r="A2" s="108" t="s">
        <v>0</v>
      </c>
      <c r="B2" s="109"/>
      <c r="C2" s="109"/>
      <c r="D2" s="109"/>
      <c r="E2" s="109"/>
      <c r="F2" s="109"/>
    </row>
    <row r="3" spans="1:6" s="5" customFormat="1" x14ac:dyDescent="0.3">
      <c r="A3" s="2" t="s">
        <v>1</v>
      </c>
      <c r="B3" s="3" t="s">
        <v>2</v>
      </c>
      <c r="C3" s="3" t="s">
        <v>3</v>
      </c>
      <c r="D3" s="45" t="s">
        <v>4</v>
      </c>
      <c r="E3" s="4" t="s">
        <v>5</v>
      </c>
      <c r="F3" s="3" t="s">
        <v>6</v>
      </c>
    </row>
    <row r="4" spans="1:6" s="11" customFormat="1" ht="43.2" x14ac:dyDescent="0.3">
      <c r="A4" s="6">
        <v>3001</v>
      </c>
      <c r="B4" s="7" t="s">
        <v>8</v>
      </c>
      <c r="C4" s="8" t="s">
        <v>9</v>
      </c>
      <c r="D4" s="46" t="s">
        <v>9</v>
      </c>
      <c r="E4" s="9" t="s">
        <v>9</v>
      </c>
      <c r="F4" s="10" t="s">
        <v>9</v>
      </c>
    </row>
    <row r="5" spans="1:6" x14ac:dyDescent="0.3">
      <c r="A5" s="12" t="s">
        <v>556</v>
      </c>
      <c r="B5" s="13" t="s">
        <v>11</v>
      </c>
      <c r="C5" s="14">
        <f>Base!C115</f>
        <v>250</v>
      </c>
      <c r="D5" s="47" t="s">
        <v>12</v>
      </c>
      <c r="E5" s="43">
        <f>Base!E115*1.06</f>
        <v>0</v>
      </c>
      <c r="F5" s="15">
        <f>IF(ISNUMBER(E5),C5*E5,0)</f>
        <v>0</v>
      </c>
    </row>
    <row r="6" spans="1:6" x14ac:dyDescent="0.3">
      <c r="A6" s="12" t="s">
        <v>557</v>
      </c>
      <c r="B6" s="13" t="s">
        <v>14</v>
      </c>
      <c r="C6" s="14">
        <f>Base!C116</f>
        <v>500</v>
      </c>
      <c r="D6" s="47" t="s">
        <v>12</v>
      </c>
      <c r="E6" s="43">
        <f>Base!E116*1.06</f>
        <v>0</v>
      </c>
      <c r="F6" s="15">
        <f t="shared" ref="F6:F69" si="0">IF(ISNUMBER(E6),C6*E6,0)</f>
        <v>0</v>
      </c>
    </row>
    <row r="7" spans="1:6" x14ac:dyDescent="0.3">
      <c r="A7" s="12" t="s">
        <v>558</v>
      </c>
      <c r="B7" s="13" t="s">
        <v>16</v>
      </c>
      <c r="C7" s="14">
        <f>Base!C117</f>
        <v>200</v>
      </c>
      <c r="D7" s="47" t="s">
        <v>12</v>
      </c>
      <c r="E7" s="43">
        <f>Base!E117*1.06</f>
        <v>0</v>
      </c>
      <c r="F7" s="15">
        <f t="shared" si="0"/>
        <v>0</v>
      </c>
    </row>
    <row r="8" spans="1:6" x14ac:dyDescent="0.3">
      <c r="A8" s="12" t="s">
        <v>559</v>
      </c>
      <c r="B8" s="13" t="s">
        <v>18</v>
      </c>
      <c r="C8" s="14">
        <f>Base!C118</f>
        <v>500</v>
      </c>
      <c r="D8" s="47" t="s">
        <v>12</v>
      </c>
      <c r="E8" s="43">
        <f>Base!E118*1.06</f>
        <v>0</v>
      </c>
      <c r="F8" s="15">
        <f t="shared" si="0"/>
        <v>0</v>
      </c>
    </row>
    <row r="9" spans="1:6" ht="43.2" x14ac:dyDescent="0.3">
      <c r="A9" s="16">
        <v>3002</v>
      </c>
      <c r="B9" s="17" t="s">
        <v>20</v>
      </c>
      <c r="C9" s="14">
        <f>Base!C4</f>
        <v>0</v>
      </c>
      <c r="D9" s="48" t="s">
        <v>9</v>
      </c>
      <c r="E9" s="43">
        <f>Base!E4*1.06</f>
        <v>0</v>
      </c>
      <c r="F9" s="15"/>
    </row>
    <row r="10" spans="1:6" s="19" customFormat="1" x14ac:dyDescent="0.3">
      <c r="A10" s="12" t="s">
        <v>560</v>
      </c>
      <c r="B10" s="18" t="s">
        <v>22</v>
      </c>
      <c r="C10" s="14">
        <f>Base!C5</f>
        <v>250</v>
      </c>
      <c r="D10" s="47" t="s">
        <v>12</v>
      </c>
      <c r="E10" s="43">
        <f>Base!E5*1.06</f>
        <v>0</v>
      </c>
      <c r="F10" s="15">
        <f t="shared" si="0"/>
        <v>0</v>
      </c>
    </row>
    <row r="11" spans="1:6" x14ac:dyDescent="0.3">
      <c r="A11" s="12" t="s">
        <v>561</v>
      </c>
      <c r="B11" s="18" t="s">
        <v>24</v>
      </c>
      <c r="C11" s="14">
        <f>Base!C6</f>
        <v>500</v>
      </c>
      <c r="D11" s="47" t="s">
        <v>12</v>
      </c>
      <c r="E11" s="43">
        <f>Base!E6*1.06</f>
        <v>0</v>
      </c>
      <c r="F11" s="15">
        <f t="shared" si="0"/>
        <v>0</v>
      </c>
    </row>
    <row r="12" spans="1:6" x14ac:dyDescent="0.3">
      <c r="A12" s="12" t="s">
        <v>562</v>
      </c>
      <c r="B12" s="18" t="s">
        <v>25</v>
      </c>
      <c r="C12" s="14">
        <f>Base!C7</f>
        <v>200</v>
      </c>
      <c r="D12" s="47" t="s">
        <v>12</v>
      </c>
      <c r="E12" s="43">
        <f>Base!E7*1.06</f>
        <v>0</v>
      </c>
      <c r="F12" s="15">
        <f t="shared" si="0"/>
        <v>0</v>
      </c>
    </row>
    <row r="13" spans="1:6" ht="28.8" x14ac:dyDescent="0.3">
      <c r="A13" s="12" t="s">
        <v>563</v>
      </c>
      <c r="B13" s="18" t="s">
        <v>26</v>
      </c>
      <c r="C13" s="14">
        <f>Base!C8</f>
        <v>500</v>
      </c>
      <c r="D13" s="47" t="s">
        <v>12</v>
      </c>
      <c r="E13" s="43">
        <f>Base!E8*1.06</f>
        <v>0</v>
      </c>
      <c r="F13" s="15">
        <f t="shared" si="0"/>
        <v>0</v>
      </c>
    </row>
    <row r="14" spans="1:6" ht="28.8" x14ac:dyDescent="0.3">
      <c r="A14" s="6">
        <v>3003</v>
      </c>
      <c r="B14" s="20" t="s">
        <v>28</v>
      </c>
      <c r="C14" s="14">
        <f>Base!C18</f>
        <v>0</v>
      </c>
      <c r="D14" s="46" t="s">
        <v>9</v>
      </c>
      <c r="E14" s="43">
        <v>0</v>
      </c>
      <c r="F14" s="15"/>
    </row>
    <row r="15" spans="1:6" x14ac:dyDescent="0.3">
      <c r="A15" s="12" t="s">
        <v>564</v>
      </c>
      <c r="B15" s="21" t="s">
        <v>22</v>
      </c>
      <c r="C15" s="14">
        <f>Base!C19</f>
        <v>100</v>
      </c>
      <c r="D15" s="34" t="s">
        <v>12</v>
      </c>
      <c r="E15" s="43">
        <f>Base!E19*1.06</f>
        <v>0</v>
      </c>
      <c r="F15" s="15">
        <f t="shared" si="0"/>
        <v>0</v>
      </c>
    </row>
    <row r="16" spans="1:6" s="19" customFormat="1" x14ac:dyDescent="0.3">
      <c r="A16" s="12" t="s">
        <v>565</v>
      </c>
      <c r="B16" s="21" t="s">
        <v>24</v>
      </c>
      <c r="C16" s="14">
        <f>Base!C20</f>
        <v>100</v>
      </c>
      <c r="D16" s="34" t="s">
        <v>12</v>
      </c>
      <c r="E16" s="43">
        <f>Base!E20*1.06</f>
        <v>0</v>
      </c>
      <c r="F16" s="15">
        <f t="shared" si="0"/>
        <v>0</v>
      </c>
    </row>
    <row r="17" spans="1:6" x14ac:dyDescent="0.3">
      <c r="A17" s="12" t="s">
        <v>566</v>
      </c>
      <c r="B17" s="21" t="s">
        <v>25</v>
      </c>
      <c r="C17" s="14">
        <f>Base!C21</f>
        <v>100</v>
      </c>
      <c r="D17" s="34" t="s">
        <v>12</v>
      </c>
      <c r="E17" s="43">
        <f>Base!E21*1.06</f>
        <v>0</v>
      </c>
      <c r="F17" s="15">
        <f t="shared" si="0"/>
        <v>0</v>
      </c>
    </row>
    <row r="18" spans="1:6" ht="28.8" x14ac:dyDescent="0.3">
      <c r="A18" s="12" t="s">
        <v>567</v>
      </c>
      <c r="B18" s="21" t="s">
        <v>26</v>
      </c>
      <c r="C18" s="14">
        <f>Base!C22</f>
        <v>100</v>
      </c>
      <c r="D18" s="34" t="s">
        <v>12</v>
      </c>
      <c r="E18" s="43">
        <f>Base!E22*1.06</f>
        <v>0</v>
      </c>
      <c r="F18" s="15">
        <f t="shared" si="0"/>
        <v>0</v>
      </c>
    </row>
    <row r="19" spans="1:6" ht="43.2" x14ac:dyDescent="0.3">
      <c r="A19" s="16">
        <v>3004</v>
      </c>
      <c r="B19" s="22" t="s">
        <v>32</v>
      </c>
      <c r="C19" s="14">
        <f>Base!C31</f>
        <v>0</v>
      </c>
      <c r="D19" s="46" t="s">
        <v>9</v>
      </c>
      <c r="E19" s="43">
        <v>0</v>
      </c>
      <c r="F19" s="15"/>
    </row>
    <row r="20" spans="1:6" s="19" customFormat="1" x14ac:dyDescent="0.3">
      <c r="A20" s="23" t="s">
        <v>568</v>
      </c>
      <c r="B20" s="21" t="s">
        <v>34</v>
      </c>
      <c r="C20" s="14">
        <f>Base!C32</f>
        <v>250</v>
      </c>
      <c r="D20" s="49" t="s">
        <v>12</v>
      </c>
      <c r="E20" s="43">
        <f>Base!E32*1.06</f>
        <v>0</v>
      </c>
      <c r="F20" s="15">
        <f t="shared" si="0"/>
        <v>0</v>
      </c>
    </row>
    <row r="21" spans="1:6" x14ac:dyDescent="0.3">
      <c r="A21" s="23" t="s">
        <v>569</v>
      </c>
      <c r="B21" s="21" t="s">
        <v>36</v>
      </c>
      <c r="C21" s="14">
        <f>Base!C33</f>
        <v>1000</v>
      </c>
      <c r="D21" s="49" t="s">
        <v>12</v>
      </c>
      <c r="E21" s="43">
        <f>Base!E33*1.06</f>
        <v>0</v>
      </c>
      <c r="F21" s="15">
        <f t="shared" si="0"/>
        <v>0</v>
      </c>
    </row>
    <row r="22" spans="1:6" x14ac:dyDescent="0.3">
      <c r="A22" s="23" t="s">
        <v>570</v>
      </c>
      <c r="B22" s="21" t="s">
        <v>37</v>
      </c>
      <c r="C22" s="14">
        <f>Base!C34</f>
        <v>200</v>
      </c>
      <c r="D22" s="49" t="s">
        <v>12</v>
      </c>
      <c r="E22" s="43">
        <f>Base!E34*1.06</f>
        <v>0</v>
      </c>
      <c r="F22" s="15">
        <f t="shared" si="0"/>
        <v>0</v>
      </c>
    </row>
    <row r="23" spans="1:6" ht="28.8" x14ac:dyDescent="0.3">
      <c r="A23" s="23" t="s">
        <v>571</v>
      </c>
      <c r="B23" s="21" t="s">
        <v>38</v>
      </c>
      <c r="C23" s="14">
        <f>Base!C35</f>
        <v>50</v>
      </c>
      <c r="D23" s="49" t="s">
        <v>12</v>
      </c>
      <c r="E23" s="43">
        <f>Base!E35*1.06</f>
        <v>0</v>
      </c>
      <c r="F23" s="15">
        <f t="shared" si="0"/>
        <v>0</v>
      </c>
    </row>
    <row r="24" spans="1:6" ht="43.2" x14ac:dyDescent="0.3">
      <c r="A24" s="6">
        <v>3005</v>
      </c>
      <c r="B24" s="22" t="s">
        <v>40</v>
      </c>
      <c r="C24" s="14">
        <f>Base!C36</f>
        <v>0</v>
      </c>
      <c r="D24" s="48" t="s">
        <v>9</v>
      </c>
      <c r="E24" s="43">
        <v>0</v>
      </c>
      <c r="F24" s="15">
        <v>0</v>
      </c>
    </row>
    <row r="25" spans="1:6" s="19" customFormat="1" x14ac:dyDescent="0.3">
      <c r="A25" s="23" t="s">
        <v>572</v>
      </c>
      <c r="B25" s="21" t="s">
        <v>42</v>
      </c>
      <c r="C25" s="14">
        <f>Base!C37</f>
        <v>250</v>
      </c>
      <c r="D25" s="49" t="s">
        <v>12</v>
      </c>
      <c r="E25" s="43">
        <f>Base!E37*1.06</f>
        <v>0</v>
      </c>
      <c r="F25" s="15">
        <f t="shared" si="0"/>
        <v>0</v>
      </c>
    </row>
    <row r="26" spans="1:6" x14ac:dyDescent="0.3">
      <c r="A26" s="23" t="s">
        <v>573</v>
      </c>
      <c r="B26" s="21" t="s">
        <v>44</v>
      </c>
      <c r="C26" s="14">
        <f>Base!C38</f>
        <v>1000</v>
      </c>
      <c r="D26" s="49" t="s">
        <v>12</v>
      </c>
      <c r="E26" s="43">
        <f>Base!E38*1.06</f>
        <v>0</v>
      </c>
      <c r="F26" s="15">
        <f t="shared" si="0"/>
        <v>0</v>
      </c>
    </row>
    <row r="27" spans="1:6" x14ac:dyDescent="0.3">
      <c r="A27" s="23" t="s">
        <v>574</v>
      </c>
      <c r="B27" s="21" t="s">
        <v>46</v>
      </c>
      <c r="C27" s="14">
        <f>Base!C39</f>
        <v>200</v>
      </c>
      <c r="D27" s="49" t="s">
        <v>12</v>
      </c>
      <c r="E27" s="43">
        <f>Base!E39*1.06</f>
        <v>0</v>
      </c>
      <c r="F27" s="15">
        <f t="shared" si="0"/>
        <v>0</v>
      </c>
    </row>
    <row r="28" spans="1:6" ht="28.8" x14ac:dyDescent="0.3">
      <c r="A28" s="23" t="s">
        <v>575</v>
      </c>
      <c r="B28" s="21" t="s">
        <v>48</v>
      </c>
      <c r="C28" s="14">
        <f>Base!C40</f>
        <v>50</v>
      </c>
      <c r="D28" s="49" t="s">
        <v>12</v>
      </c>
      <c r="E28" s="43">
        <f>Base!E40*1.06</f>
        <v>0</v>
      </c>
      <c r="F28" s="15">
        <f t="shared" si="0"/>
        <v>0</v>
      </c>
    </row>
    <row r="29" spans="1:6" ht="43.2" x14ac:dyDescent="0.3">
      <c r="A29" s="16">
        <v>3006</v>
      </c>
      <c r="B29" s="22" t="s">
        <v>50</v>
      </c>
      <c r="C29" s="14">
        <f>Base!C41</f>
        <v>0</v>
      </c>
      <c r="D29" s="46" t="s">
        <v>9</v>
      </c>
      <c r="E29" s="43">
        <v>0</v>
      </c>
      <c r="F29" s="15"/>
    </row>
    <row r="30" spans="1:6" s="19" customFormat="1" x14ac:dyDescent="0.3">
      <c r="A30" s="23" t="s">
        <v>576</v>
      </c>
      <c r="B30" s="21" t="s">
        <v>34</v>
      </c>
      <c r="C30" s="14">
        <f>Base!C42</f>
        <v>1</v>
      </c>
      <c r="D30" s="49" t="s">
        <v>52</v>
      </c>
      <c r="E30" s="43">
        <f>Base!E42*1.06</f>
        <v>0</v>
      </c>
      <c r="F30" s="15">
        <f t="shared" si="0"/>
        <v>0</v>
      </c>
    </row>
    <row r="31" spans="1:6" x14ac:dyDescent="0.3">
      <c r="A31" s="23" t="s">
        <v>577</v>
      </c>
      <c r="B31" s="21" t="s">
        <v>36</v>
      </c>
      <c r="C31" s="14">
        <f>Base!C43</f>
        <v>1</v>
      </c>
      <c r="D31" s="49" t="s">
        <v>52</v>
      </c>
      <c r="E31" s="43">
        <f>Base!E43*1.06</f>
        <v>0</v>
      </c>
      <c r="F31" s="15">
        <f t="shared" si="0"/>
        <v>0</v>
      </c>
    </row>
    <row r="32" spans="1:6" x14ac:dyDescent="0.3">
      <c r="A32" s="23" t="s">
        <v>578</v>
      </c>
      <c r="B32" s="21" t="s">
        <v>37</v>
      </c>
      <c r="C32" s="14">
        <f>Base!C44</f>
        <v>1</v>
      </c>
      <c r="D32" s="49" t="s">
        <v>52</v>
      </c>
      <c r="E32" s="43">
        <f>Base!E44*1.06</f>
        <v>0</v>
      </c>
      <c r="F32" s="15">
        <f t="shared" si="0"/>
        <v>0</v>
      </c>
    </row>
    <row r="33" spans="1:6" ht="28.8" x14ac:dyDescent="0.3">
      <c r="A33" s="23" t="s">
        <v>579</v>
      </c>
      <c r="B33" s="21" t="s">
        <v>38</v>
      </c>
      <c r="C33" s="14">
        <f>Base!C45</f>
        <v>1</v>
      </c>
      <c r="D33" s="49" t="s">
        <v>52</v>
      </c>
      <c r="E33" s="43">
        <f>Base!E45*1.06</f>
        <v>0</v>
      </c>
      <c r="F33" s="15">
        <f t="shared" si="0"/>
        <v>0</v>
      </c>
    </row>
    <row r="34" spans="1:6" ht="43.2" x14ac:dyDescent="0.3">
      <c r="A34" s="6">
        <v>3007</v>
      </c>
      <c r="B34" s="22" t="s">
        <v>55</v>
      </c>
      <c r="C34" s="14">
        <f>Base!C46</f>
        <v>0</v>
      </c>
      <c r="D34" s="48" t="s">
        <v>9</v>
      </c>
      <c r="E34" s="43">
        <v>0</v>
      </c>
      <c r="F34" s="15"/>
    </row>
    <row r="35" spans="1:6" s="19" customFormat="1" x14ac:dyDescent="0.3">
      <c r="A35" s="23" t="s">
        <v>580</v>
      </c>
      <c r="B35" s="21" t="s">
        <v>42</v>
      </c>
      <c r="C35" s="14">
        <f>Base!C47</f>
        <v>1</v>
      </c>
      <c r="D35" s="49" t="s">
        <v>52</v>
      </c>
      <c r="E35" s="43">
        <f>Base!E47*1.06</f>
        <v>0</v>
      </c>
      <c r="F35" s="15">
        <f t="shared" si="0"/>
        <v>0</v>
      </c>
    </row>
    <row r="36" spans="1:6" x14ac:dyDescent="0.3">
      <c r="A36" s="23" t="s">
        <v>581</v>
      </c>
      <c r="B36" s="21" t="s">
        <v>44</v>
      </c>
      <c r="C36" s="14">
        <f>Base!C48</f>
        <v>1</v>
      </c>
      <c r="D36" s="49" t="s">
        <v>52</v>
      </c>
      <c r="E36" s="43">
        <f>Base!E48*1.06</f>
        <v>0</v>
      </c>
      <c r="F36" s="15">
        <f t="shared" si="0"/>
        <v>0</v>
      </c>
    </row>
    <row r="37" spans="1:6" x14ac:dyDescent="0.3">
      <c r="A37" s="23" t="s">
        <v>582</v>
      </c>
      <c r="B37" s="21" t="s">
        <v>46</v>
      </c>
      <c r="C37" s="14">
        <f>Base!C49</f>
        <v>1</v>
      </c>
      <c r="D37" s="49" t="s">
        <v>52</v>
      </c>
      <c r="E37" s="43">
        <f>Base!E49*1.06</f>
        <v>0</v>
      </c>
      <c r="F37" s="15">
        <f t="shared" si="0"/>
        <v>0</v>
      </c>
    </row>
    <row r="38" spans="1:6" ht="28.8" x14ac:dyDescent="0.3">
      <c r="A38" s="23" t="s">
        <v>583</v>
      </c>
      <c r="B38" s="21" t="s">
        <v>48</v>
      </c>
      <c r="C38" s="14">
        <f>Base!C50</f>
        <v>1</v>
      </c>
      <c r="D38" s="49" t="s">
        <v>52</v>
      </c>
      <c r="E38" s="43">
        <f>Base!E50*1.06</f>
        <v>0</v>
      </c>
      <c r="F38" s="15">
        <f t="shared" si="0"/>
        <v>0</v>
      </c>
    </row>
    <row r="39" spans="1:6" ht="43.2" x14ac:dyDescent="0.3">
      <c r="A39" s="6">
        <v>3008</v>
      </c>
      <c r="B39" s="24" t="s">
        <v>59</v>
      </c>
      <c r="C39" s="14">
        <f>Base!C94</f>
        <v>0</v>
      </c>
      <c r="D39" s="48" t="s">
        <v>9</v>
      </c>
      <c r="E39" s="43">
        <v>0</v>
      </c>
      <c r="F39" s="15"/>
    </row>
    <row r="40" spans="1:6" s="19" customFormat="1" x14ac:dyDescent="0.3">
      <c r="A40" s="23" t="s">
        <v>584</v>
      </c>
      <c r="B40" s="21" t="s">
        <v>61</v>
      </c>
      <c r="C40" s="14">
        <f>Base!C95</f>
        <v>200</v>
      </c>
      <c r="D40" s="47" t="s">
        <v>62</v>
      </c>
      <c r="E40" s="43">
        <f>Base!E95*1.06</f>
        <v>0</v>
      </c>
      <c r="F40" s="15">
        <f t="shared" si="0"/>
        <v>0</v>
      </c>
    </row>
    <row r="41" spans="1:6" x14ac:dyDescent="0.3">
      <c r="A41" s="23" t="s">
        <v>585</v>
      </c>
      <c r="B41" s="21" t="s">
        <v>64</v>
      </c>
      <c r="C41" s="14">
        <f>Base!C96</f>
        <v>200</v>
      </c>
      <c r="D41" s="47" t="s">
        <v>62</v>
      </c>
      <c r="E41" s="43">
        <f>Base!E96*1.06</f>
        <v>0</v>
      </c>
      <c r="F41" s="15">
        <f t="shared" si="0"/>
        <v>0</v>
      </c>
    </row>
    <row r="42" spans="1:6" x14ac:dyDescent="0.3">
      <c r="A42" s="23" t="s">
        <v>586</v>
      </c>
      <c r="B42" s="21" t="s">
        <v>66</v>
      </c>
      <c r="C42" s="14">
        <f>Base!C97</f>
        <v>200</v>
      </c>
      <c r="D42" s="47" t="s">
        <v>62</v>
      </c>
      <c r="E42" s="43">
        <f>Base!E97*1.06</f>
        <v>0</v>
      </c>
      <c r="F42" s="15">
        <f t="shared" si="0"/>
        <v>0</v>
      </c>
    </row>
    <row r="43" spans="1:6" x14ac:dyDescent="0.3">
      <c r="A43" s="23" t="s">
        <v>587</v>
      </c>
      <c r="B43" s="21" t="s">
        <v>68</v>
      </c>
      <c r="C43" s="14">
        <f>Base!C98</f>
        <v>200</v>
      </c>
      <c r="D43" s="47" t="s">
        <v>62</v>
      </c>
      <c r="E43" s="43">
        <f>Base!E98*1.06</f>
        <v>0</v>
      </c>
      <c r="F43" s="15">
        <f t="shared" si="0"/>
        <v>0</v>
      </c>
    </row>
    <row r="44" spans="1:6" ht="43.2" x14ac:dyDescent="0.3">
      <c r="A44" s="6">
        <v>3009</v>
      </c>
      <c r="B44" s="24" t="s">
        <v>70</v>
      </c>
      <c r="C44" s="14">
        <f>Base!C99</f>
        <v>0</v>
      </c>
      <c r="D44" s="48" t="s">
        <v>9</v>
      </c>
      <c r="E44" s="43">
        <v>0</v>
      </c>
      <c r="F44" s="15">
        <v>0</v>
      </c>
    </row>
    <row r="45" spans="1:6" x14ac:dyDescent="0.3">
      <c r="A45" s="12" t="s">
        <v>588</v>
      </c>
      <c r="B45" s="21" t="s">
        <v>72</v>
      </c>
      <c r="C45" s="14">
        <f>Base!C100</f>
        <v>200</v>
      </c>
      <c r="D45" s="47" t="s">
        <v>62</v>
      </c>
      <c r="E45" s="43">
        <f>Base!E100*1.06</f>
        <v>0</v>
      </c>
      <c r="F45" s="15">
        <f t="shared" si="0"/>
        <v>0</v>
      </c>
    </row>
    <row r="46" spans="1:6" s="19" customFormat="1" x14ac:dyDescent="0.3">
      <c r="A46" s="12" t="s">
        <v>589</v>
      </c>
      <c r="B46" s="21" t="s">
        <v>74</v>
      </c>
      <c r="C46" s="14">
        <f>Base!C101</f>
        <v>200</v>
      </c>
      <c r="D46" s="47" t="s">
        <v>62</v>
      </c>
      <c r="E46" s="43">
        <f>Base!E101*1.06</f>
        <v>0</v>
      </c>
      <c r="F46" s="15">
        <f t="shared" si="0"/>
        <v>0</v>
      </c>
    </row>
    <row r="47" spans="1:6" x14ac:dyDescent="0.3">
      <c r="A47" s="12" t="s">
        <v>590</v>
      </c>
      <c r="B47" s="21" t="s">
        <v>76</v>
      </c>
      <c r="C47" s="14">
        <f>Base!C102</f>
        <v>200</v>
      </c>
      <c r="D47" s="47" t="s">
        <v>62</v>
      </c>
      <c r="E47" s="43">
        <f>Base!E102*1.06</f>
        <v>0</v>
      </c>
      <c r="F47" s="15">
        <f t="shared" si="0"/>
        <v>0</v>
      </c>
    </row>
    <row r="48" spans="1:6" x14ac:dyDescent="0.3">
      <c r="A48" s="12" t="s">
        <v>591</v>
      </c>
      <c r="B48" s="21" t="s">
        <v>78</v>
      </c>
      <c r="C48" s="14" t="e">
        <f>Base!#REF!</f>
        <v>#REF!</v>
      </c>
      <c r="D48" s="47" t="s">
        <v>62</v>
      </c>
      <c r="E48" s="43" t="e">
        <f>Base!#REF!*1.06</f>
        <v>#REF!</v>
      </c>
      <c r="F48" s="15">
        <f t="shared" si="0"/>
        <v>0</v>
      </c>
    </row>
    <row r="49" spans="1:6" ht="43.2" x14ac:dyDescent="0.3">
      <c r="A49" s="6" t="s">
        <v>872</v>
      </c>
      <c r="B49" s="24" t="s">
        <v>80</v>
      </c>
      <c r="C49" s="14">
        <f>Base!C103</f>
        <v>0</v>
      </c>
      <c r="D49" s="48" t="s">
        <v>9</v>
      </c>
      <c r="E49" s="43">
        <v>0</v>
      </c>
      <c r="F49" s="15"/>
    </row>
    <row r="50" spans="1:6" s="19" customFormat="1" x14ac:dyDescent="0.3">
      <c r="A50" s="23" t="s">
        <v>871</v>
      </c>
      <c r="B50" s="21" t="s">
        <v>61</v>
      </c>
      <c r="C50" s="14">
        <f>Base!C104</f>
        <v>200</v>
      </c>
      <c r="D50" s="47" t="s">
        <v>62</v>
      </c>
      <c r="E50" s="43">
        <f>Base!E104*1.06</f>
        <v>0</v>
      </c>
      <c r="F50" s="15">
        <f t="shared" si="0"/>
        <v>0</v>
      </c>
    </row>
    <row r="51" spans="1:6" x14ac:dyDescent="0.3">
      <c r="A51" s="12" t="s">
        <v>873</v>
      </c>
      <c r="B51" s="21" t="s">
        <v>64</v>
      </c>
      <c r="C51" s="14">
        <f>Base!C105</f>
        <v>200</v>
      </c>
      <c r="D51" s="47" t="s">
        <v>62</v>
      </c>
      <c r="E51" s="43">
        <f>Base!E105*1.06</f>
        <v>0</v>
      </c>
      <c r="F51" s="15">
        <f t="shared" si="0"/>
        <v>0</v>
      </c>
    </row>
    <row r="52" spans="1:6" x14ac:dyDescent="0.3">
      <c r="A52" s="12" t="s">
        <v>874</v>
      </c>
      <c r="B52" s="21" t="s">
        <v>66</v>
      </c>
      <c r="C52" s="14">
        <f>Base!C106</f>
        <v>200</v>
      </c>
      <c r="D52" s="47" t="s">
        <v>62</v>
      </c>
      <c r="E52" s="43">
        <f>Base!E106*1.06</f>
        <v>0</v>
      </c>
      <c r="F52" s="15">
        <f t="shared" si="0"/>
        <v>0</v>
      </c>
    </row>
    <row r="53" spans="1:6" x14ac:dyDescent="0.3">
      <c r="A53" s="12" t="s">
        <v>875</v>
      </c>
      <c r="B53" s="21" t="s">
        <v>68</v>
      </c>
      <c r="C53" s="14">
        <f>Base!C107</f>
        <v>200</v>
      </c>
      <c r="D53" s="47" t="s">
        <v>62</v>
      </c>
      <c r="E53" s="43">
        <f>Base!E107*1.06</f>
        <v>0</v>
      </c>
      <c r="F53" s="15">
        <f t="shared" si="0"/>
        <v>0</v>
      </c>
    </row>
    <row r="54" spans="1:6" ht="43.2" x14ac:dyDescent="0.3">
      <c r="A54" s="6">
        <v>3011</v>
      </c>
      <c r="B54" s="24" t="s">
        <v>86</v>
      </c>
      <c r="C54" s="14">
        <f>Base!C108</f>
        <v>0</v>
      </c>
      <c r="D54" s="48" t="s">
        <v>9</v>
      </c>
      <c r="E54" s="43">
        <v>0</v>
      </c>
      <c r="F54" s="15"/>
    </row>
    <row r="55" spans="1:6" x14ac:dyDescent="0.3">
      <c r="A55" s="23" t="s">
        <v>596</v>
      </c>
      <c r="B55" s="21" t="s">
        <v>72</v>
      </c>
      <c r="C55" s="14">
        <f>Base!C109</f>
        <v>200</v>
      </c>
      <c r="D55" s="47" t="s">
        <v>62</v>
      </c>
      <c r="E55" s="43">
        <f>Base!E109*1.06</f>
        <v>0</v>
      </c>
      <c r="F55" s="15">
        <f t="shared" si="0"/>
        <v>0</v>
      </c>
    </row>
    <row r="56" spans="1:6" s="19" customFormat="1" x14ac:dyDescent="0.3">
      <c r="A56" s="12" t="s">
        <v>597</v>
      </c>
      <c r="B56" s="21" t="s">
        <v>74</v>
      </c>
      <c r="C56" s="14">
        <f>Base!C110</f>
        <v>200</v>
      </c>
      <c r="D56" s="47" t="s">
        <v>62</v>
      </c>
      <c r="E56" s="43">
        <f>Base!E110*1.06</f>
        <v>0</v>
      </c>
      <c r="F56" s="15">
        <f t="shared" si="0"/>
        <v>0</v>
      </c>
    </row>
    <row r="57" spans="1:6" x14ac:dyDescent="0.3">
      <c r="A57" s="12" t="s">
        <v>598</v>
      </c>
      <c r="B57" s="21" t="s">
        <v>76</v>
      </c>
      <c r="C57" s="14">
        <f>Base!C111</f>
        <v>200</v>
      </c>
      <c r="D57" s="47" t="s">
        <v>62</v>
      </c>
      <c r="E57" s="43">
        <f>Base!E111*1.06</f>
        <v>0</v>
      </c>
      <c r="F57" s="15">
        <f t="shared" si="0"/>
        <v>0</v>
      </c>
    </row>
    <row r="58" spans="1:6" x14ac:dyDescent="0.3">
      <c r="A58" s="12" t="s">
        <v>599</v>
      </c>
      <c r="B58" s="21" t="s">
        <v>78</v>
      </c>
      <c r="C58" s="14" t="e">
        <f>Base!#REF!</f>
        <v>#REF!</v>
      </c>
      <c r="D58" s="47" t="s">
        <v>62</v>
      </c>
      <c r="E58" s="43" t="e">
        <f>Base!#REF!*1.06</f>
        <v>#REF!</v>
      </c>
      <c r="F58" s="15">
        <f t="shared" si="0"/>
        <v>0</v>
      </c>
    </row>
    <row r="59" spans="1:6" ht="28.8" x14ac:dyDescent="0.3">
      <c r="A59" s="6">
        <v>3012</v>
      </c>
      <c r="B59" s="24" t="s">
        <v>92</v>
      </c>
      <c r="C59" s="14">
        <f>Base!C51</f>
        <v>0</v>
      </c>
      <c r="D59" s="46" t="s">
        <v>9</v>
      </c>
      <c r="E59" s="43">
        <v>0</v>
      </c>
      <c r="F59" s="15"/>
    </row>
    <row r="60" spans="1:6" x14ac:dyDescent="0.3">
      <c r="A60" s="23" t="s">
        <v>600</v>
      </c>
      <c r="B60" s="21" t="s">
        <v>94</v>
      </c>
      <c r="C60" s="14">
        <f>Base!C52</f>
        <v>1000</v>
      </c>
      <c r="D60" s="34" t="s">
        <v>95</v>
      </c>
      <c r="E60" s="43">
        <f>Base!E52*1.06</f>
        <v>0</v>
      </c>
      <c r="F60" s="15">
        <f t="shared" si="0"/>
        <v>0</v>
      </c>
    </row>
    <row r="61" spans="1:6" x14ac:dyDescent="0.3">
      <c r="A61" s="23" t="s">
        <v>601</v>
      </c>
      <c r="B61" s="21" t="s">
        <v>97</v>
      </c>
      <c r="C61" s="14">
        <f>Base!C53</f>
        <v>1000</v>
      </c>
      <c r="D61" s="34" t="s">
        <v>95</v>
      </c>
      <c r="E61" s="43">
        <f>Base!E53*1.06</f>
        <v>0</v>
      </c>
      <c r="F61" s="15">
        <f t="shared" si="0"/>
        <v>0</v>
      </c>
    </row>
    <row r="62" spans="1:6" x14ac:dyDescent="0.3">
      <c r="A62" s="23" t="s">
        <v>602</v>
      </c>
      <c r="B62" s="21" t="s">
        <v>99</v>
      </c>
      <c r="C62" s="14">
        <f>Base!C54</f>
        <v>1000</v>
      </c>
      <c r="D62" s="34" t="s">
        <v>95</v>
      </c>
      <c r="E62" s="43">
        <f>Base!E54*1.06</f>
        <v>0</v>
      </c>
      <c r="F62" s="15">
        <f t="shared" si="0"/>
        <v>0</v>
      </c>
    </row>
    <row r="63" spans="1:6" x14ac:dyDescent="0.3">
      <c r="A63" s="23" t="s">
        <v>603</v>
      </c>
      <c r="B63" s="21" t="s">
        <v>101</v>
      </c>
      <c r="C63" s="14">
        <f>Base!C55</f>
        <v>1000</v>
      </c>
      <c r="D63" s="34" t="s">
        <v>95</v>
      </c>
      <c r="E63" s="43">
        <f>Base!E55*1.06</f>
        <v>0</v>
      </c>
      <c r="F63" s="15">
        <f t="shared" si="0"/>
        <v>0</v>
      </c>
    </row>
    <row r="64" spans="1:6" s="19" customFormat="1" x14ac:dyDescent="0.3">
      <c r="A64" s="23" t="s">
        <v>604</v>
      </c>
      <c r="B64" s="21" t="s">
        <v>103</v>
      </c>
      <c r="C64" s="14">
        <f>Base!C56</f>
        <v>1000</v>
      </c>
      <c r="D64" s="34" t="s">
        <v>95</v>
      </c>
      <c r="E64" s="43">
        <f>Base!E56*1.06</f>
        <v>0</v>
      </c>
      <c r="F64" s="15">
        <f t="shared" si="0"/>
        <v>0</v>
      </c>
    </row>
    <row r="65" spans="1:6" x14ac:dyDescent="0.3">
      <c r="A65" s="23" t="s">
        <v>605</v>
      </c>
      <c r="B65" s="21" t="s">
        <v>105</v>
      </c>
      <c r="C65" s="14">
        <f>Base!C57</f>
        <v>1000</v>
      </c>
      <c r="D65" s="34" t="s">
        <v>95</v>
      </c>
      <c r="E65" s="43">
        <f>Base!E57*1.06</f>
        <v>0</v>
      </c>
      <c r="F65" s="15">
        <f t="shared" si="0"/>
        <v>0</v>
      </c>
    </row>
    <row r="66" spans="1:6" x14ac:dyDescent="0.3">
      <c r="A66" s="23" t="s">
        <v>606</v>
      </c>
      <c r="B66" s="21" t="s">
        <v>107</v>
      </c>
      <c r="C66" s="14">
        <f>Base!C58</f>
        <v>1000</v>
      </c>
      <c r="D66" s="34" t="s">
        <v>95</v>
      </c>
      <c r="E66" s="43">
        <f>Base!E58*1.06</f>
        <v>0</v>
      </c>
      <c r="F66" s="15">
        <f t="shared" si="0"/>
        <v>0</v>
      </c>
    </row>
    <row r="67" spans="1:6" x14ac:dyDescent="0.3">
      <c r="A67" s="23" t="s">
        <v>607</v>
      </c>
      <c r="B67" s="21" t="s">
        <v>108</v>
      </c>
      <c r="C67" s="14" t="e">
        <f>Base!#REF!</f>
        <v>#REF!</v>
      </c>
      <c r="D67" s="34" t="s">
        <v>95</v>
      </c>
      <c r="E67" s="43" t="e">
        <f>Base!#REF!*1.06</f>
        <v>#REF!</v>
      </c>
      <c r="F67" s="15">
        <f t="shared" si="0"/>
        <v>0</v>
      </c>
    </row>
    <row r="68" spans="1:6" ht="28.8" x14ac:dyDescent="0.3">
      <c r="A68" s="6">
        <v>3013</v>
      </c>
      <c r="B68" s="24" t="s">
        <v>109</v>
      </c>
      <c r="C68" s="14" t="e">
        <f>Base!#REF!</f>
        <v>#REF!</v>
      </c>
      <c r="D68" s="46" t="s">
        <v>9</v>
      </c>
      <c r="E68" s="43">
        <v>0</v>
      </c>
      <c r="F68" s="15"/>
    </row>
    <row r="69" spans="1:6" x14ac:dyDescent="0.3">
      <c r="A69" s="23" t="s">
        <v>608</v>
      </c>
      <c r="B69" s="21" t="s">
        <v>94</v>
      </c>
      <c r="C69" s="14" t="e">
        <f>Base!#REF!</f>
        <v>#REF!</v>
      </c>
      <c r="D69" s="34" t="s">
        <v>95</v>
      </c>
      <c r="E69" s="43" t="e">
        <f>Base!#REF!*1.06</f>
        <v>#REF!</v>
      </c>
      <c r="F69" s="15">
        <f t="shared" si="0"/>
        <v>0</v>
      </c>
    </row>
    <row r="70" spans="1:6" x14ac:dyDescent="0.3">
      <c r="A70" s="23" t="s">
        <v>609</v>
      </c>
      <c r="B70" s="21" t="s">
        <v>97</v>
      </c>
      <c r="C70" s="14" t="e">
        <f>Base!#REF!</f>
        <v>#REF!</v>
      </c>
      <c r="D70" s="34" t="s">
        <v>95</v>
      </c>
      <c r="E70" s="43" t="e">
        <f>Base!#REF!*1.06</f>
        <v>#REF!</v>
      </c>
      <c r="F70" s="15">
        <f t="shared" ref="F70:F133" si="1">IF(ISNUMBER(E70),C70*E70,0)</f>
        <v>0</v>
      </c>
    </row>
    <row r="71" spans="1:6" x14ac:dyDescent="0.3">
      <c r="A71" s="23" t="s">
        <v>610</v>
      </c>
      <c r="B71" s="21" t="s">
        <v>99</v>
      </c>
      <c r="C71" s="14" t="e">
        <f>Base!#REF!</f>
        <v>#REF!</v>
      </c>
      <c r="D71" s="34" t="s">
        <v>95</v>
      </c>
      <c r="E71" s="43" t="e">
        <f>Base!#REF!*1.06</f>
        <v>#REF!</v>
      </c>
      <c r="F71" s="15">
        <f t="shared" si="1"/>
        <v>0</v>
      </c>
    </row>
    <row r="72" spans="1:6" x14ac:dyDescent="0.3">
      <c r="A72" s="23" t="s">
        <v>611</v>
      </c>
      <c r="B72" s="21" t="s">
        <v>101</v>
      </c>
      <c r="C72" s="14" t="e">
        <f>Base!#REF!</f>
        <v>#REF!</v>
      </c>
      <c r="D72" s="34" t="s">
        <v>95</v>
      </c>
      <c r="E72" s="43" t="e">
        <f>Base!#REF!*1.06</f>
        <v>#REF!</v>
      </c>
      <c r="F72" s="15">
        <f t="shared" si="1"/>
        <v>0</v>
      </c>
    </row>
    <row r="73" spans="1:6" s="19" customFormat="1" x14ac:dyDescent="0.3">
      <c r="A73" s="23" t="s">
        <v>612</v>
      </c>
      <c r="B73" s="21" t="s">
        <v>103</v>
      </c>
      <c r="C73" s="14" t="e">
        <f>Base!#REF!</f>
        <v>#REF!</v>
      </c>
      <c r="D73" s="34" t="s">
        <v>95</v>
      </c>
      <c r="E73" s="43" t="e">
        <f>Base!#REF!*1.06</f>
        <v>#REF!</v>
      </c>
      <c r="F73" s="15">
        <f t="shared" si="1"/>
        <v>0</v>
      </c>
    </row>
    <row r="74" spans="1:6" x14ac:dyDescent="0.3">
      <c r="A74" s="23" t="s">
        <v>613</v>
      </c>
      <c r="B74" s="21" t="s">
        <v>105</v>
      </c>
      <c r="C74" s="14" t="e">
        <f>Base!#REF!</f>
        <v>#REF!</v>
      </c>
      <c r="D74" s="34" t="s">
        <v>95</v>
      </c>
      <c r="E74" s="43" t="e">
        <f>Base!#REF!*1.06</f>
        <v>#REF!</v>
      </c>
      <c r="F74" s="15">
        <f t="shared" si="1"/>
        <v>0</v>
      </c>
    </row>
    <row r="75" spans="1:6" x14ac:dyDescent="0.3">
      <c r="A75" s="23" t="s">
        <v>614</v>
      </c>
      <c r="B75" s="21" t="s">
        <v>107</v>
      </c>
      <c r="C75" s="14" t="e">
        <f>Base!#REF!</f>
        <v>#REF!</v>
      </c>
      <c r="D75" s="34" t="s">
        <v>95</v>
      </c>
      <c r="E75" s="43" t="e">
        <f>Base!#REF!*1.06</f>
        <v>#REF!</v>
      </c>
      <c r="F75" s="15">
        <f t="shared" si="1"/>
        <v>0</v>
      </c>
    </row>
    <row r="76" spans="1:6" x14ac:dyDescent="0.3">
      <c r="A76" s="23" t="s">
        <v>615</v>
      </c>
      <c r="B76" s="21" t="s">
        <v>108</v>
      </c>
      <c r="C76" s="14" t="e">
        <f>Base!#REF!</f>
        <v>#REF!</v>
      </c>
      <c r="D76" s="34" t="s">
        <v>95</v>
      </c>
      <c r="E76" s="43" t="e">
        <f>Base!#REF!*1.06</f>
        <v>#REF!</v>
      </c>
      <c r="F76" s="15">
        <f t="shared" si="1"/>
        <v>0</v>
      </c>
    </row>
    <row r="77" spans="1:6" ht="28.8" x14ac:dyDescent="0.3">
      <c r="A77" s="6">
        <v>3014</v>
      </c>
      <c r="B77" s="24" t="s">
        <v>110</v>
      </c>
      <c r="C77" s="14">
        <f>Base!C59</f>
        <v>0</v>
      </c>
      <c r="D77" s="46" t="s">
        <v>9</v>
      </c>
      <c r="E77" s="43">
        <v>0</v>
      </c>
      <c r="F77" s="15"/>
    </row>
    <row r="78" spans="1:6" x14ac:dyDescent="0.3">
      <c r="A78" s="23" t="s">
        <v>616</v>
      </c>
      <c r="B78" s="21" t="s">
        <v>94</v>
      </c>
      <c r="C78" s="14">
        <f>Base!C60</f>
        <v>2500</v>
      </c>
      <c r="D78" s="34" t="s">
        <v>95</v>
      </c>
      <c r="E78" s="43">
        <f>Base!E60*1.06</f>
        <v>0</v>
      </c>
      <c r="F78" s="15">
        <f t="shared" si="1"/>
        <v>0</v>
      </c>
    </row>
    <row r="79" spans="1:6" x14ac:dyDescent="0.3">
      <c r="A79" s="23" t="s">
        <v>617</v>
      </c>
      <c r="B79" s="21" t="s">
        <v>97</v>
      </c>
      <c r="C79" s="14">
        <f>Base!C61</f>
        <v>2500</v>
      </c>
      <c r="D79" s="34" t="s">
        <v>95</v>
      </c>
      <c r="E79" s="43">
        <f>Base!E61*1.06</f>
        <v>0</v>
      </c>
      <c r="F79" s="15">
        <f t="shared" si="1"/>
        <v>0</v>
      </c>
    </row>
    <row r="80" spans="1:6" x14ac:dyDescent="0.3">
      <c r="A80" s="23" t="s">
        <v>618</v>
      </c>
      <c r="B80" s="21" t="s">
        <v>99</v>
      </c>
      <c r="C80" s="14">
        <f>Base!C62</f>
        <v>2500</v>
      </c>
      <c r="D80" s="34" t="s">
        <v>95</v>
      </c>
      <c r="E80" s="43">
        <f>Base!E62*1.06</f>
        <v>0</v>
      </c>
      <c r="F80" s="15">
        <f t="shared" si="1"/>
        <v>0</v>
      </c>
    </row>
    <row r="81" spans="1:6" x14ac:dyDescent="0.3">
      <c r="A81" s="23" t="s">
        <v>619</v>
      </c>
      <c r="B81" s="21" t="s">
        <v>101</v>
      </c>
      <c r="C81" s="14">
        <f>Base!C63</f>
        <v>2500</v>
      </c>
      <c r="D81" s="34" t="s">
        <v>95</v>
      </c>
      <c r="E81" s="43">
        <f>Base!E63*1.06</f>
        <v>0</v>
      </c>
      <c r="F81" s="15">
        <f t="shared" si="1"/>
        <v>0</v>
      </c>
    </row>
    <row r="82" spans="1:6" s="19" customFormat="1" x14ac:dyDescent="0.3">
      <c r="A82" s="23" t="s">
        <v>620</v>
      </c>
      <c r="B82" s="21" t="s">
        <v>103</v>
      </c>
      <c r="C82" s="14">
        <f>Base!C64</f>
        <v>2500</v>
      </c>
      <c r="D82" s="34" t="s">
        <v>95</v>
      </c>
      <c r="E82" s="43">
        <f>Base!E64*1.06</f>
        <v>0</v>
      </c>
      <c r="F82" s="15">
        <f t="shared" si="1"/>
        <v>0</v>
      </c>
    </row>
    <row r="83" spans="1:6" x14ac:dyDescent="0.3">
      <c r="A83" s="23" t="s">
        <v>621</v>
      </c>
      <c r="B83" s="21" t="s">
        <v>105</v>
      </c>
      <c r="C83" s="14">
        <f>Base!C65</f>
        <v>2500</v>
      </c>
      <c r="D83" s="34" t="s">
        <v>95</v>
      </c>
      <c r="E83" s="43">
        <f>Base!E65*1.06</f>
        <v>0</v>
      </c>
      <c r="F83" s="15">
        <f t="shared" si="1"/>
        <v>0</v>
      </c>
    </row>
    <row r="84" spans="1:6" x14ac:dyDescent="0.3">
      <c r="A84" s="23" t="s">
        <v>622</v>
      </c>
      <c r="B84" s="21" t="s">
        <v>107</v>
      </c>
      <c r="C84" s="14">
        <f>Base!C66</f>
        <v>2500</v>
      </c>
      <c r="D84" s="34" t="s">
        <v>95</v>
      </c>
      <c r="E84" s="43">
        <f>Base!E66*1.06</f>
        <v>0</v>
      </c>
      <c r="F84" s="15">
        <f t="shared" si="1"/>
        <v>0</v>
      </c>
    </row>
    <row r="85" spans="1:6" x14ac:dyDescent="0.3">
      <c r="A85" s="23" t="s">
        <v>623</v>
      </c>
      <c r="B85" s="21" t="s">
        <v>108</v>
      </c>
      <c r="C85" s="14" t="e">
        <f>Base!#REF!</f>
        <v>#REF!</v>
      </c>
      <c r="D85" s="34" t="s">
        <v>95</v>
      </c>
      <c r="E85" s="43" t="e">
        <f>Base!#REF!*1.06</f>
        <v>#REF!</v>
      </c>
      <c r="F85" s="15">
        <f t="shared" si="1"/>
        <v>0</v>
      </c>
    </row>
    <row r="86" spans="1:6" s="25" customFormat="1" ht="43.2" x14ac:dyDescent="0.3">
      <c r="A86" s="6">
        <v>3015</v>
      </c>
      <c r="B86" s="22" t="s">
        <v>112</v>
      </c>
      <c r="C86" s="14">
        <f>Base!C9</f>
        <v>0</v>
      </c>
      <c r="D86" s="46" t="s">
        <v>9</v>
      </c>
      <c r="E86" s="43">
        <v>0</v>
      </c>
      <c r="F86" s="15"/>
    </row>
    <row r="87" spans="1:6" s="19" customFormat="1" x14ac:dyDescent="0.3">
      <c r="A87" s="23" t="s">
        <v>624</v>
      </c>
      <c r="B87" s="18" t="s">
        <v>114</v>
      </c>
      <c r="C87" s="14">
        <f>Base!C10</f>
        <v>1000</v>
      </c>
      <c r="D87" s="47" t="s">
        <v>12</v>
      </c>
      <c r="E87" s="43">
        <f>Base!E10*1.06</f>
        <v>0</v>
      </c>
      <c r="F87" s="15">
        <f t="shared" si="1"/>
        <v>0</v>
      </c>
    </row>
    <row r="88" spans="1:6" x14ac:dyDescent="0.3">
      <c r="A88" s="23" t="s">
        <v>625</v>
      </c>
      <c r="B88" s="18" t="s">
        <v>116</v>
      </c>
      <c r="C88" s="14">
        <f>Base!C11</f>
        <v>2500</v>
      </c>
      <c r="D88" s="47" t="s">
        <v>12</v>
      </c>
      <c r="E88" s="43">
        <f>Base!E11*1.06</f>
        <v>0</v>
      </c>
      <c r="F88" s="15">
        <f t="shared" si="1"/>
        <v>0</v>
      </c>
    </row>
    <row r="89" spans="1:6" ht="28.8" x14ac:dyDescent="0.3">
      <c r="A89" s="6">
        <v>3016</v>
      </c>
      <c r="B89" s="20" t="s">
        <v>118</v>
      </c>
      <c r="C89" s="14">
        <f>Base!C23</f>
        <v>0</v>
      </c>
      <c r="D89" s="46" t="s">
        <v>9</v>
      </c>
      <c r="E89" s="43">
        <v>0</v>
      </c>
      <c r="F89" s="15"/>
    </row>
    <row r="90" spans="1:6" x14ac:dyDescent="0.3">
      <c r="A90" s="12" t="s">
        <v>626</v>
      </c>
      <c r="B90" s="21" t="s">
        <v>114</v>
      </c>
      <c r="C90" s="14">
        <f>Base!C24</f>
        <v>10</v>
      </c>
      <c r="D90" s="34" t="s">
        <v>12</v>
      </c>
      <c r="E90" s="43">
        <f>Base!E24*1.06</f>
        <v>0</v>
      </c>
      <c r="F90" s="15">
        <f t="shared" si="1"/>
        <v>0</v>
      </c>
    </row>
    <row r="91" spans="1:6" x14ac:dyDescent="0.3">
      <c r="A91" s="12" t="s">
        <v>627</v>
      </c>
      <c r="B91" s="21" t="s">
        <v>116</v>
      </c>
      <c r="C91" s="14">
        <f>Base!C25</f>
        <v>10</v>
      </c>
      <c r="D91" s="34" t="s">
        <v>12</v>
      </c>
      <c r="E91" s="43">
        <f>Base!E25*1.06</f>
        <v>0</v>
      </c>
      <c r="F91" s="15">
        <f t="shared" si="1"/>
        <v>0</v>
      </c>
    </row>
    <row r="92" spans="1:6" ht="28.8" x14ac:dyDescent="0.3">
      <c r="A92" s="6">
        <v>3017</v>
      </c>
      <c r="B92" s="22" t="s">
        <v>122</v>
      </c>
      <c r="C92" s="14">
        <f>Base!C12</f>
        <v>0</v>
      </c>
      <c r="D92" s="46" t="s">
        <v>9</v>
      </c>
      <c r="E92" s="43">
        <v>0</v>
      </c>
      <c r="F92" s="15"/>
    </row>
    <row r="93" spans="1:6" x14ac:dyDescent="0.3">
      <c r="A93" s="23" t="s">
        <v>628</v>
      </c>
      <c r="B93" s="18" t="s">
        <v>124</v>
      </c>
      <c r="C93" s="14">
        <f>Base!C13</f>
        <v>1000</v>
      </c>
      <c r="D93" s="47" t="s">
        <v>12</v>
      </c>
      <c r="E93" s="43">
        <f>Base!E13*1.06</f>
        <v>0</v>
      </c>
      <c r="F93" s="15">
        <f t="shared" si="1"/>
        <v>0</v>
      </c>
    </row>
    <row r="94" spans="1:6" x14ac:dyDescent="0.3">
      <c r="A94" s="12" t="s">
        <v>629</v>
      </c>
      <c r="B94" s="18" t="s">
        <v>126</v>
      </c>
      <c r="C94" s="14">
        <f>Base!C14</f>
        <v>2500</v>
      </c>
      <c r="D94" s="47" t="s">
        <v>12</v>
      </c>
      <c r="E94" s="43">
        <f>Base!E14*1.06</f>
        <v>0</v>
      </c>
      <c r="F94" s="15">
        <f t="shared" si="1"/>
        <v>0</v>
      </c>
    </row>
    <row r="95" spans="1:6" ht="28.8" x14ac:dyDescent="0.3">
      <c r="A95" s="16">
        <v>3018</v>
      </c>
      <c r="B95" s="24" t="s">
        <v>127</v>
      </c>
      <c r="C95" s="14">
        <f>Base!C127</f>
        <v>0</v>
      </c>
      <c r="D95" s="48" t="s">
        <v>9</v>
      </c>
      <c r="E95" s="43">
        <v>0</v>
      </c>
      <c r="F95" s="15"/>
    </row>
    <row r="96" spans="1:6" s="26" customFormat="1" x14ac:dyDescent="0.3">
      <c r="A96" s="23" t="s">
        <v>630</v>
      </c>
      <c r="B96" s="21" t="s">
        <v>128</v>
      </c>
      <c r="C96" s="14">
        <f>Base!C128</f>
        <v>1</v>
      </c>
      <c r="D96" s="34" t="s">
        <v>12</v>
      </c>
      <c r="E96" s="43">
        <f>Base!E128*1.06</f>
        <v>0</v>
      </c>
      <c r="F96" s="15">
        <f t="shared" si="1"/>
        <v>0</v>
      </c>
    </row>
    <row r="97" spans="1:7" x14ac:dyDescent="0.3">
      <c r="A97" s="23" t="s">
        <v>631</v>
      </c>
      <c r="B97" s="18" t="s">
        <v>129</v>
      </c>
      <c r="C97" s="14">
        <f>Base!C129</f>
        <v>1</v>
      </c>
      <c r="D97" s="47" t="s">
        <v>12</v>
      </c>
      <c r="E97" s="43">
        <f>Base!E129*1.06</f>
        <v>0</v>
      </c>
      <c r="F97" s="15">
        <f t="shared" si="1"/>
        <v>0</v>
      </c>
    </row>
    <row r="98" spans="1:7" ht="28.8" x14ac:dyDescent="0.3">
      <c r="A98" s="23" t="s">
        <v>632</v>
      </c>
      <c r="B98" s="18" t="s">
        <v>130</v>
      </c>
      <c r="C98" s="14">
        <f>Base!C130</f>
        <v>1000</v>
      </c>
      <c r="D98" s="47" t="s">
        <v>131</v>
      </c>
      <c r="E98" s="43">
        <f>Base!E130*1.06</f>
        <v>0</v>
      </c>
      <c r="F98" s="15">
        <f t="shared" si="1"/>
        <v>0</v>
      </c>
      <c r="G98" s="27"/>
    </row>
    <row r="99" spans="1:7" x14ac:dyDescent="0.3">
      <c r="A99" s="23" t="s">
        <v>633</v>
      </c>
      <c r="B99" s="18" t="s">
        <v>132</v>
      </c>
      <c r="C99" s="14">
        <f>Base!C131</f>
        <v>1000</v>
      </c>
      <c r="D99" s="47" t="s">
        <v>131</v>
      </c>
      <c r="E99" s="43">
        <f>Base!E131*1.06</f>
        <v>0</v>
      </c>
      <c r="F99" s="15">
        <f t="shared" si="1"/>
        <v>0</v>
      </c>
      <c r="G99" s="27"/>
    </row>
    <row r="100" spans="1:7" x14ac:dyDescent="0.3">
      <c r="A100" s="23" t="s">
        <v>634</v>
      </c>
      <c r="B100" s="18" t="s">
        <v>133</v>
      </c>
      <c r="C100" s="14">
        <f>Base!C132</f>
        <v>1000</v>
      </c>
      <c r="D100" s="47" t="s">
        <v>131</v>
      </c>
      <c r="E100" s="43">
        <f>Base!E132*1.06</f>
        <v>0</v>
      </c>
      <c r="F100" s="15">
        <f t="shared" si="1"/>
        <v>0</v>
      </c>
      <c r="G100" s="27"/>
    </row>
    <row r="101" spans="1:7" x14ac:dyDescent="0.3">
      <c r="A101" s="23" t="s">
        <v>635</v>
      </c>
      <c r="B101" s="28" t="s">
        <v>134</v>
      </c>
      <c r="C101" s="14">
        <f>Base!C133</f>
        <v>1000</v>
      </c>
      <c r="D101" s="47" t="s">
        <v>131</v>
      </c>
      <c r="E101" s="43">
        <f>Base!E133*1.06</f>
        <v>0</v>
      </c>
      <c r="F101" s="15">
        <f t="shared" si="1"/>
        <v>0</v>
      </c>
      <c r="G101" s="27"/>
    </row>
    <row r="102" spans="1:7" ht="28.8" x14ac:dyDescent="0.3">
      <c r="A102" s="23" t="s">
        <v>636</v>
      </c>
      <c r="B102" s="21" t="s">
        <v>135</v>
      </c>
      <c r="C102" s="14">
        <f>Base!C134</f>
        <v>50</v>
      </c>
      <c r="D102" s="47" t="s">
        <v>131</v>
      </c>
      <c r="E102" s="43">
        <f>Base!E134*1.06</f>
        <v>0</v>
      </c>
      <c r="F102" s="15">
        <f t="shared" si="1"/>
        <v>0</v>
      </c>
      <c r="G102" s="27"/>
    </row>
    <row r="103" spans="1:7" ht="28.8" x14ac:dyDescent="0.3">
      <c r="A103" s="23" t="s">
        <v>637</v>
      </c>
      <c r="B103" s="21" t="s">
        <v>136</v>
      </c>
      <c r="C103" s="14">
        <f>Base!C135</f>
        <v>50</v>
      </c>
      <c r="D103" s="47" t="s">
        <v>131</v>
      </c>
      <c r="E103" s="43">
        <f>Base!E135*1.06</f>
        <v>0</v>
      </c>
      <c r="F103" s="15">
        <f t="shared" si="1"/>
        <v>0</v>
      </c>
      <c r="G103" s="27"/>
    </row>
    <row r="104" spans="1:7" ht="28.8" x14ac:dyDescent="0.3">
      <c r="A104" s="23" t="s">
        <v>638</v>
      </c>
      <c r="B104" s="21" t="s">
        <v>137</v>
      </c>
      <c r="C104" s="14">
        <f>Base!C136</f>
        <v>50</v>
      </c>
      <c r="D104" s="47" t="s">
        <v>131</v>
      </c>
      <c r="E104" s="43">
        <f>Base!E136*1.06</f>
        <v>0</v>
      </c>
      <c r="F104" s="15">
        <f t="shared" si="1"/>
        <v>0</v>
      </c>
      <c r="G104" s="27"/>
    </row>
    <row r="105" spans="1:7" x14ac:dyDescent="0.3">
      <c r="A105" s="29" t="s">
        <v>639</v>
      </c>
      <c r="B105" s="30" t="s">
        <v>138</v>
      </c>
      <c r="C105" s="14" t="e">
        <f>Base!#REF!</f>
        <v>#REF!</v>
      </c>
      <c r="D105" s="47" t="s">
        <v>131</v>
      </c>
      <c r="E105" s="43" t="e">
        <f>Base!#REF!*1.06</f>
        <v>#REF!</v>
      </c>
      <c r="F105" s="15">
        <f t="shared" si="1"/>
        <v>0</v>
      </c>
      <c r="G105" s="27"/>
    </row>
    <row r="106" spans="1:7" x14ac:dyDescent="0.3">
      <c r="A106" s="29" t="s">
        <v>640</v>
      </c>
      <c r="B106" s="30" t="s">
        <v>139</v>
      </c>
      <c r="C106" s="14" t="e">
        <f>Base!#REF!</f>
        <v>#REF!</v>
      </c>
      <c r="D106" s="47" t="s">
        <v>131</v>
      </c>
      <c r="E106" s="43" t="e">
        <f>Base!#REF!*1.06</f>
        <v>#REF!</v>
      </c>
      <c r="F106" s="15">
        <f t="shared" si="1"/>
        <v>0</v>
      </c>
      <c r="G106" s="27"/>
    </row>
    <row r="107" spans="1:7" x14ac:dyDescent="0.3">
      <c r="A107" s="31" t="s">
        <v>641</v>
      </c>
      <c r="B107" s="32" t="s">
        <v>140</v>
      </c>
      <c r="C107" s="14" t="e">
        <f>Base!#REF!</f>
        <v>#REF!</v>
      </c>
      <c r="D107" s="47" t="s">
        <v>131</v>
      </c>
      <c r="E107" s="43" t="e">
        <f>Base!#REF!*1.06</f>
        <v>#REF!</v>
      </c>
      <c r="F107" s="15">
        <f t="shared" si="1"/>
        <v>0</v>
      </c>
      <c r="G107" s="27"/>
    </row>
    <row r="108" spans="1:7" s="25" customFormat="1" x14ac:dyDescent="0.3">
      <c r="A108" s="31" t="s">
        <v>642</v>
      </c>
      <c r="B108" s="32" t="s">
        <v>141</v>
      </c>
      <c r="C108" s="14" t="e">
        <f>Base!#REF!</f>
        <v>#REF!</v>
      </c>
      <c r="D108" s="47" t="s">
        <v>131</v>
      </c>
      <c r="E108" s="43" t="e">
        <f>Base!#REF!*1.06</f>
        <v>#REF!</v>
      </c>
      <c r="F108" s="15">
        <f t="shared" si="1"/>
        <v>0</v>
      </c>
    </row>
    <row r="109" spans="1:7" s="35" customFormat="1" ht="28.8" x14ac:dyDescent="0.3">
      <c r="A109" s="33">
        <v>3019</v>
      </c>
      <c r="B109" s="28" t="s">
        <v>143</v>
      </c>
      <c r="C109" s="14">
        <f>Base!C119</f>
        <v>0</v>
      </c>
      <c r="D109" s="34" t="s">
        <v>9</v>
      </c>
      <c r="E109" s="43">
        <v>0</v>
      </c>
      <c r="F109" s="15"/>
    </row>
    <row r="110" spans="1:7" s="35" customFormat="1" x14ac:dyDescent="0.3">
      <c r="A110" s="36" t="s">
        <v>643</v>
      </c>
      <c r="B110" s="28" t="s">
        <v>145</v>
      </c>
      <c r="C110" s="14">
        <f>Base!C120</f>
        <v>1</v>
      </c>
      <c r="D110" s="34" t="s">
        <v>146</v>
      </c>
      <c r="E110" s="43">
        <f>Base!E120*1.06</f>
        <v>0</v>
      </c>
      <c r="F110" s="15">
        <f t="shared" si="1"/>
        <v>0</v>
      </c>
    </row>
    <row r="111" spans="1:7" s="35" customFormat="1" x14ac:dyDescent="0.3">
      <c r="A111" s="36" t="s">
        <v>644</v>
      </c>
      <c r="B111" s="28" t="s">
        <v>148</v>
      </c>
      <c r="C111" s="14">
        <f>Base!C121</f>
        <v>1</v>
      </c>
      <c r="D111" s="34" t="s">
        <v>146</v>
      </c>
      <c r="E111" s="43">
        <f>Base!E121*1.06</f>
        <v>0</v>
      </c>
      <c r="F111" s="15">
        <f t="shared" si="1"/>
        <v>0</v>
      </c>
    </row>
    <row r="112" spans="1:7" s="35" customFormat="1" x14ac:dyDescent="0.3">
      <c r="A112" s="36" t="s">
        <v>645</v>
      </c>
      <c r="B112" s="28" t="s">
        <v>150</v>
      </c>
      <c r="C112" s="14">
        <f>Base!C122</f>
        <v>0</v>
      </c>
      <c r="D112" s="34" t="s">
        <v>146</v>
      </c>
      <c r="E112" s="43">
        <f>Base!E122*1.06</f>
        <v>0</v>
      </c>
      <c r="F112" s="15">
        <f t="shared" si="1"/>
        <v>0</v>
      </c>
    </row>
    <row r="113" spans="1:6" s="35" customFormat="1" x14ac:dyDescent="0.3">
      <c r="A113" s="36" t="s">
        <v>646</v>
      </c>
      <c r="B113" s="28" t="s">
        <v>128</v>
      </c>
      <c r="C113" s="14" t="e">
        <f>Base!#REF!</f>
        <v>#REF!</v>
      </c>
      <c r="D113" s="34" t="s">
        <v>146</v>
      </c>
      <c r="E113" s="43" t="e">
        <f>Base!#REF!*1.06</f>
        <v>#REF!</v>
      </c>
      <c r="F113" s="15">
        <f t="shared" si="1"/>
        <v>0</v>
      </c>
    </row>
    <row r="114" spans="1:6" s="35" customFormat="1" x14ac:dyDescent="0.3">
      <c r="A114" s="36" t="s">
        <v>647</v>
      </c>
      <c r="B114" s="28" t="s">
        <v>129</v>
      </c>
      <c r="C114" s="14" t="e">
        <f>Base!#REF!</f>
        <v>#REF!</v>
      </c>
      <c r="D114" s="34" t="s">
        <v>146</v>
      </c>
      <c r="E114" s="43" t="e">
        <f>Base!#REF!*1.06</f>
        <v>#REF!</v>
      </c>
      <c r="F114" s="15">
        <f t="shared" si="1"/>
        <v>0</v>
      </c>
    </row>
    <row r="115" spans="1:6" s="25" customFormat="1" ht="43.2" x14ac:dyDescent="0.3">
      <c r="A115" s="6" t="s">
        <v>876</v>
      </c>
      <c r="B115" s="24" t="s">
        <v>152</v>
      </c>
      <c r="C115" s="14">
        <f>Base!C137</f>
        <v>0</v>
      </c>
      <c r="D115" s="46" t="s">
        <v>9</v>
      </c>
      <c r="E115" s="43">
        <v>0</v>
      </c>
      <c r="F115" s="15"/>
    </row>
    <row r="116" spans="1:6" s="26" customFormat="1" x14ac:dyDescent="0.3">
      <c r="A116" s="37" t="s">
        <v>877</v>
      </c>
      <c r="B116" s="18" t="s">
        <v>154</v>
      </c>
      <c r="C116" s="14">
        <f>Base!C138</f>
        <v>500</v>
      </c>
      <c r="D116" s="34" t="s">
        <v>12</v>
      </c>
      <c r="E116" s="43">
        <f>Base!E138*1.06</f>
        <v>0</v>
      </c>
      <c r="F116" s="15">
        <f t="shared" si="1"/>
        <v>0</v>
      </c>
    </row>
    <row r="117" spans="1:6" s="25" customFormat="1" x14ac:dyDescent="0.3">
      <c r="A117" s="37" t="s">
        <v>878</v>
      </c>
      <c r="B117" s="18" t="s">
        <v>156</v>
      </c>
      <c r="C117" s="14">
        <f>Base!C139</f>
        <v>1000</v>
      </c>
      <c r="D117" s="34" t="s">
        <v>12</v>
      </c>
      <c r="E117" s="43">
        <f>Base!E139*1.06</f>
        <v>0</v>
      </c>
      <c r="F117" s="15">
        <f t="shared" si="1"/>
        <v>0</v>
      </c>
    </row>
    <row r="118" spans="1:6" s="25" customFormat="1" ht="43.2" x14ac:dyDescent="0.3">
      <c r="A118" s="6">
        <v>3021</v>
      </c>
      <c r="B118" s="22" t="s">
        <v>158</v>
      </c>
      <c r="C118" s="14">
        <f>Base!C15</f>
        <v>0</v>
      </c>
      <c r="D118" s="46" t="s">
        <v>9</v>
      </c>
      <c r="E118" s="43">
        <v>0</v>
      </c>
      <c r="F118" s="15"/>
    </row>
    <row r="119" spans="1:6" s="19" customFormat="1" x14ac:dyDescent="0.3">
      <c r="A119" s="23" t="s">
        <v>648</v>
      </c>
      <c r="B119" s="18" t="s">
        <v>160</v>
      </c>
      <c r="C119" s="14">
        <f>Base!C16</f>
        <v>1000</v>
      </c>
      <c r="D119" s="34" t="s">
        <v>12</v>
      </c>
      <c r="E119" s="43">
        <f>Base!E16*1.06</f>
        <v>0</v>
      </c>
      <c r="F119" s="15">
        <f t="shared" si="1"/>
        <v>0</v>
      </c>
    </row>
    <row r="120" spans="1:6" x14ac:dyDescent="0.3">
      <c r="A120" s="23" t="s">
        <v>649</v>
      </c>
      <c r="B120" s="18" t="s">
        <v>162</v>
      </c>
      <c r="C120" s="14">
        <f>Base!C17</f>
        <v>2500</v>
      </c>
      <c r="D120" s="34" t="s">
        <v>12</v>
      </c>
      <c r="E120" s="43">
        <f>Base!E17*1.06</f>
        <v>0</v>
      </c>
      <c r="F120" s="15">
        <f t="shared" si="1"/>
        <v>0</v>
      </c>
    </row>
    <row r="121" spans="1:6" ht="43.2" x14ac:dyDescent="0.3">
      <c r="A121" s="6">
        <v>3022</v>
      </c>
      <c r="B121" s="20" t="s">
        <v>164</v>
      </c>
      <c r="C121" s="14">
        <f>Base!C26</f>
        <v>0</v>
      </c>
      <c r="D121" s="46" t="s">
        <v>9</v>
      </c>
      <c r="E121" s="43">
        <v>0</v>
      </c>
      <c r="F121" s="15"/>
    </row>
    <row r="122" spans="1:6" x14ac:dyDescent="0.3">
      <c r="A122" s="12" t="s">
        <v>650</v>
      </c>
      <c r="B122" s="21" t="s">
        <v>160</v>
      </c>
      <c r="C122" s="14">
        <f>Base!C27</f>
        <v>10</v>
      </c>
      <c r="D122" s="34" t="s">
        <v>12</v>
      </c>
      <c r="E122" s="43">
        <f>Base!E27*1.06</f>
        <v>0</v>
      </c>
      <c r="F122" s="15">
        <f t="shared" si="1"/>
        <v>0</v>
      </c>
    </row>
    <row r="123" spans="1:6" x14ac:dyDescent="0.3">
      <c r="A123" s="12" t="s">
        <v>651</v>
      </c>
      <c r="B123" s="21" t="s">
        <v>162</v>
      </c>
      <c r="C123" s="14">
        <f>Base!C28</f>
        <v>10</v>
      </c>
      <c r="D123" s="34" t="s">
        <v>12</v>
      </c>
      <c r="E123" s="43">
        <f>Base!E28*1.06</f>
        <v>0</v>
      </c>
      <c r="F123" s="15">
        <f t="shared" si="1"/>
        <v>0</v>
      </c>
    </row>
    <row r="124" spans="1:6" ht="28.8" x14ac:dyDescent="0.3">
      <c r="A124" s="6">
        <v>3023</v>
      </c>
      <c r="B124" s="24" t="s">
        <v>168</v>
      </c>
      <c r="C124" s="14">
        <f>Base!C67</f>
        <v>0</v>
      </c>
      <c r="D124" s="46" t="s">
        <v>9</v>
      </c>
      <c r="E124" s="43">
        <v>0</v>
      </c>
      <c r="F124" s="15"/>
    </row>
    <row r="125" spans="1:6" x14ac:dyDescent="0.3">
      <c r="A125" s="12" t="s">
        <v>652</v>
      </c>
      <c r="B125" s="28" t="s">
        <v>170</v>
      </c>
      <c r="C125" s="14">
        <f>Base!C68</f>
        <v>125</v>
      </c>
      <c r="D125" s="50" t="s">
        <v>12</v>
      </c>
      <c r="E125" s="43">
        <f>Base!E68*1.06</f>
        <v>0</v>
      </c>
      <c r="F125" s="15">
        <f t="shared" si="1"/>
        <v>0</v>
      </c>
    </row>
    <row r="126" spans="1:6" x14ac:dyDescent="0.3">
      <c r="A126" s="12" t="s">
        <v>653</v>
      </c>
      <c r="B126" s="28" t="s">
        <v>172</v>
      </c>
      <c r="C126" s="14">
        <f>Base!C69</f>
        <v>1750</v>
      </c>
      <c r="D126" s="50" t="s">
        <v>12</v>
      </c>
      <c r="E126" s="43">
        <f>Base!E69*1.06</f>
        <v>0</v>
      </c>
      <c r="F126" s="15">
        <f t="shared" si="1"/>
        <v>0</v>
      </c>
    </row>
    <row r="127" spans="1:6" s="19" customFormat="1" x14ac:dyDescent="0.3">
      <c r="A127" s="12" t="s">
        <v>654</v>
      </c>
      <c r="B127" s="28" t="s">
        <v>174</v>
      </c>
      <c r="C127" s="14">
        <f>Base!C70</f>
        <v>100</v>
      </c>
      <c r="D127" s="50" t="s">
        <v>12</v>
      </c>
      <c r="E127" s="43">
        <f>Base!E70*1.06</f>
        <v>0</v>
      </c>
      <c r="F127" s="15">
        <f t="shared" si="1"/>
        <v>0</v>
      </c>
    </row>
    <row r="128" spans="1:6" x14ac:dyDescent="0.3">
      <c r="A128" s="12" t="s">
        <v>655</v>
      </c>
      <c r="B128" s="28" t="s">
        <v>175</v>
      </c>
      <c r="C128" s="14">
        <f>Base!C71</f>
        <v>25</v>
      </c>
      <c r="D128" s="50" t="s">
        <v>12</v>
      </c>
      <c r="E128" s="43">
        <f>Base!E71*1.06</f>
        <v>0</v>
      </c>
      <c r="F128" s="15">
        <f t="shared" si="1"/>
        <v>0</v>
      </c>
    </row>
    <row r="129" spans="1:6" ht="43.2" x14ac:dyDescent="0.3">
      <c r="A129" s="6">
        <v>3024</v>
      </c>
      <c r="B129" s="17" t="s">
        <v>177</v>
      </c>
      <c r="C129" s="14">
        <f>Base!C72</f>
        <v>0</v>
      </c>
      <c r="D129" s="46" t="s">
        <v>9</v>
      </c>
      <c r="E129" s="43">
        <v>0</v>
      </c>
      <c r="F129" s="15"/>
    </row>
    <row r="130" spans="1:6" x14ac:dyDescent="0.3">
      <c r="A130" s="23" t="s">
        <v>656</v>
      </c>
      <c r="B130" s="28" t="s">
        <v>179</v>
      </c>
      <c r="C130" s="14">
        <f>Base!C73</f>
        <v>125</v>
      </c>
      <c r="D130" s="50" t="s">
        <v>12</v>
      </c>
      <c r="E130" s="43">
        <f>Base!E73*1.06</f>
        <v>0</v>
      </c>
      <c r="F130" s="15">
        <f t="shared" si="1"/>
        <v>0</v>
      </c>
    </row>
    <row r="131" spans="1:6" x14ac:dyDescent="0.3">
      <c r="A131" s="23" t="s">
        <v>657</v>
      </c>
      <c r="B131" s="28" t="s">
        <v>181</v>
      </c>
      <c r="C131" s="14">
        <f>Base!C74</f>
        <v>1750</v>
      </c>
      <c r="D131" s="50" t="s">
        <v>12</v>
      </c>
      <c r="E131" s="43">
        <f>Base!E74*1.06</f>
        <v>0</v>
      </c>
      <c r="F131" s="15">
        <f t="shared" si="1"/>
        <v>0</v>
      </c>
    </row>
    <row r="132" spans="1:6" s="26" customFormat="1" x14ac:dyDescent="0.3">
      <c r="A132" s="23" t="s">
        <v>658</v>
      </c>
      <c r="B132" s="28" t="s">
        <v>183</v>
      </c>
      <c r="C132" s="14">
        <f>Base!C75</f>
        <v>100</v>
      </c>
      <c r="D132" s="50" t="s">
        <v>12</v>
      </c>
      <c r="E132" s="43">
        <f>Base!E75*1.06</f>
        <v>0</v>
      </c>
      <c r="F132" s="15">
        <f t="shared" si="1"/>
        <v>0</v>
      </c>
    </row>
    <row r="133" spans="1:6" x14ac:dyDescent="0.3">
      <c r="A133" s="23" t="s">
        <v>659</v>
      </c>
      <c r="B133" s="28" t="s">
        <v>184</v>
      </c>
      <c r="C133" s="14" t="e">
        <f>Base!#REF!</f>
        <v>#REF!</v>
      </c>
      <c r="D133" s="50" t="s">
        <v>12</v>
      </c>
      <c r="E133" s="43" t="e">
        <f>Base!#REF!*1.06</f>
        <v>#REF!</v>
      </c>
      <c r="F133" s="15">
        <f t="shared" si="1"/>
        <v>0</v>
      </c>
    </row>
    <row r="134" spans="1:6" ht="28.8" x14ac:dyDescent="0.3">
      <c r="A134" s="6">
        <v>3025</v>
      </c>
      <c r="B134" s="24" t="s">
        <v>186</v>
      </c>
      <c r="C134" s="14">
        <f>Base!C76</f>
        <v>0</v>
      </c>
      <c r="D134" s="46" t="s">
        <v>9</v>
      </c>
      <c r="E134" s="43">
        <v>0</v>
      </c>
      <c r="F134" s="15"/>
    </row>
    <row r="135" spans="1:6" x14ac:dyDescent="0.3">
      <c r="A135" s="23" t="s">
        <v>660</v>
      </c>
      <c r="B135" s="21" t="s">
        <v>170</v>
      </c>
      <c r="C135" s="14">
        <f>Base!C77</f>
        <v>500</v>
      </c>
      <c r="D135" s="34" t="s">
        <v>95</v>
      </c>
      <c r="E135" s="43">
        <f>Base!E77*1.06</f>
        <v>0</v>
      </c>
      <c r="F135" s="15">
        <f t="shared" ref="F135:F196" si="2">IF(ISNUMBER(E135),C135*E135,0)</f>
        <v>0</v>
      </c>
    </row>
    <row r="136" spans="1:6" x14ac:dyDescent="0.3">
      <c r="A136" s="23" t="s">
        <v>661</v>
      </c>
      <c r="B136" s="21" t="s">
        <v>172</v>
      </c>
      <c r="C136" s="14">
        <f>Base!C78</f>
        <v>500</v>
      </c>
      <c r="D136" s="34" t="s">
        <v>95</v>
      </c>
      <c r="E136" s="43">
        <f>Base!E78*1.06</f>
        <v>0</v>
      </c>
      <c r="F136" s="15">
        <f t="shared" si="2"/>
        <v>0</v>
      </c>
    </row>
    <row r="137" spans="1:6" x14ac:dyDescent="0.3">
      <c r="A137" s="23" t="s">
        <v>662</v>
      </c>
      <c r="B137" s="21" t="s">
        <v>174</v>
      </c>
      <c r="C137" s="14">
        <f>Base!C79</f>
        <v>500</v>
      </c>
      <c r="D137" s="34" t="s">
        <v>95</v>
      </c>
      <c r="E137" s="43">
        <f>Base!E79*1.06</f>
        <v>0</v>
      </c>
      <c r="F137" s="15">
        <f t="shared" si="2"/>
        <v>0</v>
      </c>
    </row>
    <row r="138" spans="1:6" x14ac:dyDescent="0.3">
      <c r="A138" s="23" t="s">
        <v>663</v>
      </c>
      <c r="B138" s="21" t="s">
        <v>190</v>
      </c>
      <c r="C138" s="14">
        <f>Base!C80</f>
        <v>500</v>
      </c>
      <c r="D138" s="34" t="s">
        <v>95</v>
      </c>
      <c r="E138" s="43">
        <f>Base!E80*1.06</f>
        <v>0</v>
      </c>
      <c r="F138" s="15">
        <f t="shared" si="2"/>
        <v>0</v>
      </c>
    </row>
    <row r="139" spans="1:6" x14ac:dyDescent="0.3">
      <c r="A139" s="23" t="s">
        <v>664</v>
      </c>
      <c r="B139" s="21" t="s">
        <v>179</v>
      </c>
      <c r="C139" s="14">
        <f>Base!C81</f>
        <v>500</v>
      </c>
      <c r="D139" s="34" t="s">
        <v>95</v>
      </c>
      <c r="E139" s="43">
        <f>Base!E81*1.06</f>
        <v>0</v>
      </c>
      <c r="F139" s="15">
        <f t="shared" si="2"/>
        <v>0</v>
      </c>
    </row>
    <row r="140" spans="1:6" x14ac:dyDescent="0.3">
      <c r="A140" s="23" t="s">
        <v>665</v>
      </c>
      <c r="B140" s="21" t="s">
        <v>181</v>
      </c>
      <c r="C140" s="14">
        <f>Base!C82</f>
        <v>500</v>
      </c>
      <c r="D140" s="34" t="s">
        <v>95</v>
      </c>
      <c r="E140" s="43">
        <f>Base!E82*1.06</f>
        <v>0</v>
      </c>
      <c r="F140" s="15">
        <f t="shared" si="2"/>
        <v>0</v>
      </c>
    </row>
    <row r="141" spans="1:6" x14ac:dyDescent="0.3">
      <c r="A141" s="23" t="s">
        <v>666</v>
      </c>
      <c r="B141" s="21" t="s">
        <v>183</v>
      </c>
      <c r="C141" s="14">
        <f>Base!C83</f>
        <v>500</v>
      </c>
      <c r="D141" s="34" t="s">
        <v>95</v>
      </c>
      <c r="E141" s="43">
        <f>Base!E83*1.06</f>
        <v>0</v>
      </c>
      <c r="F141" s="15">
        <f t="shared" si="2"/>
        <v>0</v>
      </c>
    </row>
    <row r="142" spans="1:6" x14ac:dyDescent="0.3">
      <c r="A142" s="23" t="s">
        <v>667</v>
      </c>
      <c r="B142" s="21" t="s">
        <v>191</v>
      </c>
      <c r="C142" s="14" t="e">
        <f>Base!#REF!</f>
        <v>#REF!</v>
      </c>
      <c r="D142" s="34" t="s">
        <v>95</v>
      </c>
      <c r="E142" s="43" t="e">
        <f>Base!#REF!*1.06</f>
        <v>#REF!</v>
      </c>
      <c r="F142" s="15">
        <f t="shared" si="2"/>
        <v>0</v>
      </c>
    </row>
    <row r="143" spans="1:6" ht="28.8" x14ac:dyDescent="0.3">
      <c r="A143" s="6">
        <v>3026</v>
      </c>
      <c r="B143" s="24" t="s">
        <v>193</v>
      </c>
      <c r="C143" s="14" t="e">
        <f>Base!#REF!</f>
        <v>#REF!</v>
      </c>
      <c r="D143" s="46" t="s">
        <v>9</v>
      </c>
      <c r="E143" s="43">
        <v>0</v>
      </c>
      <c r="F143" s="15"/>
    </row>
    <row r="144" spans="1:6" x14ac:dyDescent="0.3">
      <c r="A144" s="23" t="s">
        <v>668</v>
      </c>
      <c r="B144" s="21" t="s">
        <v>170</v>
      </c>
      <c r="C144" s="14" t="e">
        <f>Base!#REF!</f>
        <v>#REF!</v>
      </c>
      <c r="D144" s="34" t="s">
        <v>95</v>
      </c>
      <c r="E144" s="43" t="e">
        <f>Base!#REF!*1.06</f>
        <v>#REF!</v>
      </c>
      <c r="F144" s="15">
        <f t="shared" si="2"/>
        <v>0</v>
      </c>
    </row>
    <row r="145" spans="1:6" x14ac:dyDescent="0.3">
      <c r="A145" s="23" t="s">
        <v>669</v>
      </c>
      <c r="B145" s="21" t="s">
        <v>172</v>
      </c>
      <c r="C145" s="14" t="e">
        <f>Base!#REF!</f>
        <v>#REF!</v>
      </c>
      <c r="D145" s="34" t="s">
        <v>95</v>
      </c>
      <c r="E145" s="43" t="e">
        <f>Base!#REF!*1.06</f>
        <v>#REF!</v>
      </c>
      <c r="F145" s="15">
        <f t="shared" si="2"/>
        <v>0</v>
      </c>
    </row>
    <row r="146" spans="1:6" x14ac:dyDescent="0.3">
      <c r="A146" s="23" t="s">
        <v>670</v>
      </c>
      <c r="B146" s="21" t="s">
        <v>174</v>
      </c>
      <c r="C146" s="14" t="e">
        <f>Base!#REF!</f>
        <v>#REF!</v>
      </c>
      <c r="D146" s="34" t="s">
        <v>95</v>
      </c>
      <c r="E146" s="43" t="e">
        <f>Base!#REF!*1.06</f>
        <v>#REF!</v>
      </c>
      <c r="F146" s="15">
        <f t="shared" si="2"/>
        <v>0</v>
      </c>
    </row>
    <row r="147" spans="1:6" x14ac:dyDescent="0.3">
      <c r="A147" s="23" t="s">
        <v>671</v>
      </c>
      <c r="B147" s="21" t="s">
        <v>190</v>
      </c>
      <c r="C147" s="14" t="e">
        <f>Base!#REF!</f>
        <v>#REF!</v>
      </c>
      <c r="D147" s="34" t="s">
        <v>95</v>
      </c>
      <c r="E147" s="43" t="e">
        <f>Base!#REF!*1.06</f>
        <v>#REF!</v>
      </c>
      <c r="F147" s="15">
        <f t="shared" si="2"/>
        <v>0</v>
      </c>
    </row>
    <row r="148" spans="1:6" x14ac:dyDescent="0.3">
      <c r="A148" s="23" t="s">
        <v>672</v>
      </c>
      <c r="B148" s="21" t="s">
        <v>179</v>
      </c>
      <c r="C148" s="14" t="e">
        <f>Base!#REF!</f>
        <v>#REF!</v>
      </c>
      <c r="D148" s="34" t="s">
        <v>95</v>
      </c>
      <c r="E148" s="43" t="e">
        <f>Base!#REF!*1.06</f>
        <v>#REF!</v>
      </c>
      <c r="F148" s="15">
        <f t="shared" si="2"/>
        <v>0</v>
      </c>
    </row>
    <row r="149" spans="1:6" x14ac:dyDescent="0.3">
      <c r="A149" s="23" t="s">
        <v>673</v>
      </c>
      <c r="B149" s="21" t="s">
        <v>181</v>
      </c>
      <c r="C149" s="14" t="e">
        <f>Base!#REF!</f>
        <v>#REF!</v>
      </c>
      <c r="D149" s="34" t="s">
        <v>95</v>
      </c>
      <c r="E149" s="43" t="e">
        <f>Base!#REF!*1.06</f>
        <v>#REF!</v>
      </c>
      <c r="F149" s="15">
        <f t="shared" si="2"/>
        <v>0</v>
      </c>
    </row>
    <row r="150" spans="1:6" x14ac:dyDescent="0.3">
      <c r="A150" s="23" t="s">
        <v>674</v>
      </c>
      <c r="B150" s="21" t="s">
        <v>183</v>
      </c>
      <c r="C150" s="14" t="e">
        <f>Base!#REF!</f>
        <v>#REF!</v>
      </c>
      <c r="D150" s="34" t="s">
        <v>95</v>
      </c>
      <c r="E150" s="43" t="e">
        <f>Base!#REF!*1.06</f>
        <v>#REF!</v>
      </c>
      <c r="F150" s="15">
        <f t="shared" si="2"/>
        <v>0</v>
      </c>
    </row>
    <row r="151" spans="1:6" x14ac:dyDescent="0.3">
      <c r="A151" s="23" t="s">
        <v>675</v>
      </c>
      <c r="B151" s="21" t="s">
        <v>191</v>
      </c>
      <c r="C151" s="14" t="e">
        <f>Base!#REF!</f>
        <v>#REF!</v>
      </c>
      <c r="D151" s="34" t="s">
        <v>95</v>
      </c>
      <c r="E151" s="43" t="e">
        <f>Base!#REF!*1.06</f>
        <v>#REF!</v>
      </c>
      <c r="F151" s="15">
        <f t="shared" si="2"/>
        <v>0</v>
      </c>
    </row>
    <row r="152" spans="1:6" ht="28.8" x14ac:dyDescent="0.3">
      <c r="A152" s="6">
        <v>3027</v>
      </c>
      <c r="B152" s="24" t="s">
        <v>197</v>
      </c>
      <c r="C152" s="14">
        <f>Base!C84</f>
        <v>0</v>
      </c>
      <c r="D152" s="46" t="s">
        <v>9</v>
      </c>
      <c r="E152" s="43">
        <v>0</v>
      </c>
      <c r="F152" s="15"/>
    </row>
    <row r="153" spans="1:6" x14ac:dyDescent="0.3">
      <c r="A153" s="23" t="s">
        <v>676</v>
      </c>
      <c r="B153" s="21" t="s">
        <v>170</v>
      </c>
      <c r="C153" s="14">
        <f>Base!C85</f>
        <v>1750</v>
      </c>
      <c r="D153" s="34" t="s">
        <v>95</v>
      </c>
      <c r="E153" s="43">
        <f>Base!E85*1.06</f>
        <v>0</v>
      </c>
      <c r="F153" s="15">
        <f t="shared" si="2"/>
        <v>0</v>
      </c>
    </row>
    <row r="154" spans="1:6" x14ac:dyDescent="0.3">
      <c r="A154" s="23" t="s">
        <v>677</v>
      </c>
      <c r="B154" s="21" t="s">
        <v>172</v>
      </c>
      <c r="C154" s="14">
        <f>Base!C86</f>
        <v>1750</v>
      </c>
      <c r="D154" s="34" t="s">
        <v>95</v>
      </c>
      <c r="E154" s="43">
        <f>Base!E86*1.06</f>
        <v>0</v>
      </c>
      <c r="F154" s="15">
        <f t="shared" si="2"/>
        <v>0</v>
      </c>
    </row>
    <row r="155" spans="1:6" x14ac:dyDescent="0.3">
      <c r="A155" s="23" t="s">
        <v>678</v>
      </c>
      <c r="B155" s="21" t="s">
        <v>174</v>
      </c>
      <c r="C155" s="14">
        <f>Base!C87</f>
        <v>1750</v>
      </c>
      <c r="D155" s="34" t="s">
        <v>95</v>
      </c>
      <c r="E155" s="43">
        <f>Base!E87*1.06</f>
        <v>0</v>
      </c>
      <c r="F155" s="15">
        <f t="shared" si="2"/>
        <v>0</v>
      </c>
    </row>
    <row r="156" spans="1:6" x14ac:dyDescent="0.3">
      <c r="A156" s="23" t="s">
        <v>679</v>
      </c>
      <c r="B156" s="21" t="s">
        <v>190</v>
      </c>
      <c r="C156" s="14">
        <f>Base!C88</f>
        <v>1750</v>
      </c>
      <c r="D156" s="34" t="s">
        <v>95</v>
      </c>
      <c r="E156" s="43">
        <f>Base!E88*1.06</f>
        <v>0</v>
      </c>
      <c r="F156" s="15">
        <f t="shared" si="2"/>
        <v>0</v>
      </c>
    </row>
    <row r="157" spans="1:6" x14ac:dyDescent="0.3">
      <c r="A157" s="23" t="s">
        <v>680</v>
      </c>
      <c r="B157" s="21" t="s">
        <v>179</v>
      </c>
      <c r="C157" s="14">
        <f>Base!C89</f>
        <v>1750</v>
      </c>
      <c r="D157" s="34" t="s">
        <v>95</v>
      </c>
      <c r="E157" s="43">
        <f>Base!E89*1.06</f>
        <v>0</v>
      </c>
      <c r="F157" s="15">
        <f t="shared" si="2"/>
        <v>0</v>
      </c>
    </row>
    <row r="158" spans="1:6" x14ac:dyDescent="0.3">
      <c r="A158" s="23" t="s">
        <v>681</v>
      </c>
      <c r="B158" s="21" t="s">
        <v>181</v>
      </c>
      <c r="C158" s="14">
        <f>Base!C90</f>
        <v>1750</v>
      </c>
      <c r="D158" s="34" t="s">
        <v>95</v>
      </c>
      <c r="E158" s="43">
        <f>Base!E90*1.06</f>
        <v>0</v>
      </c>
      <c r="F158" s="15">
        <f t="shared" si="2"/>
        <v>0</v>
      </c>
    </row>
    <row r="159" spans="1:6" s="19" customFormat="1" x14ac:dyDescent="0.3">
      <c r="A159" s="23" t="s">
        <v>682</v>
      </c>
      <c r="B159" s="21" t="s">
        <v>183</v>
      </c>
      <c r="C159" s="14">
        <f>Base!C91</f>
        <v>1750</v>
      </c>
      <c r="D159" s="34" t="s">
        <v>95</v>
      </c>
      <c r="E159" s="43">
        <f>Base!E91*1.06</f>
        <v>0</v>
      </c>
      <c r="F159" s="15">
        <f t="shared" si="2"/>
        <v>0</v>
      </c>
    </row>
    <row r="160" spans="1:6" x14ac:dyDescent="0.3">
      <c r="A160" s="23" t="s">
        <v>683</v>
      </c>
      <c r="B160" s="21" t="s">
        <v>191</v>
      </c>
      <c r="C160" s="14" t="e">
        <f>Base!#REF!</f>
        <v>#REF!</v>
      </c>
      <c r="D160" s="34" t="s">
        <v>95</v>
      </c>
      <c r="E160" s="43" t="e">
        <f>Base!#REF!*1.06</f>
        <v>#REF!</v>
      </c>
      <c r="F160" s="15">
        <f t="shared" si="2"/>
        <v>0</v>
      </c>
    </row>
    <row r="161" spans="1:6" ht="28.8" x14ac:dyDescent="0.3">
      <c r="A161" s="16">
        <v>3028</v>
      </c>
      <c r="B161" s="24" t="s">
        <v>207</v>
      </c>
      <c r="C161" s="14">
        <f>Base!C140</f>
        <v>0</v>
      </c>
      <c r="D161" s="48" t="s">
        <v>9</v>
      </c>
      <c r="E161" s="43">
        <v>0</v>
      </c>
      <c r="F161" s="15"/>
    </row>
    <row r="162" spans="1:6" x14ac:dyDescent="0.3">
      <c r="A162" s="23" t="s">
        <v>684</v>
      </c>
      <c r="B162" s="21" t="s">
        <v>128</v>
      </c>
      <c r="C162" s="14">
        <f>Base!C141</f>
        <v>1</v>
      </c>
      <c r="D162" s="34" t="s">
        <v>12</v>
      </c>
      <c r="E162" s="43">
        <f>Base!E141*1.06</f>
        <v>0</v>
      </c>
      <c r="F162" s="15">
        <f t="shared" si="2"/>
        <v>0</v>
      </c>
    </row>
    <row r="163" spans="1:6" x14ac:dyDescent="0.3">
      <c r="A163" s="23" t="s">
        <v>685</v>
      </c>
      <c r="B163" s="18" t="s">
        <v>129</v>
      </c>
      <c r="C163" s="14">
        <f>Base!C142</f>
        <v>1</v>
      </c>
      <c r="D163" s="47" t="s">
        <v>12</v>
      </c>
      <c r="E163" s="43">
        <f>Base!E142*1.06</f>
        <v>0</v>
      </c>
      <c r="F163" s="15">
        <f t="shared" si="2"/>
        <v>0</v>
      </c>
    </row>
    <row r="164" spans="1:6" s="25" customFormat="1" ht="28.8" x14ac:dyDescent="0.3">
      <c r="A164" s="23" t="s">
        <v>686</v>
      </c>
      <c r="B164" s="18" t="s">
        <v>210</v>
      </c>
      <c r="C164" s="14">
        <f>Base!C143</f>
        <v>1000</v>
      </c>
      <c r="D164" s="47" t="s">
        <v>131</v>
      </c>
      <c r="E164" s="43">
        <f>Base!E143*1.06</f>
        <v>0</v>
      </c>
      <c r="F164" s="15">
        <f t="shared" si="2"/>
        <v>0</v>
      </c>
    </row>
    <row r="165" spans="1:6" x14ac:dyDescent="0.3">
      <c r="A165" s="23" t="s">
        <v>687</v>
      </c>
      <c r="B165" s="18" t="s">
        <v>211</v>
      </c>
      <c r="C165" s="14">
        <f>Base!C144</f>
        <v>1000</v>
      </c>
      <c r="D165" s="47" t="s">
        <v>131</v>
      </c>
      <c r="E165" s="43">
        <f>Base!E144*1.06</f>
        <v>0</v>
      </c>
      <c r="F165" s="15">
        <f t="shared" si="2"/>
        <v>0</v>
      </c>
    </row>
    <row r="166" spans="1:6" x14ac:dyDescent="0.3">
      <c r="A166" s="23" t="s">
        <v>688</v>
      </c>
      <c r="B166" s="18" t="s">
        <v>212</v>
      </c>
      <c r="C166" s="14">
        <f>Base!C145</f>
        <v>1000</v>
      </c>
      <c r="D166" s="47" t="s">
        <v>131</v>
      </c>
      <c r="E166" s="43">
        <f>Base!E145*1.06</f>
        <v>0</v>
      </c>
      <c r="F166" s="15">
        <f t="shared" si="2"/>
        <v>0</v>
      </c>
    </row>
    <row r="167" spans="1:6" x14ac:dyDescent="0.3">
      <c r="A167" s="23" t="s">
        <v>689</v>
      </c>
      <c r="B167" s="28" t="s">
        <v>213</v>
      </c>
      <c r="C167" s="14">
        <f>Base!C146</f>
        <v>1000</v>
      </c>
      <c r="D167" s="47" t="s">
        <v>131</v>
      </c>
      <c r="E167" s="43">
        <f>Base!E146*1.06</f>
        <v>0</v>
      </c>
      <c r="F167" s="15">
        <f t="shared" si="2"/>
        <v>0</v>
      </c>
    </row>
    <row r="168" spans="1:6" ht="28.8" x14ac:dyDescent="0.3">
      <c r="A168" s="23" t="s">
        <v>690</v>
      </c>
      <c r="B168" s="21" t="s">
        <v>214</v>
      </c>
      <c r="C168" s="14">
        <f>Base!C147</f>
        <v>50</v>
      </c>
      <c r="D168" s="47" t="s">
        <v>131</v>
      </c>
      <c r="E168" s="43">
        <f>Base!E147*1.06</f>
        <v>0</v>
      </c>
      <c r="F168" s="15">
        <f t="shared" si="2"/>
        <v>0</v>
      </c>
    </row>
    <row r="169" spans="1:6" ht="28.8" x14ac:dyDescent="0.3">
      <c r="A169" s="23" t="s">
        <v>691</v>
      </c>
      <c r="B169" s="21" t="s">
        <v>215</v>
      </c>
      <c r="C169" s="14">
        <f>Base!C148</f>
        <v>50</v>
      </c>
      <c r="D169" s="47" t="s">
        <v>131</v>
      </c>
      <c r="E169" s="43">
        <f>Base!E148*1.06</f>
        <v>0</v>
      </c>
      <c r="F169" s="15">
        <f t="shared" si="2"/>
        <v>0</v>
      </c>
    </row>
    <row r="170" spans="1:6" ht="28.8" x14ac:dyDescent="0.3">
      <c r="A170" s="23" t="s">
        <v>692</v>
      </c>
      <c r="B170" s="21" t="s">
        <v>216</v>
      </c>
      <c r="C170" s="14">
        <f>Base!C149</f>
        <v>50</v>
      </c>
      <c r="D170" s="47" t="s">
        <v>131</v>
      </c>
      <c r="E170" s="43">
        <f>Base!E149*1.06</f>
        <v>0</v>
      </c>
      <c r="F170" s="15">
        <f t="shared" si="2"/>
        <v>0</v>
      </c>
    </row>
    <row r="171" spans="1:6" x14ac:dyDescent="0.3">
      <c r="A171" s="29" t="s">
        <v>693</v>
      </c>
      <c r="B171" s="30" t="s">
        <v>138</v>
      </c>
      <c r="C171" s="14">
        <f>Base!C165</f>
        <v>50</v>
      </c>
      <c r="D171" s="47" t="s">
        <v>131</v>
      </c>
      <c r="E171" s="43">
        <f>Base!E165*1.06</f>
        <v>0</v>
      </c>
      <c r="F171" s="15">
        <f t="shared" si="2"/>
        <v>0</v>
      </c>
    </row>
    <row r="172" spans="1:6" x14ac:dyDescent="0.3">
      <c r="A172" s="29" t="s">
        <v>694</v>
      </c>
      <c r="B172" s="30" t="s">
        <v>139</v>
      </c>
      <c r="C172" s="14">
        <f>Base!C166</f>
        <v>1000</v>
      </c>
      <c r="D172" s="47" t="s">
        <v>131</v>
      </c>
      <c r="E172" s="43">
        <f>Base!E166*1.06</f>
        <v>0</v>
      </c>
      <c r="F172" s="15">
        <f t="shared" si="2"/>
        <v>0</v>
      </c>
    </row>
    <row r="173" spans="1:6" x14ac:dyDescent="0.3">
      <c r="A173" s="31" t="s">
        <v>695</v>
      </c>
      <c r="B173" s="32" t="s">
        <v>140</v>
      </c>
      <c r="C173" s="14">
        <f>Base!C167</f>
        <v>50</v>
      </c>
      <c r="D173" s="47" t="s">
        <v>131</v>
      </c>
      <c r="E173" s="43">
        <f>Base!E167*1.06</f>
        <v>0</v>
      </c>
      <c r="F173" s="15">
        <f t="shared" si="2"/>
        <v>0</v>
      </c>
    </row>
    <row r="174" spans="1:6" x14ac:dyDescent="0.3">
      <c r="A174" s="31" t="s">
        <v>696</v>
      </c>
      <c r="B174" s="32" t="s">
        <v>141</v>
      </c>
      <c r="C174" s="14">
        <f>Base!C168</f>
        <v>50</v>
      </c>
      <c r="D174" s="47" t="s">
        <v>131</v>
      </c>
      <c r="E174" s="43">
        <f>Base!E168*1.06</f>
        <v>0</v>
      </c>
      <c r="F174" s="15">
        <f t="shared" si="2"/>
        <v>0</v>
      </c>
    </row>
    <row r="175" spans="1:6" ht="28.8" x14ac:dyDescent="0.3">
      <c r="A175" s="6">
        <v>3030</v>
      </c>
      <c r="B175" s="24" t="s">
        <v>218</v>
      </c>
      <c r="C175" s="14">
        <f>Base!C150</f>
        <v>0</v>
      </c>
      <c r="D175" s="48" t="s">
        <v>9</v>
      </c>
      <c r="E175" s="43">
        <v>0</v>
      </c>
      <c r="F175" s="15"/>
    </row>
    <row r="176" spans="1:6" x14ac:dyDescent="0.3">
      <c r="A176" s="23" t="s">
        <v>592</v>
      </c>
      <c r="B176" s="18" t="s">
        <v>219</v>
      </c>
      <c r="C176" s="14">
        <f>Base!C151</f>
        <v>10000</v>
      </c>
      <c r="D176" s="47" t="s">
        <v>12</v>
      </c>
      <c r="E176" s="43">
        <f>Base!E151*1.06</f>
        <v>0</v>
      </c>
      <c r="F176" s="15">
        <f t="shared" si="2"/>
        <v>0</v>
      </c>
    </row>
    <row r="177" spans="1:6" x14ac:dyDescent="0.3">
      <c r="A177" s="23" t="s">
        <v>593</v>
      </c>
      <c r="B177" s="18" t="s">
        <v>148</v>
      </c>
      <c r="C177" s="14">
        <f>Base!C152</f>
        <v>20000</v>
      </c>
      <c r="D177" s="47" t="s">
        <v>12</v>
      </c>
      <c r="E177" s="43">
        <f>Base!E152*1.06</f>
        <v>0</v>
      </c>
      <c r="F177" s="15">
        <f t="shared" si="2"/>
        <v>0</v>
      </c>
    </row>
    <row r="178" spans="1:6" s="38" customFormat="1" x14ac:dyDescent="0.3">
      <c r="A178" s="23" t="s">
        <v>594</v>
      </c>
      <c r="B178" s="18" t="s">
        <v>220</v>
      </c>
      <c r="C178" s="14">
        <f>Base!C153</f>
        <v>5000</v>
      </c>
      <c r="D178" s="34" t="s">
        <v>12</v>
      </c>
      <c r="E178" s="43">
        <f>Base!E153*1.06</f>
        <v>0</v>
      </c>
      <c r="F178" s="15">
        <f t="shared" si="2"/>
        <v>0</v>
      </c>
    </row>
    <row r="179" spans="1:6" x14ac:dyDescent="0.3">
      <c r="A179" s="23" t="s">
        <v>595</v>
      </c>
      <c r="B179" s="18" t="s">
        <v>128</v>
      </c>
      <c r="C179" s="14">
        <f>Base!C154</f>
        <v>5000</v>
      </c>
      <c r="D179" s="34" t="s">
        <v>12</v>
      </c>
      <c r="E179" s="43">
        <f>Base!E154*1.06</f>
        <v>0</v>
      </c>
      <c r="F179" s="15">
        <f t="shared" si="2"/>
        <v>0</v>
      </c>
    </row>
    <row r="180" spans="1:6" x14ac:dyDescent="0.3">
      <c r="A180" s="23" t="s">
        <v>697</v>
      </c>
      <c r="B180" s="18" t="s">
        <v>129</v>
      </c>
      <c r="C180" s="14">
        <f>Base!C155</f>
        <v>20000</v>
      </c>
      <c r="D180" s="34" t="s">
        <v>12</v>
      </c>
      <c r="E180" s="43">
        <f>Base!E155*1.06</f>
        <v>0</v>
      </c>
      <c r="F180" s="15">
        <f t="shared" si="2"/>
        <v>0</v>
      </c>
    </row>
    <row r="181" spans="1:6" ht="28.8" x14ac:dyDescent="0.3">
      <c r="A181" s="16">
        <v>3031</v>
      </c>
      <c r="B181" s="22" t="s">
        <v>237</v>
      </c>
      <c r="C181" s="14">
        <f>Base!C171</f>
        <v>1</v>
      </c>
      <c r="D181" s="47" t="s">
        <v>222</v>
      </c>
      <c r="E181" s="43">
        <f>Base!E171*1.06</f>
        <v>0</v>
      </c>
      <c r="F181" s="15">
        <f t="shared" si="2"/>
        <v>0</v>
      </c>
    </row>
    <row r="182" spans="1:6" ht="28.8" x14ac:dyDescent="0.3">
      <c r="A182" s="6">
        <v>3032</v>
      </c>
      <c r="B182" s="24" t="s">
        <v>224</v>
      </c>
      <c r="C182" s="14">
        <f>Base!C158</f>
        <v>0</v>
      </c>
      <c r="D182" s="46" t="s">
        <v>9</v>
      </c>
      <c r="E182" s="43">
        <v>0</v>
      </c>
      <c r="F182" s="15"/>
    </row>
    <row r="183" spans="1:6" x14ac:dyDescent="0.3">
      <c r="A183" s="23" t="s">
        <v>698</v>
      </c>
      <c r="B183" s="21" t="s">
        <v>225</v>
      </c>
      <c r="C183" s="14">
        <f>Base!C159</f>
        <v>30</v>
      </c>
      <c r="D183" s="34" t="s">
        <v>226</v>
      </c>
      <c r="E183" s="43">
        <f>Base!E159*1.06</f>
        <v>0</v>
      </c>
      <c r="F183" s="15">
        <f t="shared" si="2"/>
        <v>0</v>
      </c>
    </row>
    <row r="184" spans="1:6" s="26" customFormat="1" x14ac:dyDescent="0.3">
      <c r="A184" s="23" t="s">
        <v>699</v>
      </c>
      <c r="B184" s="21" t="s">
        <v>227</v>
      </c>
      <c r="C184" s="14">
        <f>Base!C160</f>
        <v>30</v>
      </c>
      <c r="D184" s="34" t="s">
        <v>226</v>
      </c>
      <c r="E184" s="43">
        <f>Base!E160*1.06</f>
        <v>0</v>
      </c>
      <c r="F184" s="15">
        <f t="shared" si="2"/>
        <v>0</v>
      </c>
    </row>
    <row r="185" spans="1:6" s="25" customFormat="1" x14ac:dyDescent="0.3">
      <c r="A185" s="23" t="s">
        <v>700</v>
      </c>
      <c r="B185" s="21" t="s">
        <v>228</v>
      </c>
      <c r="C185" s="14" t="e">
        <f>Base!#REF!</f>
        <v>#REF!</v>
      </c>
      <c r="D185" s="34" t="s">
        <v>226</v>
      </c>
      <c r="E185" s="43" t="e">
        <f>Base!#REF!*1.06</f>
        <v>#REF!</v>
      </c>
      <c r="F185" s="15">
        <f t="shared" si="2"/>
        <v>0</v>
      </c>
    </row>
    <row r="186" spans="1:6" x14ac:dyDescent="0.3">
      <c r="A186" s="23" t="s">
        <v>701</v>
      </c>
      <c r="B186" s="21" t="s">
        <v>229</v>
      </c>
      <c r="C186" s="14" t="e">
        <f>Base!#REF!</f>
        <v>#REF!</v>
      </c>
      <c r="D186" s="34" t="s">
        <v>226</v>
      </c>
      <c r="E186" s="43" t="e">
        <f>Base!#REF!*1.06</f>
        <v>#REF!</v>
      </c>
      <c r="F186" s="15">
        <f t="shared" si="2"/>
        <v>0</v>
      </c>
    </row>
    <row r="187" spans="1:6" x14ac:dyDescent="0.3">
      <c r="A187" s="23" t="s">
        <v>702</v>
      </c>
      <c r="B187" s="21" t="s">
        <v>128</v>
      </c>
      <c r="C187" s="14" t="e">
        <f>Base!#REF!</f>
        <v>#REF!</v>
      </c>
      <c r="D187" s="34" t="s">
        <v>226</v>
      </c>
      <c r="E187" s="43" t="e">
        <f>Base!#REF!*1.06</f>
        <v>#REF!</v>
      </c>
      <c r="F187" s="15">
        <f t="shared" si="2"/>
        <v>0</v>
      </c>
    </row>
    <row r="188" spans="1:6" x14ac:dyDescent="0.3">
      <c r="A188" s="23" t="s">
        <v>703</v>
      </c>
      <c r="B188" s="21" t="s">
        <v>129</v>
      </c>
      <c r="C188" s="14" t="e">
        <f>Base!#REF!</f>
        <v>#REF!</v>
      </c>
      <c r="D188" s="34" t="s">
        <v>226</v>
      </c>
      <c r="E188" s="43" t="e">
        <f>Base!#REF!*1.06</f>
        <v>#REF!</v>
      </c>
      <c r="F188" s="15">
        <f t="shared" si="2"/>
        <v>0</v>
      </c>
    </row>
    <row r="189" spans="1:6" ht="28.8" x14ac:dyDescent="0.3">
      <c r="A189" s="6">
        <v>3033</v>
      </c>
      <c r="B189" s="24" t="s">
        <v>231</v>
      </c>
      <c r="C189" s="14">
        <f>Base!C161</f>
        <v>0</v>
      </c>
      <c r="D189" s="46" t="s">
        <v>9</v>
      </c>
      <c r="E189" s="43">
        <v>0</v>
      </c>
      <c r="F189" s="15"/>
    </row>
    <row r="190" spans="1:6" x14ac:dyDescent="0.3">
      <c r="A190" s="12" t="s">
        <v>704</v>
      </c>
      <c r="B190" s="21" t="s">
        <v>225</v>
      </c>
      <c r="C190" s="14">
        <f>Base!C162</f>
        <v>30</v>
      </c>
      <c r="D190" s="34" t="s">
        <v>226</v>
      </c>
      <c r="E190" s="43">
        <f>Base!E162*1.06</f>
        <v>0</v>
      </c>
      <c r="F190" s="15">
        <f t="shared" si="2"/>
        <v>0</v>
      </c>
    </row>
    <row r="191" spans="1:6" s="26" customFormat="1" x14ac:dyDescent="0.3">
      <c r="A191" s="12" t="s">
        <v>705</v>
      </c>
      <c r="B191" s="21" t="s">
        <v>227</v>
      </c>
      <c r="C191" s="14">
        <f>Base!C163</f>
        <v>30</v>
      </c>
      <c r="D191" s="34" t="s">
        <v>226</v>
      </c>
      <c r="E191" s="43">
        <f>Base!E163*1.06</f>
        <v>0</v>
      </c>
      <c r="F191" s="15">
        <f t="shared" si="2"/>
        <v>0</v>
      </c>
    </row>
    <row r="192" spans="1:6" s="25" customFormat="1" x14ac:dyDescent="0.3">
      <c r="A192" s="12" t="s">
        <v>706</v>
      </c>
      <c r="B192" s="21" t="s">
        <v>228</v>
      </c>
      <c r="C192" s="14" t="e">
        <f>Base!#REF!</f>
        <v>#REF!</v>
      </c>
      <c r="D192" s="34" t="s">
        <v>226</v>
      </c>
      <c r="E192" s="43" t="e">
        <f>Base!#REF!*1.06</f>
        <v>#REF!</v>
      </c>
      <c r="F192" s="15">
        <f t="shared" si="2"/>
        <v>0</v>
      </c>
    </row>
    <row r="193" spans="1:6" x14ac:dyDescent="0.3">
      <c r="A193" s="12" t="s">
        <v>707</v>
      </c>
      <c r="B193" s="21" t="s">
        <v>229</v>
      </c>
      <c r="C193" s="14" t="e">
        <f>Base!#REF!</f>
        <v>#REF!</v>
      </c>
      <c r="D193" s="34" t="s">
        <v>226</v>
      </c>
      <c r="E193" s="43" t="e">
        <f>Base!#REF!*1.06</f>
        <v>#REF!</v>
      </c>
      <c r="F193" s="15">
        <f t="shared" si="2"/>
        <v>0</v>
      </c>
    </row>
    <row r="194" spans="1:6" x14ac:dyDescent="0.3">
      <c r="A194" s="12" t="s">
        <v>708</v>
      </c>
      <c r="B194" s="21" t="s">
        <v>232</v>
      </c>
      <c r="C194" s="14" t="e">
        <f>Base!#REF!</f>
        <v>#REF!</v>
      </c>
      <c r="D194" s="34" t="s">
        <v>226</v>
      </c>
      <c r="E194" s="43" t="e">
        <f>Base!#REF!*1.06</f>
        <v>#REF!</v>
      </c>
      <c r="F194" s="15">
        <f t="shared" si="2"/>
        <v>0</v>
      </c>
    </row>
    <row r="195" spans="1:6" x14ac:dyDescent="0.3">
      <c r="A195" s="12" t="s">
        <v>709</v>
      </c>
      <c r="B195" s="21" t="s">
        <v>233</v>
      </c>
      <c r="C195" s="14" t="e">
        <f>Base!#REF!</f>
        <v>#REF!</v>
      </c>
      <c r="D195" s="34" t="s">
        <v>226</v>
      </c>
      <c r="E195" s="43" t="e">
        <f>Base!#REF!*1.06</f>
        <v>#REF!</v>
      </c>
      <c r="F195" s="15">
        <f t="shared" si="2"/>
        <v>0</v>
      </c>
    </row>
    <row r="196" spans="1:6" x14ac:dyDescent="0.3">
      <c r="A196" s="6">
        <v>3034</v>
      </c>
      <c r="B196" s="24" t="s">
        <v>234</v>
      </c>
      <c r="C196" s="14">
        <f>Base!C164</f>
        <v>50</v>
      </c>
      <c r="D196" s="34" t="s">
        <v>12</v>
      </c>
      <c r="E196" s="43">
        <f>Base!E164*1.06</f>
        <v>0</v>
      </c>
      <c r="F196" s="15">
        <f t="shared" si="2"/>
        <v>0</v>
      </c>
    </row>
    <row r="197" spans="1:6" ht="27.75" customHeight="1" x14ac:dyDescent="0.3">
      <c r="A197" s="107" t="s">
        <v>235</v>
      </c>
      <c r="B197" s="107"/>
      <c r="C197" s="107"/>
      <c r="D197" s="107"/>
      <c r="E197" s="107"/>
      <c r="F197" s="39">
        <f>SUM(F5:F196)</f>
        <v>0</v>
      </c>
    </row>
  </sheetData>
  <protectedRanges>
    <protectedRange sqref="E3:E196" name="Unit Prices"/>
    <protectedRange sqref="B5:B196" name="Description"/>
  </protectedRanges>
  <mergeCells count="3">
    <mergeCell ref="A1:F1"/>
    <mergeCell ref="A2:F2"/>
    <mergeCell ref="A197:E1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7"/>
  <sheetViews>
    <sheetView workbookViewId="0">
      <selection activeCell="E5" sqref="E5"/>
    </sheetView>
  </sheetViews>
  <sheetFormatPr defaultColWidth="9.109375" defaultRowHeight="14.4" x14ac:dyDescent="0.3"/>
  <cols>
    <col min="1" max="1" width="9" style="40" customWidth="1"/>
    <col min="2" max="2" width="74.109375" style="41" customWidth="1"/>
    <col min="3" max="3" width="11.44140625" style="5" customWidth="1"/>
    <col min="4" max="4" width="19" style="51" customWidth="1"/>
    <col min="5" max="5" width="13.5546875" style="44" customWidth="1"/>
    <col min="6" max="6" width="16.5546875" style="42" customWidth="1"/>
    <col min="7" max="16384" width="9.109375" style="1"/>
  </cols>
  <sheetData>
    <row r="1" spans="1:6" x14ac:dyDescent="0.3">
      <c r="A1" s="107" t="s">
        <v>711</v>
      </c>
      <c r="B1" s="107"/>
      <c r="C1" s="107"/>
      <c r="D1" s="107"/>
      <c r="E1" s="107"/>
      <c r="F1" s="107"/>
    </row>
    <row r="2" spans="1:6" ht="30.9" customHeight="1" x14ac:dyDescent="0.3">
      <c r="A2" s="108" t="s">
        <v>0</v>
      </c>
      <c r="B2" s="109"/>
      <c r="C2" s="109"/>
      <c r="D2" s="109"/>
      <c r="E2" s="109"/>
      <c r="F2" s="109"/>
    </row>
    <row r="3" spans="1:6" s="5" customFormat="1" x14ac:dyDescent="0.3">
      <c r="A3" s="2" t="s">
        <v>1</v>
      </c>
      <c r="B3" s="3" t="s">
        <v>2</v>
      </c>
      <c r="C3" s="3" t="s">
        <v>3</v>
      </c>
      <c r="D3" s="45" t="s">
        <v>4</v>
      </c>
      <c r="E3" s="4" t="s">
        <v>5</v>
      </c>
      <c r="F3" s="3" t="s">
        <v>6</v>
      </c>
    </row>
    <row r="4" spans="1:6" s="11" customFormat="1" ht="43.2" x14ac:dyDescent="0.3">
      <c r="A4" s="6">
        <v>4001</v>
      </c>
      <c r="B4" s="7" t="s">
        <v>8</v>
      </c>
      <c r="C4" s="8" t="s">
        <v>9</v>
      </c>
      <c r="D4" s="46" t="s">
        <v>9</v>
      </c>
      <c r="E4" s="9" t="s">
        <v>9</v>
      </c>
      <c r="F4" s="10" t="s">
        <v>9</v>
      </c>
    </row>
    <row r="5" spans="1:6" x14ac:dyDescent="0.3">
      <c r="A5" s="12" t="s">
        <v>712</v>
      </c>
      <c r="B5" s="13" t="s">
        <v>11</v>
      </c>
      <c r="C5" s="14">
        <f>Base!C115</f>
        <v>250</v>
      </c>
      <c r="D5" s="47" t="s">
        <v>12</v>
      </c>
      <c r="E5" s="43">
        <f>Base!E115*1.08</f>
        <v>0</v>
      </c>
      <c r="F5" s="15">
        <f>IF(ISNUMBER(E5),C5*E5,0)</f>
        <v>0</v>
      </c>
    </row>
    <row r="6" spans="1:6" x14ac:dyDescent="0.3">
      <c r="A6" s="12" t="s">
        <v>713</v>
      </c>
      <c r="B6" s="13" t="s">
        <v>14</v>
      </c>
      <c r="C6" s="14">
        <f>Base!C116</f>
        <v>500</v>
      </c>
      <c r="D6" s="47" t="s">
        <v>12</v>
      </c>
      <c r="E6" s="43">
        <f>Base!E116*1.08</f>
        <v>0</v>
      </c>
      <c r="F6" s="15">
        <f t="shared" ref="F6:F69" si="0">IF(ISNUMBER(E6),C6*E6,0)</f>
        <v>0</v>
      </c>
    </row>
    <row r="7" spans="1:6" x14ac:dyDescent="0.3">
      <c r="A7" s="12" t="s">
        <v>714</v>
      </c>
      <c r="B7" s="13" t="s">
        <v>16</v>
      </c>
      <c r="C7" s="14">
        <f>Base!C117</f>
        <v>200</v>
      </c>
      <c r="D7" s="47" t="s">
        <v>12</v>
      </c>
      <c r="E7" s="43">
        <f>Base!E117*1.08</f>
        <v>0</v>
      </c>
      <c r="F7" s="15">
        <f t="shared" si="0"/>
        <v>0</v>
      </c>
    </row>
    <row r="8" spans="1:6" x14ac:dyDescent="0.3">
      <c r="A8" s="12" t="s">
        <v>715</v>
      </c>
      <c r="B8" s="13" t="s">
        <v>18</v>
      </c>
      <c r="C8" s="14">
        <f>Base!C118</f>
        <v>500</v>
      </c>
      <c r="D8" s="47" t="s">
        <v>12</v>
      </c>
      <c r="E8" s="43">
        <f>Base!E118*1.08</f>
        <v>0</v>
      </c>
      <c r="F8" s="15">
        <f t="shared" si="0"/>
        <v>0</v>
      </c>
    </row>
    <row r="9" spans="1:6" ht="43.2" x14ac:dyDescent="0.3">
      <c r="A9" s="16">
        <v>4002</v>
      </c>
      <c r="B9" s="17" t="s">
        <v>20</v>
      </c>
      <c r="C9" s="14">
        <f>Base!C4</f>
        <v>0</v>
      </c>
      <c r="D9" s="48" t="s">
        <v>9</v>
      </c>
      <c r="E9" s="43">
        <f>Base!E4*1.08</f>
        <v>0</v>
      </c>
      <c r="F9" s="15"/>
    </row>
    <row r="10" spans="1:6" s="19" customFormat="1" x14ac:dyDescent="0.3">
      <c r="A10" s="12" t="s">
        <v>716</v>
      </c>
      <c r="B10" s="18" t="s">
        <v>22</v>
      </c>
      <c r="C10" s="14">
        <f>Base!C5</f>
        <v>250</v>
      </c>
      <c r="D10" s="47" t="s">
        <v>12</v>
      </c>
      <c r="E10" s="43">
        <f>Base!E5*1.08</f>
        <v>0</v>
      </c>
      <c r="F10" s="15">
        <f t="shared" si="0"/>
        <v>0</v>
      </c>
    </row>
    <row r="11" spans="1:6" x14ac:dyDescent="0.3">
      <c r="A11" s="12" t="s">
        <v>717</v>
      </c>
      <c r="B11" s="18" t="s">
        <v>24</v>
      </c>
      <c r="C11" s="14">
        <f>Base!C6</f>
        <v>500</v>
      </c>
      <c r="D11" s="47" t="s">
        <v>12</v>
      </c>
      <c r="E11" s="43">
        <f>Base!E6*1.08</f>
        <v>0</v>
      </c>
      <c r="F11" s="15">
        <f t="shared" si="0"/>
        <v>0</v>
      </c>
    </row>
    <row r="12" spans="1:6" x14ac:dyDescent="0.3">
      <c r="A12" s="12" t="s">
        <v>718</v>
      </c>
      <c r="B12" s="18" t="s">
        <v>25</v>
      </c>
      <c r="C12" s="14">
        <f>Base!C7</f>
        <v>200</v>
      </c>
      <c r="D12" s="47" t="s">
        <v>12</v>
      </c>
      <c r="E12" s="43">
        <f>Base!E7*1.08</f>
        <v>0</v>
      </c>
      <c r="F12" s="15">
        <f t="shared" si="0"/>
        <v>0</v>
      </c>
    </row>
    <row r="13" spans="1:6" ht="28.8" x14ac:dyDescent="0.3">
      <c r="A13" s="12" t="s">
        <v>719</v>
      </c>
      <c r="B13" s="18" t="s">
        <v>26</v>
      </c>
      <c r="C13" s="14">
        <f>Base!C8</f>
        <v>500</v>
      </c>
      <c r="D13" s="47" t="s">
        <v>12</v>
      </c>
      <c r="E13" s="43">
        <f>Base!E8*1.08</f>
        <v>0</v>
      </c>
      <c r="F13" s="15">
        <f t="shared" si="0"/>
        <v>0</v>
      </c>
    </row>
    <row r="14" spans="1:6" ht="28.8" x14ac:dyDescent="0.3">
      <c r="A14" s="6">
        <v>4003</v>
      </c>
      <c r="B14" s="20" t="s">
        <v>28</v>
      </c>
      <c r="C14" s="14">
        <f>Base!C18</f>
        <v>0</v>
      </c>
      <c r="D14" s="46" t="s">
        <v>9</v>
      </c>
      <c r="E14" s="43">
        <v>0</v>
      </c>
      <c r="F14" s="15"/>
    </row>
    <row r="15" spans="1:6" x14ac:dyDescent="0.3">
      <c r="A15" s="12" t="s">
        <v>720</v>
      </c>
      <c r="B15" s="21" t="s">
        <v>22</v>
      </c>
      <c r="C15" s="14">
        <f>Base!C19</f>
        <v>100</v>
      </c>
      <c r="D15" s="34" t="s">
        <v>12</v>
      </c>
      <c r="E15" s="43">
        <f>Base!E19*1.08</f>
        <v>0</v>
      </c>
      <c r="F15" s="15">
        <f t="shared" si="0"/>
        <v>0</v>
      </c>
    </row>
    <row r="16" spans="1:6" s="19" customFormat="1" x14ac:dyDescent="0.3">
      <c r="A16" s="12" t="s">
        <v>721</v>
      </c>
      <c r="B16" s="21" t="s">
        <v>24</v>
      </c>
      <c r="C16" s="14">
        <f>Base!C20</f>
        <v>100</v>
      </c>
      <c r="D16" s="34" t="s">
        <v>12</v>
      </c>
      <c r="E16" s="43">
        <f>Base!E20*1.08</f>
        <v>0</v>
      </c>
      <c r="F16" s="15">
        <f t="shared" si="0"/>
        <v>0</v>
      </c>
    </row>
    <row r="17" spans="1:6" x14ac:dyDescent="0.3">
      <c r="A17" s="12" t="s">
        <v>722</v>
      </c>
      <c r="B17" s="21" t="s">
        <v>25</v>
      </c>
      <c r="C17" s="14">
        <f>Base!C21</f>
        <v>100</v>
      </c>
      <c r="D17" s="34" t="s">
        <v>12</v>
      </c>
      <c r="E17" s="43">
        <f>Base!E21*1.08</f>
        <v>0</v>
      </c>
      <c r="F17" s="15">
        <f t="shared" si="0"/>
        <v>0</v>
      </c>
    </row>
    <row r="18" spans="1:6" ht="28.8" x14ac:dyDescent="0.3">
      <c r="A18" s="12" t="s">
        <v>723</v>
      </c>
      <c r="B18" s="21" t="s">
        <v>26</v>
      </c>
      <c r="C18" s="14">
        <f>Base!C22</f>
        <v>100</v>
      </c>
      <c r="D18" s="34" t="s">
        <v>12</v>
      </c>
      <c r="E18" s="43">
        <f>Base!E22*1.08</f>
        <v>0</v>
      </c>
      <c r="F18" s="15">
        <f t="shared" si="0"/>
        <v>0</v>
      </c>
    </row>
    <row r="19" spans="1:6" ht="43.2" x14ac:dyDescent="0.3">
      <c r="A19" s="16">
        <v>4004</v>
      </c>
      <c r="B19" s="22" t="s">
        <v>32</v>
      </c>
      <c r="C19" s="14">
        <f>Base!C31</f>
        <v>0</v>
      </c>
      <c r="D19" s="46" t="s">
        <v>9</v>
      </c>
      <c r="E19" s="43">
        <v>0</v>
      </c>
      <c r="F19" s="15"/>
    </row>
    <row r="20" spans="1:6" s="19" customFormat="1" x14ac:dyDescent="0.3">
      <c r="A20" s="23" t="s">
        <v>724</v>
      </c>
      <c r="B20" s="21" t="s">
        <v>34</v>
      </c>
      <c r="C20" s="14">
        <f>Base!C32</f>
        <v>250</v>
      </c>
      <c r="D20" s="49" t="s">
        <v>12</v>
      </c>
      <c r="E20" s="43">
        <f>Base!E32*1.08</f>
        <v>0</v>
      </c>
      <c r="F20" s="15">
        <f t="shared" si="0"/>
        <v>0</v>
      </c>
    </row>
    <row r="21" spans="1:6" x14ac:dyDescent="0.3">
      <c r="A21" s="23" t="s">
        <v>725</v>
      </c>
      <c r="B21" s="21" t="s">
        <v>36</v>
      </c>
      <c r="C21" s="14">
        <f>Base!C33</f>
        <v>1000</v>
      </c>
      <c r="D21" s="49" t="s">
        <v>12</v>
      </c>
      <c r="E21" s="43">
        <f>Base!E33*1.08</f>
        <v>0</v>
      </c>
      <c r="F21" s="15">
        <f t="shared" si="0"/>
        <v>0</v>
      </c>
    </row>
    <row r="22" spans="1:6" x14ac:dyDescent="0.3">
      <c r="A22" s="23" t="s">
        <v>726</v>
      </c>
      <c r="B22" s="21" t="s">
        <v>37</v>
      </c>
      <c r="C22" s="14">
        <f>Base!C34</f>
        <v>200</v>
      </c>
      <c r="D22" s="49" t="s">
        <v>12</v>
      </c>
      <c r="E22" s="43">
        <f>Base!E34*1.08</f>
        <v>0</v>
      </c>
      <c r="F22" s="15">
        <f t="shared" si="0"/>
        <v>0</v>
      </c>
    </row>
    <row r="23" spans="1:6" ht="28.8" x14ac:dyDescent="0.3">
      <c r="A23" s="23" t="s">
        <v>727</v>
      </c>
      <c r="B23" s="21" t="s">
        <v>38</v>
      </c>
      <c r="C23" s="14">
        <f>Base!C35</f>
        <v>50</v>
      </c>
      <c r="D23" s="49" t="s">
        <v>12</v>
      </c>
      <c r="E23" s="43">
        <f>Base!E35*1.08</f>
        <v>0</v>
      </c>
      <c r="F23" s="15">
        <f t="shared" si="0"/>
        <v>0</v>
      </c>
    </row>
    <row r="24" spans="1:6" ht="43.2" x14ac:dyDescent="0.3">
      <c r="A24" s="6">
        <v>4005</v>
      </c>
      <c r="B24" s="22" t="s">
        <v>40</v>
      </c>
      <c r="C24" s="14">
        <f>Base!C36</f>
        <v>0</v>
      </c>
      <c r="D24" s="48" t="s">
        <v>9</v>
      </c>
      <c r="E24" s="43">
        <v>0</v>
      </c>
      <c r="F24" s="15">
        <v>0</v>
      </c>
    </row>
    <row r="25" spans="1:6" s="19" customFormat="1" x14ac:dyDescent="0.3">
      <c r="A25" s="23" t="s">
        <v>728</v>
      </c>
      <c r="B25" s="21" t="s">
        <v>42</v>
      </c>
      <c r="C25" s="14">
        <f>Base!C37</f>
        <v>250</v>
      </c>
      <c r="D25" s="49" t="s">
        <v>12</v>
      </c>
      <c r="E25" s="43">
        <f>Base!E37*1.08</f>
        <v>0</v>
      </c>
      <c r="F25" s="15">
        <f t="shared" si="0"/>
        <v>0</v>
      </c>
    </row>
    <row r="26" spans="1:6" x14ac:dyDescent="0.3">
      <c r="A26" s="23" t="s">
        <v>729</v>
      </c>
      <c r="B26" s="21" t="s">
        <v>44</v>
      </c>
      <c r="C26" s="14">
        <f>Base!C38</f>
        <v>1000</v>
      </c>
      <c r="D26" s="49" t="s">
        <v>12</v>
      </c>
      <c r="E26" s="43">
        <f>Base!E38*1.08</f>
        <v>0</v>
      </c>
      <c r="F26" s="15">
        <f t="shared" si="0"/>
        <v>0</v>
      </c>
    </row>
    <row r="27" spans="1:6" x14ac:dyDescent="0.3">
      <c r="A27" s="23" t="s">
        <v>730</v>
      </c>
      <c r="B27" s="21" t="s">
        <v>46</v>
      </c>
      <c r="C27" s="14">
        <f>Base!C39</f>
        <v>200</v>
      </c>
      <c r="D27" s="49" t="s">
        <v>12</v>
      </c>
      <c r="E27" s="43">
        <f>Base!E39*1.08</f>
        <v>0</v>
      </c>
      <c r="F27" s="15">
        <f t="shared" si="0"/>
        <v>0</v>
      </c>
    </row>
    <row r="28" spans="1:6" ht="28.8" x14ac:dyDescent="0.3">
      <c r="A28" s="23" t="s">
        <v>731</v>
      </c>
      <c r="B28" s="21" t="s">
        <v>48</v>
      </c>
      <c r="C28" s="14">
        <f>Base!C40</f>
        <v>50</v>
      </c>
      <c r="D28" s="49" t="s">
        <v>12</v>
      </c>
      <c r="E28" s="43">
        <f>Base!E40*1.08</f>
        <v>0</v>
      </c>
      <c r="F28" s="15">
        <f t="shared" si="0"/>
        <v>0</v>
      </c>
    </row>
    <row r="29" spans="1:6" ht="43.2" x14ac:dyDescent="0.3">
      <c r="A29" s="16">
        <v>4006</v>
      </c>
      <c r="B29" s="22" t="s">
        <v>50</v>
      </c>
      <c r="C29" s="14">
        <f>Base!C41</f>
        <v>0</v>
      </c>
      <c r="D29" s="46" t="s">
        <v>9</v>
      </c>
      <c r="E29" s="43">
        <v>0</v>
      </c>
      <c r="F29" s="15"/>
    </row>
    <row r="30" spans="1:6" s="19" customFormat="1" x14ac:dyDescent="0.3">
      <c r="A30" s="23" t="s">
        <v>732</v>
      </c>
      <c r="B30" s="21" t="s">
        <v>34</v>
      </c>
      <c r="C30" s="14">
        <f>Base!C42</f>
        <v>1</v>
      </c>
      <c r="D30" s="49" t="s">
        <v>52</v>
      </c>
      <c r="E30" s="43">
        <f>Base!E42*1.08</f>
        <v>0</v>
      </c>
      <c r="F30" s="15">
        <f t="shared" si="0"/>
        <v>0</v>
      </c>
    </row>
    <row r="31" spans="1:6" x14ac:dyDescent="0.3">
      <c r="A31" s="23" t="s">
        <v>733</v>
      </c>
      <c r="B31" s="21" t="s">
        <v>36</v>
      </c>
      <c r="C31" s="14">
        <f>Base!C43</f>
        <v>1</v>
      </c>
      <c r="D31" s="49" t="s">
        <v>52</v>
      </c>
      <c r="E31" s="43">
        <f>Base!E43*1.08</f>
        <v>0</v>
      </c>
      <c r="F31" s="15">
        <f t="shared" si="0"/>
        <v>0</v>
      </c>
    </row>
    <row r="32" spans="1:6" x14ac:dyDescent="0.3">
      <c r="A32" s="23" t="s">
        <v>734</v>
      </c>
      <c r="B32" s="21" t="s">
        <v>37</v>
      </c>
      <c r="C32" s="14">
        <f>Base!C44</f>
        <v>1</v>
      </c>
      <c r="D32" s="49" t="s">
        <v>52</v>
      </c>
      <c r="E32" s="43">
        <f>Base!E44*1.08</f>
        <v>0</v>
      </c>
      <c r="F32" s="15">
        <f t="shared" si="0"/>
        <v>0</v>
      </c>
    </row>
    <row r="33" spans="1:6" ht="28.8" x14ac:dyDescent="0.3">
      <c r="A33" s="23" t="s">
        <v>735</v>
      </c>
      <c r="B33" s="21" t="s">
        <v>38</v>
      </c>
      <c r="C33" s="14">
        <f>Base!C45</f>
        <v>1</v>
      </c>
      <c r="D33" s="49" t="s">
        <v>52</v>
      </c>
      <c r="E33" s="43">
        <f>Base!E45*1.08</f>
        <v>0</v>
      </c>
      <c r="F33" s="15">
        <f t="shared" si="0"/>
        <v>0</v>
      </c>
    </row>
    <row r="34" spans="1:6" ht="43.2" x14ac:dyDescent="0.3">
      <c r="A34" s="6">
        <v>4007</v>
      </c>
      <c r="B34" s="22" t="s">
        <v>55</v>
      </c>
      <c r="C34" s="14">
        <f>Base!C46</f>
        <v>0</v>
      </c>
      <c r="D34" s="48" t="s">
        <v>9</v>
      </c>
      <c r="E34" s="43">
        <v>0</v>
      </c>
      <c r="F34" s="15"/>
    </row>
    <row r="35" spans="1:6" s="19" customFormat="1" x14ac:dyDescent="0.3">
      <c r="A35" s="23" t="s">
        <v>736</v>
      </c>
      <c r="B35" s="21" t="s">
        <v>42</v>
      </c>
      <c r="C35" s="14">
        <f>Base!C47</f>
        <v>1</v>
      </c>
      <c r="D35" s="49" t="s">
        <v>52</v>
      </c>
      <c r="E35" s="43">
        <f>Base!E47*1.08</f>
        <v>0</v>
      </c>
      <c r="F35" s="15">
        <f t="shared" si="0"/>
        <v>0</v>
      </c>
    </row>
    <row r="36" spans="1:6" x14ac:dyDescent="0.3">
      <c r="A36" s="23" t="s">
        <v>737</v>
      </c>
      <c r="B36" s="21" t="s">
        <v>44</v>
      </c>
      <c r="C36" s="14">
        <f>Base!C48</f>
        <v>1</v>
      </c>
      <c r="D36" s="49" t="s">
        <v>52</v>
      </c>
      <c r="E36" s="43">
        <f>Base!E48*1.08</f>
        <v>0</v>
      </c>
      <c r="F36" s="15">
        <f t="shared" si="0"/>
        <v>0</v>
      </c>
    </row>
    <row r="37" spans="1:6" x14ac:dyDescent="0.3">
      <c r="A37" s="23" t="s">
        <v>738</v>
      </c>
      <c r="B37" s="21" t="s">
        <v>46</v>
      </c>
      <c r="C37" s="14">
        <f>Base!C49</f>
        <v>1</v>
      </c>
      <c r="D37" s="49" t="s">
        <v>52</v>
      </c>
      <c r="E37" s="43">
        <f>Base!E49*1.08</f>
        <v>0</v>
      </c>
      <c r="F37" s="15">
        <f t="shared" si="0"/>
        <v>0</v>
      </c>
    </row>
    <row r="38" spans="1:6" ht="28.8" x14ac:dyDescent="0.3">
      <c r="A38" s="23" t="s">
        <v>739</v>
      </c>
      <c r="B38" s="21" t="s">
        <v>48</v>
      </c>
      <c r="C38" s="14">
        <f>Base!C50</f>
        <v>1</v>
      </c>
      <c r="D38" s="49" t="s">
        <v>52</v>
      </c>
      <c r="E38" s="43">
        <f>Base!E50*1.08</f>
        <v>0</v>
      </c>
      <c r="F38" s="15">
        <f t="shared" si="0"/>
        <v>0</v>
      </c>
    </row>
    <row r="39" spans="1:6" ht="43.2" x14ac:dyDescent="0.3">
      <c r="A39" s="6">
        <v>4008</v>
      </c>
      <c r="B39" s="24" t="s">
        <v>59</v>
      </c>
      <c r="C39" s="14">
        <f>Base!C94</f>
        <v>0</v>
      </c>
      <c r="D39" s="48" t="s">
        <v>9</v>
      </c>
      <c r="E39" s="43">
        <v>0</v>
      </c>
      <c r="F39" s="15"/>
    </row>
    <row r="40" spans="1:6" s="19" customFormat="1" x14ac:dyDescent="0.3">
      <c r="A40" s="23" t="s">
        <v>740</v>
      </c>
      <c r="B40" s="21" t="s">
        <v>61</v>
      </c>
      <c r="C40" s="14">
        <f>Base!C95</f>
        <v>200</v>
      </c>
      <c r="D40" s="47" t="s">
        <v>62</v>
      </c>
      <c r="E40" s="43">
        <f>Base!E95*1.08</f>
        <v>0</v>
      </c>
      <c r="F40" s="15">
        <f t="shared" si="0"/>
        <v>0</v>
      </c>
    </row>
    <row r="41" spans="1:6" x14ac:dyDescent="0.3">
      <c r="A41" s="23" t="s">
        <v>741</v>
      </c>
      <c r="B41" s="21" t="s">
        <v>64</v>
      </c>
      <c r="C41" s="14">
        <f>Base!C96</f>
        <v>200</v>
      </c>
      <c r="D41" s="47" t="s">
        <v>62</v>
      </c>
      <c r="E41" s="43">
        <f>Base!E96*1.08</f>
        <v>0</v>
      </c>
      <c r="F41" s="15">
        <f t="shared" si="0"/>
        <v>0</v>
      </c>
    </row>
    <row r="42" spans="1:6" x14ac:dyDescent="0.3">
      <c r="A42" s="23" t="s">
        <v>742</v>
      </c>
      <c r="B42" s="21" t="s">
        <v>66</v>
      </c>
      <c r="C42" s="14">
        <f>Base!C97</f>
        <v>200</v>
      </c>
      <c r="D42" s="47" t="s">
        <v>62</v>
      </c>
      <c r="E42" s="43">
        <f>Base!E97*1.08</f>
        <v>0</v>
      </c>
      <c r="F42" s="15">
        <f t="shared" si="0"/>
        <v>0</v>
      </c>
    </row>
    <row r="43" spans="1:6" x14ac:dyDescent="0.3">
      <c r="A43" s="23" t="s">
        <v>743</v>
      </c>
      <c r="B43" s="21" t="s">
        <v>68</v>
      </c>
      <c r="C43" s="14">
        <f>Base!C98</f>
        <v>200</v>
      </c>
      <c r="D43" s="47" t="s">
        <v>62</v>
      </c>
      <c r="E43" s="43">
        <f>Base!E98*1.08</f>
        <v>0</v>
      </c>
      <c r="F43" s="15">
        <f t="shared" si="0"/>
        <v>0</v>
      </c>
    </row>
    <row r="44" spans="1:6" ht="43.2" x14ac:dyDescent="0.3">
      <c r="A44" s="6">
        <v>4009</v>
      </c>
      <c r="B44" s="24" t="s">
        <v>70</v>
      </c>
      <c r="C44" s="14">
        <f>Base!C99</f>
        <v>0</v>
      </c>
      <c r="D44" s="48" t="s">
        <v>9</v>
      </c>
      <c r="E44" s="43">
        <v>0</v>
      </c>
      <c r="F44" s="15">
        <v>0</v>
      </c>
    </row>
    <row r="45" spans="1:6" x14ac:dyDescent="0.3">
      <c r="A45" s="12" t="s">
        <v>744</v>
      </c>
      <c r="B45" s="21" t="s">
        <v>72</v>
      </c>
      <c r="C45" s="14">
        <f>Base!C100</f>
        <v>200</v>
      </c>
      <c r="D45" s="47" t="s">
        <v>62</v>
      </c>
      <c r="E45" s="43">
        <f>Base!E100*1.08</f>
        <v>0</v>
      </c>
      <c r="F45" s="15">
        <f t="shared" si="0"/>
        <v>0</v>
      </c>
    </row>
    <row r="46" spans="1:6" s="19" customFormat="1" x14ac:dyDescent="0.3">
      <c r="A46" s="12" t="s">
        <v>745</v>
      </c>
      <c r="B46" s="21" t="s">
        <v>74</v>
      </c>
      <c r="C46" s="14">
        <f>Base!C101</f>
        <v>200</v>
      </c>
      <c r="D46" s="47" t="s">
        <v>62</v>
      </c>
      <c r="E46" s="43">
        <f>Base!E101*1.08</f>
        <v>0</v>
      </c>
      <c r="F46" s="15">
        <f t="shared" si="0"/>
        <v>0</v>
      </c>
    </row>
    <row r="47" spans="1:6" x14ac:dyDescent="0.3">
      <c r="A47" s="12" t="s">
        <v>746</v>
      </c>
      <c r="B47" s="21" t="s">
        <v>76</v>
      </c>
      <c r="C47" s="14">
        <f>Base!C102</f>
        <v>200</v>
      </c>
      <c r="D47" s="47" t="s">
        <v>62</v>
      </c>
      <c r="E47" s="43">
        <f>Base!E102*1.08</f>
        <v>0</v>
      </c>
      <c r="F47" s="15">
        <f t="shared" si="0"/>
        <v>0</v>
      </c>
    </row>
    <row r="48" spans="1:6" x14ac:dyDescent="0.3">
      <c r="A48" s="12" t="s">
        <v>747</v>
      </c>
      <c r="B48" s="21" t="s">
        <v>78</v>
      </c>
      <c r="C48" s="14" t="e">
        <f>Base!#REF!</f>
        <v>#REF!</v>
      </c>
      <c r="D48" s="47" t="s">
        <v>62</v>
      </c>
      <c r="E48" s="43" t="e">
        <f>Base!#REF!*1.08</f>
        <v>#REF!</v>
      </c>
      <c r="F48" s="15">
        <f t="shared" si="0"/>
        <v>0</v>
      </c>
    </row>
    <row r="49" spans="1:6" ht="43.2" x14ac:dyDescent="0.3">
      <c r="A49" s="6">
        <v>4040</v>
      </c>
      <c r="B49" s="24" t="s">
        <v>80</v>
      </c>
      <c r="C49" s="14">
        <f>Base!C103</f>
        <v>0</v>
      </c>
      <c r="D49" s="48" t="s">
        <v>9</v>
      </c>
      <c r="E49" s="43">
        <v>0</v>
      </c>
      <c r="F49" s="15"/>
    </row>
    <row r="50" spans="1:6" s="19" customFormat="1" x14ac:dyDescent="0.3">
      <c r="A50" s="23" t="s">
        <v>748</v>
      </c>
      <c r="B50" s="21" t="s">
        <v>61</v>
      </c>
      <c r="C50" s="14">
        <f>Base!C104</f>
        <v>200</v>
      </c>
      <c r="D50" s="47" t="s">
        <v>62</v>
      </c>
      <c r="E50" s="43">
        <f>Base!E104*1.08</f>
        <v>0</v>
      </c>
      <c r="F50" s="15">
        <f t="shared" si="0"/>
        <v>0</v>
      </c>
    </row>
    <row r="51" spans="1:6" x14ac:dyDescent="0.3">
      <c r="A51" s="12" t="s">
        <v>749</v>
      </c>
      <c r="B51" s="21" t="s">
        <v>64</v>
      </c>
      <c r="C51" s="14">
        <f>Base!C105</f>
        <v>200</v>
      </c>
      <c r="D51" s="47" t="s">
        <v>62</v>
      </c>
      <c r="E51" s="43">
        <f>Base!E105*1.08</f>
        <v>0</v>
      </c>
      <c r="F51" s="15">
        <f t="shared" si="0"/>
        <v>0</v>
      </c>
    </row>
    <row r="52" spans="1:6" x14ac:dyDescent="0.3">
      <c r="A52" s="12" t="s">
        <v>750</v>
      </c>
      <c r="B52" s="21" t="s">
        <v>66</v>
      </c>
      <c r="C52" s="14">
        <f>Base!C106</f>
        <v>200</v>
      </c>
      <c r="D52" s="47" t="s">
        <v>62</v>
      </c>
      <c r="E52" s="43">
        <f>Base!E106*1.08</f>
        <v>0</v>
      </c>
      <c r="F52" s="15">
        <f t="shared" si="0"/>
        <v>0</v>
      </c>
    </row>
    <row r="53" spans="1:6" x14ac:dyDescent="0.3">
      <c r="A53" s="12" t="s">
        <v>751</v>
      </c>
      <c r="B53" s="21" t="s">
        <v>68</v>
      </c>
      <c r="C53" s="14">
        <f>Base!C107</f>
        <v>200</v>
      </c>
      <c r="D53" s="47" t="s">
        <v>62</v>
      </c>
      <c r="E53" s="43">
        <f>Base!E107*1.08</f>
        <v>0</v>
      </c>
      <c r="F53" s="15">
        <f t="shared" si="0"/>
        <v>0</v>
      </c>
    </row>
    <row r="54" spans="1:6" ht="43.2" x14ac:dyDescent="0.3">
      <c r="A54" s="6">
        <v>4011</v>
      </c>
      <c r="B54" s="24" t="s">
        <v>86</v>
      </c>
      <c r="C54" s="14">
        <f>Base!C108</f>
        <v>0</v>
      </c>
      <c r="D54" s="48" t="s">
        <v>9</v>
      </c>
      <c r="E54" s="43">
        <f>Base!E108*1.08</f>
        <v>0</v>
      </c>
      <c r="F54" s="15"/>
    </row>
    <row r="55" spans="1:6" x14ac:dyDescent="0.3">
      <c r="A55" s="23" t="s">
        <v>752</v>
      </c>
      <c r="B55" s="21" t="s">
        <v>72</v>
      </c>
      <c r="C55" s="14">
        <f>Base!C109</f>
        <v>200</v>
      </c>
      <c r="D55" s="47" t="s">
        <v>62</v>
      </c>
      <c r="E55" s="43">
        <f>Base!E109*1.08</f>
        <v>0</v>
      </c>
      <c r="F55" s="15">
        <f t="shared" si="0"/>
        <v>0</v>
      </c>
    </row>
    <row r="56" spans="1:6" s="19" customFormat="1" x14ac:dyDescent="0.3">
      <c r="A56" s="12" t="s">
        <v>753</v>
      </c>
      <c r="B56" s="21" t="s">
        <v>74</v>
      </c>
      <c r="C56" s="14">
        <f>Base!C110</f>
        <v>200</v>
      </c>
      <c r="D56" s="47" t="s">
        <v>62</v>
      </c>
      <c r="E56" s="43">
        <f>Base!E110*1.08</f>
        <v>0</v>
      </c>
      <c r="F56" s="15">
        <f t="shared" si="0"/>
        <v>0</v>
      </c>
    </row>
    <row r="57" spans="1:6" x14ac:dyDescent="0.3">
      <c r="A57" s="12" t="s">
        <v>754</v>
      </c>
      <c r="B57" s="21" t="s">
        <v>76</v>
      </c>
      <c r="C57" s="14">
        <f>Base!C111</f>
        <v>200</v>
      </c>
      <c r="D57" s="47" t="s">
        <v>62</v>
      </c>
      <c r="E57" s="43">
        <f>Base!E111*1.08</f>
        <v>0</v>
      </c>
      <c r="F57" s="15">
        <f t="shared" si="0"/>
        <v>0</v>
      </c>
    </row>
    <row r="58" spans="1:6" x14ac:dyDescent="0.3">
      <c r="A58" s="12" t="s">
        <v>755</v>
      </c>
      <c r="B58" s="21" t="s">
        <v>78</v>
      </c>
      <c r="C58" s="14" t="e">
        <f>Base!#REF!</f>
        <v>#REF!</v>
      </c>
      <c r="D58" s="47" t="s">
        <v>62</v>
      </c>
      <c r="E58" s="43" t="e">
        <f>Base!#REF!*1.08</f>
        <v>#REF!</v>
      </c>
      <c r="F58" s="15">
        <f t="shared" si="0"/>
        <v>0</v>
      </c>
    </row>
    <row r="59" spans="1:6" ht="28.8" x14ac:dyDescent="0.3">
      <c r="A59" s="6">
        <v>4012</v>
      </c>
      <c r="B59" s="24" t="s">
        <v>92</v>
      </c>
      <c r="C59" s="14">
        <f>Base!C51</f>
        <v>0</v>
      </c>
      <c r="D59" s="46" t="s">
        <v>9</v>
      </c>
      <c r="E59" s="43">
        <v>0</v>
      </c>
      <c r="F59" s="15"/>
    </row>
    <row r="60" spans="1:6" x14ac:dyDescent="0.3">
      <c r="A60" s="23" t="s">
        <v>756</v>
      </c>
      <c r="B60" s="21" t="s">
        <v>94</v>
      </c>
      <c r="C60" s="14">
        <f>Base!C52</f>
        <v>1000</v>
      </c>
      <c r="D60" s="34" t="s">
        <v>95</v>
      </c>
      <c r="E60" s="43">
        <f>Base!E52*1.08</f>
        <v>0</v>
      </c>
      <c r="F60" s="15">
        <f t="shared" si="0"/>
        <v>0</v>
      </c>
    </row>
    <row r="61" spans="1:6" x14ac:dyDescent="0.3">
      <c r="A61" s="23" t="s">
        <v>757</v>
      </c>
      <c r="B61" s="21" t="s">
        <v>97</v>
      </c>
      <c r="C61" s="14">
        <f>Base!C53</f>
        <v>1000</v>
      </c>
      <c r="D61" s="34" t="s">
        <v>95</v>
      </c>
      <c r="E61" s="43">
        <f>Base!E53*1.08</f>
        <v>0</v>
      </c>
      <c r="F61" s="15">
        <f t="shared" si="0"/>
        <v>0</v>
      </c>
    </row>
    <row r="62" spans="1:6" x14ac:dyDescent="0.3">
      <c r="A62" s="23" t="s">
        <v>758</v>
      </c>
      <c r="B62" s="21" t="s">
        <v>99</v>
      </c>
      <c r="C62" s="14">
        <f>Base!C54</f>
        <v>1000</v>
      </c>
      <c r="D62" s="34" t="s">
        <v>95</v>
      </c>
      <c r="E62" s="43">
        <f>Base!E54*1.08</f>
        <v>0</v>
      </c>
      <c r="F62" s="15">
        <f t="shared" si="0"/>
        <v>0</v>
      </c>
    </row>
    <row r="63" spans="1:6" x14ac:dyDescent="0.3">
      <c r="A63" s="23" t="s">
        <v>759</v>
      </c>
      <c r="B63" s="21" t="s">
        <v>101</v>
      </c>
      <c r="C63" s="14">
        <f>Base!C55</f>
        <v>1000</v>
      </c>
      <c r="D63" s="34" t="s">
        <v>95</v>
      </c>
      <c r="E63" s="43">
        <f>Base!E55*1.08</f>
        <v>0</v>
      </c>
      <c r="F63" s="15">
        <f t="shared" si="0"/>
        <v>0</v>
      </c>
    </row>
    <row r="64" spans="1:6" s="19" customFormat="1" x14ac:dyDescent="0.3">
      <c r="A64" s="23" t="s">
        <v>760</v>
      </c>
      <c r="B64" s="21" t="s">
        <v>103</v>
      </c>
      <c r="C64" s="14">
        <f>Base!C56</f>
        <v>1000</v>
      </c>
      <c r="D64" s="34" t="s">
        <v>95</v>
      </c>
      <c r="E64" s="43">
        <f>Base!E56*1.08</f>
        <v>0</v>
      </c>
      <c r="F64" s="15">
        <f t="shared" si="0"/>
        <v>0</v>
      </c>
    </row>
    <row r="65" spans="1:6" x14ac:dyDescent="0.3">
      <c r="A65" s="23" t="s">
        <v>761</v>
      </c>
      <c r="B65" s="21" t="s">
        <v>105</v>
      </c>
      <c r="C65" s="14">
        <f>Base!C57</f>
        <v>1000</v>
      </c>
      <c r="D65" s="34" t="s">
        <v>95</v>
      </c>
      <c r="E65" s="43">
        <f>Base!E57*1.08</f>
        <v>0</v>
      </c>
      <c r="F65" s="15">
        <f t="shared" si="0"/>
        <v>0</v>
      </c>
    </row>
    <row r="66" spans="1:6" x14ac:dyDescent="0.3">
      <c r="A66" s="23" t="s">
        <v>762</v>
      </c>
      <c r="B66" s="21" t="s">
        <v>107</v>
      </c>
      <c r="C66" s="14">
        <f>Base!C58</f>
        <v>1000</v>
      </c>
      <c r="D66" s="34" t="s">
        <v>95</v>
      </c>
      <c r="E66" s="43">
        <f>Base!E58*1.08</f>
        <v>0</v>
      </c>
      <c r="F66" s="15">
        <f t="shared" si="0"/>
        <v>0</v>
      </c>
    </row>
    <row r="67" spans="1:6" x14ac:dyDescent="0.3">
      <c r="A67" s="23" t="s">
        <v>763</v>
      </c>
      <c r="B67" s="21" t="s">
        <v>108</v>
      </c>
      <c r="C67" s="14" t="e">
        <f>Base!#REF!</f>
        <v>#REF!</v>
      </c>
      <c r="D67" s="34" t="s">
        <v>95</v>
      </c>
      <c r="E67" s="43" t="e">
        <f>Base!#REF!*1.08</f>
        <v>#REF!</v>
      </c>
      <c r="F67" s="15">
        <f t="shared" si="0"/>
        <v>0</v>
      </c>
    </row>
    <row r="68" spans="1:6" ht="28.8" x14ac:dyDescent="0.3">
      <c r="A68" s="6">
        <v>4013</v>
      </c>
      <c r="B68" s="24" t="s">
        <v>109</v>
      </c>
      <c r="C68" s="14" t="e">
        <f>Base!#REF!</f>
        <v>#REF!</v>
      </c>
      <c r="D68" s="46" t="s">
        <v>9</v>
      </c>
      <c r="E68" s="43">
        <v>0</v>
      </c>
      <c r="F68" s="15"/>
    </row>
    <row r="69" spans="1:6" x14ac:dyDescent="0.3">
      <c r="A69" s="23" t="s">
        <v>764</v>
      </c>
      <c r="B69" s="21" t="s">
        <v>94</v>
      </c>
      <c r="C69" s="14" t="e">
        <f>Base!#REF!</f>
        <v>#REF!</v>
      </c>
      <c r="D69" s="34" t="s">
        <v>95</v>
      </c>
      <c r="E69" s="43" t="e">
        <f>Base!#REF!*1.08</f>
        <v>#REF!</v>
      </c>
      <c r="F69" s="15">
        <f t="shared" si="0"/>
        <v>0</v>
      </c>
    </row>
    <row r="70" spans="1:6" x14ac:dyDescent="0.3">
      <c r="A70" s="23" t="s">
        <v>765</v>
      </c>
      <c r="B70" s="21" t="s">
        <v>97</v>
      </c>
      <c r="C70" s="14" t="e">
        <f>Base!#REF!</f>
        <v>#REF!</v>
      </c>
      <c r="D70" s="34" t="s">
        <v>95</v>
      </c>
      <c r="E70" s="43" t="e">
        <f>Base!#REF!*1.08</f>
        <v>#REF!</v>
      </c>
      <c r="F70" s="15">
        <f t="shared" ref="F70:F133" si="1">IF(ISNUMBER(E70),C70*E70,0)</f>
        <v>0</v>
      </c>
    </row>
    <row r="71" spans="1:6" x14ac:dyDescent="0.3">
      <c r="A71" s="23" t="s">
        <v>766</v>
      </c>
      <c r="B71" s="21" t="s">
        <v>99</v>
      </c>
      <c r="C71" s="14" t="e">
        <f>Base!#REF!</f>
        <v>#REF!</v>
      </c>
      <c r="D71" s="34" t="s">
        <v>95</v>
      </c>
      <c r="E71" s="43" t="e">
        <f>Base!#REF!*1.08</f>
        <v>#REF!</v>
      </c>
      <c r="F71" s="15">
        <f t="shared" si="1"/>
        <v>0</v>
      </c>
    </row>
    <row r="72" spans="1:6" x14ac:dyDescent="0.3">
      <c r="A72" s="23" t="s">
        <v>767</v>
      </c>
      <c r="B72" s="21" t="s">
        <v>101</v>
      </c>
      <c r="C72" s="14" t="e">
        <f>Base!#REF!</f>
        <v>#REF!</v>
      </c>
      <c r="D72" s="34" t="s">
        <v>95</v>
      </c>
      <c r="E72" s="43" t="e">
        <f>Base!#REF!*1.08</f>
        <v>#REF!</v>
      </c>
      <c r="F72" s="15">
        <f t="shared" si="1"/>
        <v>0</v>
      </c>
    </row>
    <row r="73" spans="1:6" s="19" customFormat="1" x14ac:dyDescent="0.3">
      <c r="A73" s="23" t="s">
        <v>768</v>
      </c>
      <c r="B73" s="21" t="s">
        <v>103</v>
      </c>
      <c r="C73" s="14" t="e">
        <f>Base!#REF!</f>
        <v>#REF!</v>
      </c>
      <c r="D73" s="34" t="s">
        <v>95</v>
      </c>
      <c r="E73" s="43" t="e">
        <f>Base!#REF!*1.08</f>
        <v>#REF!</v>
      </c>
      <c r="F73" s="15">
        <f t="shared" si="1"/>
        <v>0</v>
      </c>
    </row>
    <row r="74" spans="1:6" x14ac:dyDescent="0.3">
      <c r="A74" s="23" t="s">
        <v>769</v>
      </c>
      <c r="B74" s="21" t="s">
        <v>105</v>
      </c>
      <c r="C74" s="14" t="e">
        <f>Base!#REF!</f>
        <v>#REF!</v>
      </c>
      <c r="D74" s="34" t="s">
        <v>95</v>
      </c>
      <c r="E74" s="43" t="e">
        <f>Base!#REF!*1.08</f>
        <v>#REF!</v>
      </c>
      <c r="F74" s="15">
        <f t="shared" si="1"/>
        <v>0</v>
      </c>
    </row>
    <row r="75" spans="1:6" x14ac:dyDescent="0.3">
      <c r="A75" s="23" t="s">
        <v>770</v>
      </c>
      <c r="B75" s="21" t="s">
        <v>107</v>
      </c>
      <c r="C75" s="14" t="e">
        <f>Base!#REF!</f>
        <v>#REF!</v>
      </c>
      <c r="D75" s="34" t="s">
        <v>95</v>
      </c>
      <c r="E75" s="43" t="e">
        <f>Base!#REF!*1.08</f>
        <v>#REF!</v>
      </c>
      <c r="F75" s="15">
        <f t="shared" si="1"/>
        <v>0</v>
      </c>
    </row>
    <row r="76" spans="1:6" x14ac:dyDescent="0.3">
      <c r="A76" s="23" t="s">
        <v>771</v>
      </c>
      <c r="B76" s="21" t="s">
        <v>108</v>
      </c>
      <c r="C76" s="14" t="e">
        <f>Base!#REF!</f>
        <v>#REF!</v>
      </c>
      <c r="D76" s="34" t="s">
        <v>95</v>
      </c>
      <c r="E76" s="43" t="e">
        <f>Base!#REF!*1.08</f>
        <v>#REF!</v>
      </c>
      <c r="F76" s="15">
        <f t="shared" si="1"/>
        <v>0</v>
      </c>
    </row>
    <row r="77" spans="1:6" ht="28.8" x14ac:dyDescent="0.3">
      <c r="A77" s="6">
        <v>4014</v>
      </c>
      <c r="B77" s="24" t="s">
        <v>110</v>
      </c>
      <c r="C77" s="14">
        <f>Base!C59</f>
        <v>0</v>
      </c>
      <c r="D77" s="46" t="s">
        <v>9</v>
      </c>
      <c r="E77" s="43">
        <v>0</v>
      </c>
      <c r="F77" s="15"/>
    </row>
    <row r="78" spans="1:6" x14ac:dyDescent="0.3">
      <c r="A78" s="23" t="s">
        <v>772</v>
      </c>
      <c r="B78" s="21" t="s">
        <v>94</v>
      </c>
      <c r="C78" s="14">
        <f>Base!C60</f>
        <v>2500</v>
      </c>
      <c r="D78" s="34" t="s">
        <v>95</v>
      </c>
      <c r="E78" s="43">
        <f>Base!E60*1.08</f>
        <v>0</v>
      </c>
      <c r="F78" s="15">
        <f t="shared" si="1"/>
        <v>0</v>
      </c>
    </row>
    <row r="79" spans="1:6" x14ac:dyDescent="0.3">
      <c r="A79" s="23" t="s">
        <v>773</v>
      </c>
      <c r="B79" s="21" t="s">
        <v>97</v>
      </c>
      <c r="C79" s="14">
        <f>Base!C61</f>
        <v>2500</v>
      </c>
      <c r="D79" s="34" t="s">
        <v>95</v>
      </c>
      <c r="E79" s="43">
        <f>Base!E61*1.08</f>
        <v>0</v>
      </c>
      <c r="F79" s="15">
        <f t="shared" si="1"/>
        <v>0</v>
      </c>
    </row>
    <row r="80" spans="1:6" x14ac:dyDescent="0.3">
      <c r="A80" s="23" t="s">
        <v>774</v>
      </c>
      <c r="B80" s="21" t="s">
        <v>99</v>
      </c>
      <c r="C80" s="14">
        <f>Base!C62</f>
        <v>2500</v>
      </c>
      <c r="D80" s="34" t="s">
        <v>95</v>
      </c>
      <c r="E80" s="43">
        <f>Base!E62*1.08</f>
        <v>0</v>
      </c>
      <c r="F80" s="15">
        <f t="shared" si="1"/>
        <v>0</v>
      </c>
    </row>
    <row r="81" spans="1:6" x14ac:dyDescent="0.3">
      <c r="A81" s="23" t="s">
        <v>775</v>
      </c>
      <c r="B81" s="21" t="s">
        <v>101</v>
      </c>
      <c r="C81" s="14">
        <f>Base!C63</f>
        <v>2500</v>
      </c>
      <c r="D81" s="34" t="s">
        <v>95</v>
      </c>
      <c r="E81" s="43">
        <f>Base!E63*1.08</f>
        <v>0</v>
      </c>
      <c r="F81" s="15">
        <f t="shared" si="1"/>
        <v>0</v>
      </c>
    </row>
    <row r="82" spans="1:6" s="19" customFormat="1" x14ac:dyDescent="0.3">
      <c r="A82" s="23" t="s">
        <v>776</v>
      </c>
      <c r="B82" s="21" t="s">
        <v>103</v>
      </c>
      <c r="C82" s="14">
        <f>Base!C64</f>
        <v>2500</v>
      </c>
      <c r="D82" s="34" t="s">
        <v>95</v>
      </c>
      <c r="E82" s="43">
        <f>Base!E64*1.08</f>
        <v>0</v>
      </c>
      <c r="F82" s="15">
        <f t="shared" si="1"/>
        <v>0</v>
      </c>
    </row>
    <row r="83" spans="1:6" x14ac:dyDescent="0.3">
      <c r="A83" s="23" t="s">
        <v>777</v>
      </c>
      <c r="B83" s="21" t="s">
        <v>105</v>
      </c>
      <c r="C83" s="14">
        <f>Base!C65</f>
        <v>2500</v>
      </c>
      <c r="D83" s="34" t="s">
        <v>95</v>
      </c>
      <c r="E83" s="43">
        <f>Base!E65*1.08</f>
        <v>0</v>
      </c>
      <c r="F83" s="15">
        <f t="shared" si="1"/>
        <v>0</v>
      </c>
    </row>
    <row r="84" spans="1:6" x14ac:dyDescent="0.3">
      <c r="A84" s="23" t="s">
        <v>778</v>
      </c>
      <c r="B84" s="21" t="s">
        <v>107</v>
      </c>
      <c r="C84" s="14">
        <f>Base!C66</f>
        <v>2500</v>
      </c>
      <c r="D84" s="34" t="s">
        <v>95</v>
      </c>
      <c r="E84" s="43">
        <f>Base!E66*1.08</f>
        <v>0</v>
      </c>
      <c r="F84" s="15">
        <f t="shared" si="1"/>
        <v>0</v>
      </c>
    </row>
    <row r="85" spans="1:6" x14ac:dyDescent="0.3">
      <c r="A85" s="23" t="s">
        <v>779</v>
      </c>
      <c r="B85" s="21" t="s">
        <v>108</v>
      </c>
      <c r="C85" s="14" t="e">
        <f>Base!#REF!</f>
        <v>#REF!</v>
      </c>
      <c r="D85" s="34" t="s">
        <v>95</v>
      </c>
      <c r="E85" s="43" t="e">
        <f>Base!#REF!*1.08</f>
        <v>#REF!</v>
      </c>
      <c r="F85" s="15">
        <f t="shared" si="1"/>
        <v>0</v>
      </c>
    </row>
    <row r="86" spans="1:6" s="25" customFormat="1" ht="43.2" x14ac:dyDescent="0.3">
      <c r="A86" s="6">
        <v>4015</v>
      </c>
      <c r="B86" s="22" t="s">
        <v>112</v>
      </c>
      <c r="C86" s="14">
        <f>Base!C9</f>
        <v>0</v>
      </c>
      <c r="D86" s="46" t="s">
        <v>9</v>
      </c>
      <c r="E86" s="43">
        <v>0</v>
      </c>
      <c r="F86" s="15"/>
    </row>
    <row r="87" spans="1:6" s="19" customFormat="1" x14ac:dyDescent="0.3">
      <c r="A87" s="23" t="s">
        <v>780</v>
      </c>
      <c r="B87" s="18" t="s">
        <v>114</v>
      </c>
      <c r="C87" s="14">
        <f>Base!C10</f>
        <v>1000</v>
      </c>
      <c r="D87" s="47" t="s">
        <v>12</v>
      </c>
      <c r="E87" s="43">
        <f>Base!E10*1.08</f>
        <v>0</v>
      </c>
      <c r="F87" s="15">
        <f t="shared" si="1"/>
        <v>0</v>
      </c>
    </row>
    <row r="88" spans="1:6" x14ac:dyDescent="0.3">
      <c r="A88" s="23" t="s">
        <v>781</v>
      </c>
      <c r="B88" s="18" t="s">
        <v>116</v>
      </c>
      <c r="C88" s="14">
        <f>Base!C11</f>
        <v>2500</v>
      </c>
      <c r="D88" s="47" t="s">
        <v>12</v>
      </c>
      <c r="E88" s="43">
        <f>Base!E11*1.08</f>
        <v>0</v>
      </c>
      <c r="F88" s="15">
        <f t="shared" si="1"/>
        <v>0</v>
      </c>
    </row>
    <row r="89" spans="1:6" ht="28.8" x14ac:dyDescent="0.3">
      <c r="A89" s="6">
        <v>4016</v>
      </c>
      <c r="B89" s="20" t="s">
        <v>118</v>
      </c>
      <c r="C89" s="14">
        <f>Base!C23</f>
        <v>0</v>
      </c>
      <c r="D89" s="46" t="s">
        <v>9</v>
      </c>
      <c r="E89" s="43">
        <v>0</v>
      </c>
      <c r="F89" s="15"/>
    </row>
    <row r="90" spans="1:6" x14ac:dyDescent="0.3">
      <c r="A90" s="12" t="s">
        <v>782</v>
      </c>
      <c r="B90" s="21" t="s">
        <v>114</v>
      </c>
      <c r="C90" s="14">
        <f>Base!C24</f>
        <v>10</v>
      </c>
      <c r="D90" s="34" t="s">
        <v>12</v>
      </c>
      <c r="E90" s="43">
        <f>Base!E24*1.08</f>
        <v>0</v>
      </c>
      <c r="F90" s="15">
        <f t="shared" si="1"/>
        <v>0</v>
      </c>
    </row>
    <row r="91" spans="1:6" x14ac:dyDescent="0.3">
      <c r="A91" s="12" t="s">
        <v>783</v>
      </c>
      <c r="B91" s="21" t="s">
        <v>116</v>
      </c>
      <c r="C91" s="14">
        <f>Base!C25</f>
        <v>10</v>
      </c>
      <c r="D91" s="34" t="s">
        <v>12</v>
      </c>
      <c r="E91" s="43">
        <f>Base!E25*1.08</f>
        <v>0</v>
      </c>
      <c r="F91" s="15">
        <f t="shared" si="1"/>
        <v>0</v>
      </c>
    </row>
    <row r="92" spans="1:6" ht="28.8" x14ac:dyDescent="0.3">
      <c r="A92" s="6">
        <v>4017</v>
      </c>
      <c r="B92" s="22" t="s">
        <v>122</v>
      </c>
      <c r="C92" s="14">
        <f>Base!C12</f>
        <v>0</v>
      </c>
      <c r="D92" s="46" t="s">
        <v>9</v>
      </c>
      <c r="E92" s="43">
        <v>0</v>
      </c>
      <c r="F92" s="15"/>
    </row>
    <row r="93" spans="1:6" x14ac:dyDescent="0.3">
      <c r="A93" s="23" t="s">
        <v>784</v>
      </c>
      <c r="B93" s="18" t="s">
        <v>124</v>
      </c>
      <c r="C93" s="14">
        <f>Base!C13</f>
        <v>1000</v>
      </c>
      <c r="D93" s="47" t="s">
        <v>12</v>
      </c>
      <c r="E93" s="43">
        <f>Base!E13*1.08</f>
        <v>0</v>
      </c>
      <c r="F93" s="15">
        <f t="shared" si="1"/>
        <v>0</v>
      </c>
    </row>
    <row r="94" spans="1:6" x14ac:dyDescent="0.3">
      <c r="A94" s="12" t="s">
        <v>785</v>
      </c>
      <c r="B94" s="18" t="s">
        <v>126</v>
      </c>
      <c r="C94" s="14">
        <f>Base!C14</f>
        <v>2500</v>
      </c>
      <c r="D94" s="47" t="s">
        <v>12</v>
      </c>
      <c r="E94" s="43">
        <f>Base!E14*1.08</f>
        <v>0</v>
      </c>
      <c r="F94" s="15">
        <f t="shared" si="1"/>
        <v>0</v>
      </c>
    </row>
    <row r="95" spans="1:6" ht="28.8" x14ac:dyDescent="0.3">
      <c r="A95" s="16">
        <v>4018</v>
      </c>
      <c r="B95" s="24" t="s">
        <v>127</v>
      </c>
      <c r="C95" s="14">
        <f>Base!C127</f>
        <v>0</v>
      </c>
      <c r="D95" s="48" t="s">
        <v>9</v>
      </c>
      <c r="E95" s="43">
        <v>0</v>
      </c>
      <c r="F95" s="15"/>
    </row>
    <row r="96" spans="1:6" s="26" customFormat="1" x14ac:dyDescent="0.3">
      <c r="A96" s="23" t="s">
        <v>786</v>
      </c>
      <c r="B96" s="21" t="s">
        <v>128</v>
      </c>
      <c r="C96" s="14">
        <f>Base!C128</f>
        <v>1</v>
      </c>
      <c r="D96" s="34" t="s">
        <v>12</v>
      </c>
      <c r="E96" s="43">
        <f>Base!E128*1.08</f>
        <v>0</v>
      </c>
      <c r="F96" s="15">
        <f t="shared" si="1"/>
        <v>0</v>
      </c>
    </row>
    <row r="97" spans="1:7" x14ac:dyDescent="0.3">
      <c r="A97" s="23" t="s">
        <v>787</v>
      </c>
      <c r="B97" s="18" t="s">
        <v>129</v>
      </c>
      <c r="C97" s="14">
        <f>Base!C129</f>
        <v>1</v>
      </c>
      <c r="D97" s="47" t="s">
        <v>12</v>
      </c>
      <c r="E97" s="43">
        <f>Base!E129*1.08</f>
        <v>0</v>
      </c>
      <c r="F97" s="15">
        <f t="shared" si="1"/>
        <v>0</v>
      </c>
    </row>
    <row r="98" spans="1:7" ht="28.8" x14ac:dyDescent="0.3">
      <c r="A98" s="23" t="s">
        <v>788</v>
      </c>
      <c r="B98" s="18" t="s">
        <v>130</v>
      </c>
      <c r="C98" s="14">
        <f>Base!C130</f>
        <v>1000</v>
      </c>
      <c r="D98" s="47" t="s">
        <v>131</v>
      </c>
      <c r="E98" s="43">
        <f>Base!E130*1.08</f>
        <v>0</v>
      </c>
      <c r="F98" s="15">
        <f t="shared" si="1"/>
        <v>0</v>
      </c>
      <c r="G98" s="27"/>
    </row>
    <row r="99" spans="1:7" x14ac:dyDescent="0.3">
      <c r="A99" s="23" t="s">
        <v>789</v>
      </c>
      <c r="B99" s="18" t="s">
        <v>132</v>
      </c>
      <c r="C99" s="14">
        <f>Base!C131</f>
        <v>1000</v>
      </c>
      <c r="D99" s="47" t="s">
        <v>131</v>
      </c>
      <c r="E99" s="43">
        <f>Base!E131*1.08</f>
        <v>0</v>
      </c>
      <c r="F99" s="15">
        <f t="shared" si="1"/>
        <v>0</v>
      </c>
      <c r="G99" s="27"/>
    </row>
    <row r="100" spans="1:7" x14ac:dyDescent="0.3">
      <c r="A100" s="23" t="s">
        <v>790</v>
      </c>
      <c r="B100" s="18" t="s">
        <v>133</v>
      </c>
      <c r="C100" s="14">
        <f>Base!C132</f>
        <v>1000</v>
      </c>
      <c r="D100" s="47" t="s">
        <v>131</v>
      </c>
      <c r="E100" s="43">
        <f>Base!E132*1.08</f>
        <v>0</v>
      </c>
      <c r="F100" s="15">
        <f t="shared" si="1"/>
        <v>0</v>
      </c>
      <c r="G100" s="27"/>
    </row>
    <row r="101" spans="1:7" x14ac:dyDescent="0.3">
      <c r="A101" s="23" t="s">
        <v>791</v>
      </c>
      <c r="B101" s="28" t="s">
        <v>134</v>
      </c>
      <c r="C101" s="14">
        <f>Base!C133</f>
        <v>1000</v>
      </c>
      <c r="D101" s="47" t="s">
        <v>131</v>
      </c>
      <c r="E101" s="43">
        <f>Base!E133*1.08</f>
        <v>0</v>
      </c>
      <c r="F101" s="15">
        <f t="shared" si="1"/>
        <v>0</v>
      </c>
      <c r="G101" s="27"/>
    </row>
    <row r="102" spans="1:7" ht="28.8" x14ac:dyDescent="0.3">
      <c r="A102" s="23" t="s">
        <v>792</v>
      </c>
      <c r="B102" s="21" t="s">
        <v>135</v>
      </c>
      <c r="C102" s="14">
        <f>Base!C134</f>
        <v>50</v>
      </c>
      <c r="D102" s="47" t="s">
        <v>131</v>
      </c>
      <c r="E102" s="43">
        <f>Base!E134*1.08</f>
        <v>0</v>
      </c>
      <c r="F102" s="15">
        <f t="shared" si="1"/>
        <v>0</v>
      </c>
      <c r="G102" s="27"/>
    </row>
    <row r="103" spans="1:7" ht="28.8" x14ac:dyDescent="0.3">
      <c r="A103" s="23" t="s">
        <v>793</v>
      </c>
      <c r="B103" s="21" t="s">
        <v>136</v>
      </c>
      <c r="C103" s="14">
        <f>Base!C135</f>
        <v>50</v>
      </c>
      <c r="D103" s="47" t="s">
        <v>131</v>
      </c>
      <c r="E103" s="43">
        <f>Base!E135*1.08</f>
        <v>0</v>
      </c>
      <c r="F103" s="15">
        <f t="shared" si="1"/>
        <v>0</v>
      </c>
      <c r="G103" s="27"/>
    </row>
    <row r="104" spans="1:7" ht="28.8" x14ac:dyDescent="0.3">
      <c r="A104" s="23" t="s">
        <v>794</v>
      </c>
      <c r="B104" s="21" t="s">
        <v>137</v>
      </c>
      <c r="C104" s="14">
        <f>Base!C136</f>
        <v>50</v>
      </c>
      <c r="D104" s="47" t="s">
        <v>131</v>
      </c>
      <c r="E104" s="43">
        <f>Base!E136*1.08</f>
        <v>0</v>
      </c>
      <c r="F104" s="15">
        <f t="shared" si="1"/>
        <v>0</v>
      </c>
      <c r="G104" s="27"/>
    </row>
    <row r="105" spans="1:7" x14ac:dyDescent="0.3">
      <c r="A105" s="29" t="s">
        <v>795</v>
      </c>
      <c r="B105" s="30" t="s">
        <v>138</v>
      </c>
      <c r="C105" s="14" t="e">
        <f>Base!#REF!</f>
        <v>#REF!</v>
      </c>
      <c r="D105" s="47" t="s">
        <v>131</v>
      </c>
      <c r="E105" s="43" t="e">
        <f>Base!#REF!*1.08</f>
        <v>#REF!</v>
      </c>
      <c r="F105" s="15">
        <f t="shared" si="1"/>
        <v>0</v>
      </c>
      <c r="G105" s="27"/>
    </row>
    <row r="106" spans="1:7" x14ac:dyDescent="0.3">
      <c r="A106" s="29" t="s">
        <v>796</v>
      </c>
      <c r="B106" s="30" t="s">
        <v>139</v>
      </c>
      <c r="C106" s="14" t="e">
        <f>Base!#REF!</f>
        <v>#REF!</v>
      </c>
      <c r="D106" s="47" t="s">
        <v>131</v>
      </c>
      <c r="E106" s="43" t="e">
        <f>Base!#REF!*1.08</f>
        <v>#REF!</v>
      </c>
      <c r="F106" s="15">
        <f t="shared" si="1"/>
        <v>0</v>
      </c>
      <c r="G106" s="27"/>
    </row>
    <row r="107" spans="1:7" x14ac:dyDescent="0.3">
      <c r="A107" s="31" t="s">
        <v>797</v>
      </c>
      <c r="B107" s="32" t="s">
        <v>140</v>
      </c>
      <c r="C107" s="14" t="e">
        <f>Base!#REF!</f>
        <v>#REF!</v>
      </c>
      <c r="D107" s="47" t="s">
        <v>131</v>
      </c>
      <c r="E107" s="43" t="e">
        <f>Base!#REF!*1.08</f>
        <v>#REF!</v>
      </c>
      <c r="F107" s="15">
        <f t="shared" si="1"/>
        <v>0</v>
      </c>
      <c r="G107" s="27"/>
    </row>
    <row r="108" spans="1:7" s="25" customFormat="1" x14ac:dyDescent="0.3">
      <c r="A108" s="31" t="s">
        <v>798</v>
      </c>
      <c r="B108" s="32" t="s">
        <v>141</v>
      </c>
      <c r="C108" s="14" t="e">
        <f>Base!#REF!</f>
        <v>#REF!</v>
      </c>
      <c r="D108" s="47" t="s">
        <v>131</v>
      </c>
      <c r="E108" s="43" t="e">
        <f>Base!#REF!*1.08</f>
        <v>#REF!</v>
      </c>
      <c r="F108" s="15">
        <f t="shared" si="1"/>
        <v>0</v>
      </c>
    </row>
    <row r="109" spans="1:7" s="35" customFormat="1" ht="28.8" x14ac:dyDescent="0.3">
      <c r="A109" s="33">
        <v>4019</v>
      </c>
      <c r="B109" s="28" t="s">
        <v>143</v>
      </c>
      <c r="C109" s="14">
        <f>Base!C119</f>
        <v>0</v>
      </c>
      <c r="D109" s="34" t="s">
        <v>9</v>
      </c>
      <c r="E109" s="43">
        <v>0</v>
      </c>
      <c r="F109" s="15"/>
    </row>
    <row r="110" spans="1:7" s="35" customFormat="1" x14ac:dyDescent="0.3">
      <c r="A110" s="36" t="s">
        <v>799</v>
      </c>
      <c r="B110" s="28" t="s">
        <v>145</v>
      </c>
      <c r="C110" s="14">
        <f>Base!C120</f>
        <v>1</v>
      </c>
      <c r="D110" s="34" t="s">
        <v>146</v>
      </c>
      <c r="E110" s="43">
        <f>Base!E120*1.08</f>
        <v>0</v>
      </c>
      <c r="F110" s="15">
        <f t="shared" si="1"/>
        <v>0</v>
      </c>
    </row>
    <row r="111" spans="1:7" s="35" customFormat="1" x14ac:dyDescent="0.3">
      <c r="A111" s="36" t="s">
        <v>800</v>
      </c>
      <c r="B111" s="28" t="s">
        <v>148</v>
      </c>
      <c r="C111" s="14">
        <f>Base!C121</f>
        <v>1</v>
      </c>
      <c r="D111" s="34" t="s">
        <v>146</v>
      </c>
      <c r="E111" s="43">
        <f>Base!E121*1.08</f>
        <v>0</v>
      </c>
      <c r="F111" s="15">
        <f t="shared" si="1"/>
        <v>0</v>
      </c>
    </row>
    <row r="112" spans="1:7" s="35" customFormat="1" x14ac:dyDescent="0.3">
      <c r="A112" s="36" t="s">
        <v>801</v>
      </c>
      <c r="B112" s="28" t="s">
        <v>150</v>
      </c>
      <c r="C112" s="14">
        <f>Base!C122</f>
        <v>0</v>
      </c>
      <c r="D112" s="34" t="s">
        <v>146</v>
      </c>
      <c r="E112" s="43">
        <f>Base!E122*1.08</f>
        <v>0</v>
      </c>
      <c r="F112" s="15">
        <f t="shared" si="1"/>
        <v>0</v>
      </c>
    </row>
    <row r="113" spans="1:6" s="35" customFormat="1" x14ac:dyDescent="0.3">
      <c r="A113" s="36" t="s">
        <v>802</v>
      </c>
      <c r="B113" s="28" t="s">
        <v>128</v>
      </c>
      <c r="C113" s="14" t="e">
        <f>Base!#REF!</f>
        <v>#REF!</v>
      </c>
      <c r="D113" s="34" t="s">
        <v>146</v>
      </c>
      <c r="E113" s="43" t="e">
        <f>Base!#REF!*1.08</f>
        <v>#REF!</v>
      </c>
      <c r="F113" s="15">
        <f t="shared" si="1"/>
        <v>0</v>
      </c>
    </row>
    <row r="114" spans="1:6" s="35" customFormat="1" x14ac:dyDescent="0.3">
      <c r="A114" s="36" t="s">
        <v>803</v>
      </c>
      <c r="B114" s="28" t="s">
        <v>129</v>
      </c>
      <c r="C114" s="14" t="e">
        <f>Base!#REF!</f>
        <v>#REF!</v>
      </c>
      <c r="D114" s="34" t="s">
        <v>146</v>
      </c>
      <c r="E114" s="43" t="e">
        <f>Base!#REF!*1.08</f>
        <v>#REF!</v>
      </c>
      <c r="F114" s="15">
        <f t="shared" si="1"/>
        <v>0</v>
      </c>
    </row>
    <row r="115" spans="1:6" s="25" customFormat="1" ht="43.2" x14ac:dyDescent="0.3">
      <c r="A115" s="6" t="s">
        <v>879</v>
      </c>
      <c r="B115" s="24" t="s">
        <v>152</v>
      </c>
      <c r="C115" s="14">
        <f>Base!C137</f>
        <v>0</v>
      </c>
      <c r="D115" s="46" t="s">
        <v>9</v>
      </c>
      <c r="E115" s="43">
        <v>0</v>
      </c>
      <c r="F115" s="15"/>
    </row>
    <row r="116" spans="1:6" s="26" customFormat="1" x14ac:dyDescent="0.3">
      <c r="A116" s="37" t="s">
        <v>880</v>
      </c>
      <c r="B116" s="18" t="s">
        <v>154</v>
      </c>
      <c r="C116" s="14">
        <f>Base!C138</f>
        <v>500</v>
      </c>
      <c r="D116" s="34" t="s">
        <v>12</v>
      </c>
      <c r="E116" s="43">
        <f>Base!E138*1.08</f>
        <v>0</v>
      </c>
      <c r="F116" s="15">
        <f t="shared" si="1"/>
        <v>0</v>
      </c>
    </row>
    <row r="117" spans="1:6" s="25" customFormat="1" x14ac:dyDescent="0.3">
      <c r="A117" s="37" t="s">
        <v>881</v>
      </c>
      <c r="B117" s="18" t="s">
        <v>156</v>
      </c>
      <c r="C117" s="14">
        <f>Base!C139</f>
        <v>1000</v>
      </c>
      <c r="D117" s="34" t="s">
        <v>12</v>
      </c>
      <c r="E117" s="43">
        <f>Base!E139*1.08</f>
        <v>0</v>
      </c>
      <c r="F117" s="15">
        <f t="shared" si="1"/>
        <v>0</v>
      </c>
    </row>
    <row r="118" spans="1:6" s="25" customFormat="1" ht="43.2" x14ac:dyDescent="0.3">
      <c r="A118" s="6">
        <v>4021</v>
      </c>
      <c r="B118" s="22" t="s">
        <v>158</v>
      </c>
      <c r="C118" s="14">
        <f>Base!C15</f>
        <v>0</v>
      </c>
      <c r="D118" s="46" t="s">
        <v>9</v>
      </c>
      <c r="E118" s="43">
        <v>0</v>
      </c>
      <c r="F118" s="15"/>
    </row>
    <row r="119" spans="1:6" s="19" customFormat="1" x14ac:dyDescent="0.3">
      <c r="A119" s="23" t="s">
        <v>804</v>
      </c>
      <c r="B119" s="18" t="s">
        <v>160</v>
      </c>
      <c r="C119" s="14">
        <f>Base!C16</f>
        <v>1000</v>
      </c>
      <c r="D119" s="34" t="s">
        <v>12</v>
      </c>
      <c r="E119" s="43">
        <f>Base!E16*1.08</f>
        <v>0</v>
      </c>
      <c r="F119" s="15">
        <f t="shared" si="1"/>
        <v>0</v>
      </c>
    </row>
    <row r="120" spans="1:6" x14ac:dyDescent="0.3">
      <c r="A120" s="23" t="s">
        <v>805</v>
      </c>
      <c r="B120" s="18" t="s">
        <v>162</v>
      </c>
      <c r="C120" s="14">
        <f>Base!C17</f>
        <v>2500</v>
      </c>
      <c r="D120" s="34" t="s">
        <v>12</v>
      </c>
      <c r="E120" s="43">
        <f>Base!E17*1.08</f>
        <v>0</v>
      </c>
      <c r="F120" s="15">
        <f t="shared" si="1"/>
        <v>0</v>
      </c>
    </row>
    <row r="121" spans="1:6" ht="43.2" x14ac:dyDescent="0.3">
      <c r="A121" s="6">
        <v>4022</v>
      </c>
      <c r="B121" s="20" t="s">
        <v>164</v>
      </c>
      <c r="C121" s="14">
        <f>Base!C26</f>
        <v>0</v>
      </c>
      <c r="D121" s="46" t="s">
        <v>9</v>
      </c>
      <c r="E121" s="43">
        <v>0</v>
      </c>
      <c r="F121" s="15"/>
    </row>
    <row r="122" spans="1:6" x14ac:dyDescent="0.3">
      <c r="A122" s="12" t="s">
        <v>806</v>
      </c>
      <c r="B122" s="21" t="s">
        <v>160</v>
      </c>
      <c r="C122" s="14">
        <f>Base!C27</f>
        <v>10</v>
      </c>
      <c r="D122" s="34" t="s">
        <v>12</v>
      </c>
      <c r="E122" s="43">
        <f>Base!E27*1.08</f>
        <v>0</v>
      </c>
      <c r="F122" s="15">
        <f t="shared" si="1"/>
        <v>0</v>
      </c>
    </row>
    <row r="123" spans="1:6" x14ac:dyDescent="0.3">
      <c r="A123" s="12" t="s">
        <v>807</v>
      </c>
      <c r="B123" s="21" t="s">
        <v>162</v>
      </c>
      <c r="C123" s="14">
        <f>Base!C28</f>
        <v>10</v>
      </c>
      <c r="D123" s="34" t="s">
        <v>12</v>
      </c>
      <c r="E123" s="43">
        <f>Base!E28*1.08</f>
        <v>0</v>
      </c>
      <c r="F123" s="15">
        <f t="shared" si="1"/>
        <v>0</v>
      </c>
    </row>
    <row r="124" spans="1:6" ht="28.8" x14ac:dyDescent="0.3">
      <c r="A124" s="6">
        <v>4023</v>
      </c>
      <c r="B124" s="24" t="s">
        <v>168</v>
      </c>
      <c r="C124" s="14">
        <f>Base!C67</f>
        <v>0</v>
      </c>
      <c r="D124" s="46" t="s">
        <v>9</v>
      </c>
      <c r="E124" s="43">
        <v>0</v>
      </c>
      <c r="F124" s="15"/>
    </row>
    <row r="125" spans="1:6" x14ac:dyDescent="0.3">
      <c r="A125" s="12" t="s">
        <v>808</v>
      </c>
      <c r="B125" s="28" t="s">
        <v>170</v>
      </c>
      <c r="C125" s="14">
        <f>Base!C68</f>
        <v>125</v>
      </c>
      <c r="D125" s="50" t="s">
        <v>12</v>
      </c>
      <c r="E125" s="43">
        <f>Base!E68*1.08</f>
        <v>0</v>
      </c>
      <c r="F125" s="15">
        <f t="shared" si="1"/>
        <v>0</v>
      </c>
    </row>
    <row r="126" spans="1:6" x14ac:dyDescent="0.3">
      <c r="A126" s="12" t="s">
        <v>809</v>
      </c>
      <c r="B126" s="28" t="s">
        <v>172</v>
      </c>
      <c r="C126" s="14">
        <f>Base!C69</f>
        <v>1750</v>
      </c>
      <c r="D126" s="50" t="s">
        <v>12</v>
      </c>
      <c r="E126" s="43">
        <f>Base!E69*1.08</f>
        <v>0</v>
      </c>
      <c r="F126" s="15">
        <f t="shared" si="1"/>
        <v>0</v>
      </c>
    </row>
    <row r="127" spans="1:6" s="19" customFormat="1" x14ac:dyDescent="0.3">
      <c r="A127" s="12" t="s">
        <v>810</v>
      </c>
      <c r="B127" s="28" t="s">
        <v>174</v>
      </c>
      <c r="C127" s="14">
        <f>Base!C70</f>
        <v>100</v>
      </c>
      <c r="D127" s="50" t="s">
        <v>12</v>
      </c>
      <c r="E127" s="43">
        <f>Base!E70*1.08</f>
        <v>0</v>
      </c>
      <c r="F127" s="15">
        <f t="shared" si="1"/>
        <v>0</v>
      </c>
    </row>
    <row r="128" spans="1:6" x14ac:dyDescent="0.3">
      <c r="A128" s="12" t="s">
        <v>811</v>
      </c>
      <c r="B128" s="28" t="s">
        <v>175</v>
      </c>
      <c r="C128" s="14">
        <f>Base!C71</f>
        <v>25</v>
      </c>
      <c r="D128" s="50" t="s">
        <v>12</v>
      </c>
      <c r="E128" s="43">
        <f>Base!E71*1.08</f>
        <v>0</v>
      </c>
      <c r="F128" s="15">
        <f t="shared" si="1"/>
        <v>0</v>
      </c>
    </row>
    <row r="129" spans="1:6" ht="43.2" x14ac:dyDescent="0.3">
      <c r="A129" s="6">
        <v>4024</v>
      </c>
      <c r="B129" s="17" t="s">
        <v>177</v>
      </c>
      <c r="C129" s="14">
        <f>Base!C72</f>
        <v>0</v>
      </c>
      <c r="D129" s="46" t="s">
        <v>9</v>
      </c>
      <c r="E129" s="43">
        <v>0</v>
      </c>
      <c r="F129" s="15"/>
    </row>
    <row r="130" spans="1:6" x14ac:dyDescent="0.3">
      <c r="A130" s="23" t="s">
        <v>812</v>
      </c>
      <c r="B130" s="28" t="s">
        <v>179</v>
      </c>
      <c r="C130" s="14">
        <f>Base!C73</f>
        <v>125</v>
      </c>
      <c r="D130" s="50" t="s">
        <v>12</v>
      </c>
      <c r="E130" s="43">
        <f>Base!E73*1.08</f>
        <v>0</v>
      </c>
      <c r="F130" s="15">
        <f t="shared" si="1"/>
        <v>0</v>
      </c>
    </row>
    <row r="131" spans="1:6" x14ac:dyDescent="0.3">
      <c r="A131" s="23" t="s">
        <v>813</v>
      </c>
      <c r="B131" s="28" t="s">
        <v>181</v>
      </c>
      <c r="C131" s="14">
        <f>Base!C74</f>
        <v>1750</v>
      </c>
      <c r="D131" s="50" t="s">
        <v>12</v>
      </c>
      <c r="E131" s="43">
        <f>Base!E74*1.08</f>
        <v>0</v>
      </c>
      <c r="F131" s="15">
        <f t="shared" si="1"/>
        <v>0</v>
      </c>
    </row>
    <row r="132" spans="1:6" s="26" customFormat="1" x14ac:dyDescent="0.3">
      <c r="A132" s="23" t="s">
        <v>814</v>
      </c>
      <c r="B132" s="28" t="s">
        <v>183</v>
      </c>
      <c r="C132" s="14">
        <f>Base!C75</f>
        <v>100</v>
      </c>
      <c r="D132" s="50" t="s">
        <v>12</v>
      </c>
      <c r="E132" s="43">
        <f>Base!E75*1.08</f>
        <v>0</v>
      </c>
      <c r="F132" s="15">
        <f t="shared" si="1"/>
        <v>0</v>
      </c>
    </row>
    <row r="133" spans="1:6" x14ac:dyDescent="0.3">
      <c r="A133" s="23" t="s">
        <v>815</v>
      </c>
      <c r="B133" s="28" t="s">
        <v>184</v>
      </c>
      <c r="C133" s="14" t="e">
        <f>Base!#REF!</f>
        <v>#REF!</v>
      </c>
      <c r="D133" s="50" t="s">
        <v>12</v>
      </c>
      <c r="E133" s="43" t="e">
        <f>Base!#REF!*1.08</f>
        <v>#REF!</v>
      </c>
      <c r="F133" s="15">
        <f t="shared" si="1"/>
        <v>0</v>
      </c>
    </row>
    <row r="134" spans="1:6" ht="28.8" x14ac:dyDescent="0.3">
      <c r="A134" s="6">
        <v>4025</v>
      </c>
      <c r="B134" s="24" t="s">
        <v>186</v>
      </c>
      <c r="C134" s="14">
        <f>Base!C76</f>
        <v>0</v>
      </c>
      <c r="D134" s="46" t="s">
        <v>9</v>
      </c>
      <c r="E134" s="43">
        <v>0</v>
      </c>
      <c r="F134" s="15"/>
    </row>
    <row r="135" spans="1:6" x14ac:dyDescent="0.3">
      <c r="A135" s="23" t="s">
        <v>816</v>
      </c>
      <c r="B135" s="21" t="s">
        <v>170</v>
      </c>
      <c r="C135" s="14">
        <f>Base!C77</f>
        <v>500</v>
      </c>
      <c r="D135" s="34" t="s">
        <v>95</v>
      </c>
      <c r="E135" s="43">
        <f>Base!E77*1.08</f>
        <v>0</v>
      </c>
      <c r="F135" s="15">
        <f t="shared" ref="F135:F196" si="2">IF(ISNUMBER(E135),C135*E135,0)</f>
        <v>0</v>
      </c>
    </row>
    <row r="136" spans="1:6" x14ac:dyDescent="0.3">
      <c r="A136" s="23" t="s">
        <v>817</v>
      </c>
      <c r="B136" s="21" t="s">
        <v>172</v>
      </c>
      <c r="C136" s="14">
        <f>Base!C78</f>
        <v>500</v>
      </c>
      <c r="D136" s="34" t="s">
        <v>95</v>
      </c>
      <c r="E136" s="43">
        <f>Base!E78*1.08</f>
        <v>0</v>
      </c>
      <c r="F136" s="15">
        <f t="shared" si="2"/>
        <v>0</v>
      </c>
    </row>
    <row r="137" spans="1:6" x14ac:dyDescent="0.3">
      <c r="A137" s="23" t="s">
        <v>818</v>
      </c>
      <c r="B137" s="21" t="s">
        <v>174</v>
      </c>
      <c r="C137" s="14">
        <f>Base!C79</f>
        <v>500</v>
      </c>
      <c r="D137" s="34" t="s">
        <v>95</v>
      </c>
      <c r="E137" s="43">
        <f>Base!E79*1.08</f>
        <v>0</v>
      </c>
      <c r="F137" s="15">
        <f t="shared" si="2"/>
        <v>0</v>
      </c>
    </row>
    <row r="138" spans="1:6" x14ac:dyDescent="0.3">
      <c r="A138" s="23" t="s">
        <v>819</v>
      </c>
      <c r="B138" s="21" t="s">
        <v>190</v>
      </c>
      <c r="C138" s="14">
        <f>Base!C80</f>
        <v>500</v>
      </c>
      <c r="D138" s="34" t="s">
        <v>95</v>
      </c>
      <c r="E138" s="43">
        <f>Base!E80*1.08</f>
        <v>0</v>
      </c>
      <c r="F138" s="15">
        <f t="shared" si="2"/>
        <v>0</v>
      </c>
    </row>
    <row r="139" spans="1:6" x14ac:dyDescent="0.3">
      <c r="A139" s="23" t="s">
        <v>820</v>
      </c>
      <c r="B139" s="21" t="s">
        <v>179</v>
      </c>
      <c r="C139" s="14">
        <f>Base!C81</f>
        <v>500</v>
      </c>
      <c r="D139" s="34" t="s">
        <v>95</v>
      </c>
      <c r="E139" s="43">
        <f>Base!E81*1.08</f>
        <v>0</v>
      </c>
      <c r="F139" s="15">
        <f t="shared" si="2"/>
        <v>0</v>
      </c>
    </row>
    <row r="140" spans="1:6" x14ac:dyDescent="0.3">
      <c r="A140" s="23" t="s">
        <v>821</v>
      </c>
      <c r="B140" s="21" t="s">
        <v>181</v>
      </c>
      <c r="C140" s="14">
        <f>Base!C82</f>
        <v>500</v>
      </c>
      <c r="D140" s="34" t="s">
        <v>95</v>
      </c>
      <c r="E140" s="43">
        <f>Base!E82*1.08</f>
        <v>0</v>
      </c>
      <c r="F140" s="15">
        <f t="shared" si="2"/>
        <v>0</v>
      </c>
    </row>
    <row r="141" spans="1:6" x14ac:dyDescent="0.3">
      <c r="A141" s="23" t="s">
        <v>822</v>
      </c>
      <c r="B141" s="21" t="s">
        <v>183</v>
      </c>
      <c r="C141" s="14">
        <f>Base!C83</f>
        <v>500</v>
      </c>
      <c r="D141" s="34" t="s">
        <v>95</v>
      </c>
      <c r="E141" s="43">
        <f>Base!E83*1.08</f>
        <v>0</v>
      </c>
      <c r="F141" s="15">
        <f t="shared" si="2"/>
        <v>0</v>
      </c>
    </row>
    <row r="142" spans="1:6" x14ac:dyDescent="0.3">
      <c r="A142" s="23" t="s">
        <v>823</v>
      </c>
      <c r="B142" s="21" t="s">
        <v>191</v>
      </c>
      <c r="C142" s="14" t="e">
        <f>Base!#REF!</f>
        <v>#REF!</v>
      </c>
      <c r="D142" s="34" t="s">
        <v>95</v>
      </c>
      <c r="E142" s="43" t="e">
        <f>Base!#REF!*1.08</f>
        <v>#REF!</v>
      </c>
      <c r="F142" s="15">
        <f t="shared" si="2"/>
        <v>0</v>
      </c>
    </row>
    <row r="143" spans="1:6" ht="28.8" x14ac:dyDescent="0.3">
      <c r="A143" s="6">
        <v>4026</v>
      </c>
      <c r="B143" s="24" t="s">
        <v>193</v>
      </c>
      <c r="C143" s="14" t="e">
        <f>Base!#REF!</f>
        <v>#REF!</v>
      </c>
      <c r="D143" s="46" t="s">
        <v>9</v>
      </c>
      <c r="E143" s="43">
        <v>0</v>
      </c>
      <c r="F143" s="15"/>
    </row>
    <row r="144" spans="1:6" x14ac:dyDescent="0.3">
      <c r="A144" s="23" t="s">
        <v>824</v>
      </c>
      <c r="B144" s="21" t="s">
        <v>170</v>
      </c>
      <c r="C144" s="14" t="e">
        <f>Base!#REF!</f>
        <v>#REF!</v>
      </c>
      <c r="D144" s="34" t="s">
        <v>95</v>
      </c>
      <c r="E144" s="43" t="e">
        <f>Base!#REF!*1.08</f>
        <v>#REF!</v>
      </c>
      <c r="F144" s="15">
        <f t="shared" si="2"/>
        <v>0</v>
      </c>
    </row>
    <row r="145" spans="1:6" x14ac:dyDescent="0.3">
      <c r="A145" s="23" t="s">
        <v>825</v>
      </c>
      <c r="B145" s="21" t="s">
        <v>172</v>
      </c>
      <c r="C145" s="14" t="e">
        <f>Base!#REF!</f>
        <v>#REF!</v>
      </c>
      <c r="D145" s="34" t="s">
        <v>95</v>
      </c>
      <c r="E145" s="43" t="e">
        <f>Base!#REF!*1.08</f>
        <v>#REF!</v>
      </c>
      <c r="F145" s="15">
        <f t="shared" si="2"/>
        <v>0</v>
      </c>
    </row>
    <row r="146" spans="1:6" x14ac:dyDescent="0.3">
      <c r="A146" s="23" t="s">
        <v>826</v>
      </c>
      <c r="B146" s="21" t="s">
        <v>174</v>
      </c>
      <c r="C146" s="14" t="e">
        <f>Base!#REF!</f>
        <v>#REF!</v>
      </c>
      <c r="D146" s="34" t="s">
        <v>95</v>
      </c>
      <c r="E146" s="43" t="e">
        <f>Base!#REF!*1.08</f>
        <v>#REF!</v>
      </c>
      <c r="F146" s="15">
        <f t="shared" si="2"/>
        <v>0</v>
      </c>
    </row>
    <row r="147" spans="1:6" x14ac:dyDescent="0.3">
      <c r="A147" s="23" t="s">
        <v>827</v>
      </c>
      <c r="B147" s="21" t="s">
        <v>190</v>
      </c>
      <c r="C147" s="14" t="e">
        <f>Base!#REF!</f>
        <v>#REF!</v>
      </c>
      <c r="D147" s="34" t="s">
        <v>95</v>
      </c>
      <c r="E147" s="43" t="e">
        <f>Base!#REF!*1.08</f>
        <v>#REF!</v>
      </c>
      <c r="F147" s="15">
        <f t="shared" si="2"/>
        <v>0</v>
      </c>
    </row>
    <row r="148" spans="1:6" x14ac:dyDescent="0.3">
      <c r="A148" s="23" t="s">
        <v>828</v>
      </c>
      <c r="B148" s="21" t="s">
        <v>179</v>
      </c>
      <c r="C148" s="14" t="e">
        <f>Base!#REF!</f>
        <v>#REF!</v>
      </c>
      <c r="D148" s="34" t="s">
        <v>95</v>
      </c>
      <c r="E148" s="43" t="e">
        <f>Base!#REF!*1.08</f>
        <v>#REF!</v>
      </c>
      <c r="F148" s="15">
        <f t="shared" si="2"/>
        <v>0</v>
      </c>
    </row>
    <row r="149" spans="1:6" x14ac:dyDescent="0.3">
      <c r="A149" s="23" t="s">
        <v>829</v>
      </c>
      <c r="B149" s="21" t="s">
        <v>181</v>
      </c>
      <c r="C149" s="14" t="e">
        <f>Base!#REF!</f>
        <v>#REF!</v>
      </c>
      <c r="D149" s="34" t="s">
        <v>95</v>
      </c>
      <c r="E149" s="43" t="e">
        <f>Base!#REF!*1.08</f>
        <v>#REF!</v>
      </c>
      <c r="F149" s="15">
        <f t="shared" si="2"/>
        <v>0</v>
      </c>
    </row>
    <row r="150" spans="1:6" x14ac:dyDescent="0.3">
      <c r="A150" s="23" t="s">
        <v>830</v>
      </c>
      <c r="B150" s="21" t="s">
        <v>183</v>
      </c>
      <c r="C150" s="14" t="e">
        <f>Base!#REF!</f>
        <v>#REF!</v>
      </c>
      <c r="D150" s="34" t="s">
        <v>95</v>
      </c>
      <c r="E150" s="43" t="e">
        <f>Base!#REF!*1.08</f>
        <v>#REF!</v>
      </c>
      <c r="F150" s="15">
        <f t="shared" si="2"/>
        <v>0</v>
      </c>
    </row>
    <row r="151" spans="1:6" x14ac:dyDescent="0.3">
      <c r="A151" s="23" t="s">
        <v>831</v>
      </c>
      <c r="B151" s="21" t="s">
        <v>191</v>
      </c>
      <c r="C151" s="14" t="e">
        <f>Base!#REF!</f>
        <v>#REF!</v>
      </c>
      <c r="D151" s="34" t="s">
        <v>95</v>
      </c>
      <c r="E151" s="43" t="e">
        <f>Base!#REF!*1.08</f>
        <v>#REF!</v>
      </c>
      <c r="F151" s="15">
        <f t="shared" si="2"/>
        <v>0</v>
      </c>
    </row>
    <row r="152" spans="1:6" ht="28.8" x14ac:dyDescent="0.3">
      <c r="A152" s="6">
        <v>4027</v>
      </c>
      <c r="B152" s="24" t="s">
        <v>197</v>
      </c>
      <c r="C152" s="14">
        <f>Base!C84</f>
        <v>0</v>
      </c>
      <c r="D152" s="46" t="s">
        <v>9</v>
      </c>
      <c r="E152" s="43">
        <v>0</v>
      </c>
      <c r="F152" s="15"/>
    </row>
    <row r="153" spans="1:6" x14ac:dyDescent="0.3">
      <c r="A153" s="23" t="s">
        <v>832</v>
      </c>
      <c r="B153" s="21" t="s">
        <v>170</v>
      </c>
      <c r="C153" s="14">
        <f>Base!C85</f>
        <v>1750</v>
      </c>
      <c r="D153" s="34" t="s">
        <v>95</v>
      </c>
      <c r="E153" s="43">
        <f>Base!E85*1.08</f>
        <v>0</v>
      </c>
      <c r="F153" s="15">
        <f t="shared" si="2"/>
        <v>0</v>
      </c>
    </row>
    <row r="154" spans="1:6" x14ac:dyDescent="0.3">
      <c r="A154" s="23" t="s">
        <v>833</v>
      </c>
      <c r="B154" s="21" t="s">
        <v>172</v>
      </c>
      <c r="C154" s="14">
        <f>Base!C86</f>
        <v>1750</v>
      </c>
      <c r="D154" s="34" t="s">
        <v>95</v>
      </c>
      <c r="E154" s="43">
        <f>Base!E86*1.08</f>
        <v>0</v>
      </c>
      <c r="F154" s="15">
        <f t="shared" si="2"/>
        <v>0</v>
      </c>
    </row>
    <row r="155" spans="1:6" x14ac:dyDescent="0.3">
      <c r="A155" s="23" t="s">
        <v>834</v>
      </c>
      <c r="B155" s="21" t="s">
        <v>174</v>
      </c>
      <c r="C155" s="14">
        <f>Base!C87</f>
        <v>1750</v>
      </c>
      <c r="D155" s="34" t="s">
        <v>95</v>
      </c>
      <c r="E155" s="43">
        <f>Base!E87*1.08</f>
        <v>0</v>
      </c>
      <c r="F155" s="15">
        <f t="shared" si="2"/>
        <v>0</v>
      </c>
    </row>
    <row r="156" spans="1:6" x14ac:dyDescent="0.3">
      <c r="A156" s="23" t="s">
        <v>835</v>
      </c>
      <c r="B156" s="21" t="s">
        <v>190</v>
      </c>
      <c r="C156" s="14">
        <f>Base!C88</f>
        <v>1750</v>
      </c>
      <c r="D156" s="34" t="s">
        <v>95</v>
      </c>
      <c r="E156" s="43">
        <f>Base!E88*1.08</f>
        <v>0</v>
      </c>
      <c r="F156" s="15">
        <f t="shared" si="2"/>
        <v>0</v>
      </c>
    </row>
    <row r="157" spans="1:6" x14ac:dyDescent="0.3">
      <c r="A157" s="23" t="s">
        <v>836</v>
      </c>
      <c r="B157" s="21" t="s">
        <v>179</v>
      </c>
      <c r="C157" s="14">
        <f>Base!C89</f>
        <v>1750</v>
      </c>
      <c r="D157" s="34" t="s">
        <v>95</v>
      </c>
      <c r="E157" s="43">
        <f>Base!E89*1.08</f>
        <v>0</v>
      </c>
      <c r="F157" s="15">
        <f t="shared" si="2"/>
        <v>0</v>
      </c>
    </row>
    <row r="158" spans="1:6" x14ac:dyDescent="0.3">
      <c r="A158" s="23" t="s">
        <v>837</v>
      </c>
      <c r="B158" s="21" t="s">
        <v>181</v>
      </c>
      <c r="C158" s="14">
        <f>Base!C90</f>
        <v>1750</v>
      </c>
      <c r="D158" s="34" t="s">
        <v>95</v>
      </c>
      <c r="E158" s="43">
        <f>Base!E90*1.08</f>
        <v>0</v>
      </c>
      <c r="F158" s="15">
        <f t="shared" si="2"/>
        <v>0</v>
      </c>
    </row>
    <row r="159" spans="1:6" s="19" customFormat="1" x14ac:dyDescent="0.3">
      <c r="A159" s="23" t="s">
        <v>838</v>
      </c>
      <c r="B159" s="21" t="s">
        <v>183</v>
      </c>
      <c r="C159" s="14">
        <f>Base!C91</f>
        <v>1750</v>
      </c>
      <c r="D159" s="34" t="s">
        <v>95</v>
      </c>
      <c r="E159" s="43">
        <f>Base!E91*1.08</f>
        <v>0</v>
      </c>
      <c r="F159" s="15">
        <f t="shared" si="2"/>
        <v>0</v>
      </c>
    </row>
    <row r="160" spans="1:6" x14ac:dyDescent="0.3">
      <c r="A160" s="23" t="s">
        <v>839</v>
      </c>
      <c r="B160" s="21" t="s">
        <v>191</v>
      </c>
      <c r="C160" s="14" t="e">
        <f>Base!#REF!</f>
        <v>#REF!</v>
      </c>
      <c r="D160" s="34" t="s">
        <v>95</v>
      </c>
      <c r="E160" s="43" t="e">
        <f>Base!#REF!*1.08</f>
        <v>#REF!</v>
      </c>
      <c r="F160" s="15">
        <f t="shared" si="2"/>
        <v>0</v>
      </c>
    </row>
    <row r="161" spans="1:6" ht="28.8" x14ac:dyDescent="0.3">
      <c r="A161" s="16">
        <v>4028</v>
      </c>
      <c r="B161" s="24" t="s">
        <v>207</v>
      </c>
      <c r="C161" s="14">
        <f>Base!C140</f>
        <v>0</v>
      </c>
      <c r="D161" s="48" t="s">
        <v>9</v>
      </c>
      <c r="E161" s="43">
        <v>0</v>
      </c>
      <c r="F161" s="15"/>
    </row>
    <row r="162" spans="1:6" x14ac:dyDescent="0.3">
      <c r="A162" s="23" t="s">
        <v>840</v>
      </c>
      <c r="B162" s="21" t="s">
        <v>128</v>
      </c>
      <c r="C162" s="14">
        <f>Base!C141</f>
        <v>1</v>
      </c>
      <c r="D162" s="34" t="s">
        <v>12</v>
      </c>
      <c r="E162" s="43">
        <f>Base!E141*1.08</f>
        <v>0</v>
      </c>
      <c r="F162" s="15">
        <f t="shared" si="2"/>
        <v>0</v>
      </c>
    </row>
    <row r="163" spans="1:6" x14ac:dyDescent="0.3">
      <c r="A163" s="23" t="s">
        <v>841</v>
      </c>
      <c r="B163" s="18" t="s">
        <v>129</v>
      </c>
      <c r="C163" s="14">
        <f>Base!C142</f>
        <v>1</v>
      </c>
      <c r="D163" s="47" t="s">
        <v>12</v>
      </c>
      <c r="E163" s="43">
        <f>Base!E142*1.08</f>
        <v>0</v>
      </c>
      <c r="F163" s="15">
        <f t="shared" si="2"/>
        <v>0</v>
      </c>
    </row>
    <row r="164" spans="1:6" s="25" customFormat="1" ht="28.8" x14ac:dyDescent="0.3">
      <c r="A164" s="23" t="s">
        <v>842</v>
      </c>
      <c r="B164" s="18" t="s">
        <v>210</v>
      </c>
      <c r="C164" s="14">
        <f>Base!C143</f>
        <v>1000</v>
      </c>
      <c r="D164" s="47" t="s">
        <v>131</v>
      </c>
      <c r="E164" s="43">
        <f>Base!E143*1.08</f>
        <v>0</v>
      </c>
      <c r="F164" s="15">
        <f t="shared" si="2"/>
        <v>0</v>
      </c>
    </row>
    <row r="165" spans="1:6" x14ac:dyDescent="0.3">
      <c r="A165" s="23" t="s">
        <v>843</v>
      </c>
      <c r="B165" s="18" t="s">
        <v>211</v>
      </c>
      <c r="C165" s="14">
        <f>Base!C144</f>
        <v>1000</v>
      </c>
      <c r="D165" s="47" t="s">
        <v>131</v>
      </c>
      <c r="E165" s="43">
        <f>Base!E144*1.08</f>
        <v>0</v>
      </c>
      <c r="F165" s="15">
        <f t="shared" si="2"/>
        <v>0</v>
      </c>
    </row>
    <row r="166" spans="1:6" x14ac:dyDescent="0.3">
      <c r="A166" s="23" t="s">
        <v>844</v>
      </c>
      <c r="B166" s="18" t="s">
        <v>212</v>
      </c>
      <c r="C166" s="14">
        <f>Base!C145</f>
        <v>1000</v>
      </c>
      <c r="D166" s="47" t="s">
        <v>131</v>
      </c>
      <c r="E166" s="43">
        <f>Base!E145*1.08</f>
        <v>0</v>
      </c>
      <c r="F166" s="15">
        <f t="shared" si="2"/>
        <v>0</v>
      </c>
    </row>
    <row r="167" spans="1:6" x14ac:dyDescent="0.3">
      <c r="A167" s="23" t="s">
        <v>845</v>
      </c>
      <c r="B167" s="28" t="s">
        <v>213</v>
      </c>
      <c r="C167" s="14">
        <f>Base!C146</f>
        <v>1000</v>
      </c>
      <c r="D167" s="47" t="s">
        <v>131</v>
      </c>
      <c r="E167" s="43">
        <f>Base!E146*1.08</f>
        <v>0</v>
      </c>
      <c r="F167" s="15">
        <f t="shared" si="2"/>
        <v>0</v>
      </c>
    </row>
    <row r="168" spans="1:6" ht="28.8" x14ac:dyDescent="0.3">
      <c r="A168" s="23" t="s">
        <v>846</v>
      </c>
      <c r="B168" s="21" t="s">
        <v>214</v>
      </c>
      <c r="C168" s="14">
        <f>Base!C147</f>
        <v>50</v>
      </c>
      <c r="D168" s="47" t="s">
        <v>131</v>
      </c>
      <c r="E168" s="43">
        <f>Base!E147*1.08</f>
        <v>0</v>
      </c>
      <c r="F168" s="15">
        <f t="shared" si="2"/>
        <v>0</v>
      </c>
    </row>
    <row r="169" spans="1:6" ht="28.8" x14ac:dyDescent="0.3">
      <c r="A169" s="23" t="s">
        <v>847</v>
      </c>
      <c r="B169" s="21" t="s">
        <v>215</v>
      </c>
      <c r="C169" s="14">
        <f>Base!C148</f>
        <v>50</v>
      </c>
      <c r="D169" s="47" t="s">
        <v>131</v>
      </c>
      <c r="E169" s="43">
        <f>Base!E148*1.08</f>
        <v>0</v>
      </c>
      <c r="F169" s="15">
        <f t="shared" si="2"/>
        <v>0</v>
      </c>
    </row>
    <row r="170" spans="1:6" ht="28.8" x14ac:dyDescent="0.3">
      <c r="A170" s="23" t="s">
        <v>848</v>
      </c>
      <c r="B170" s="21" t="s">
        <v>216</v>
      </c>
      <c r="C170" s="14">
        <f>Base!C149</f>
        <v>50</v>
      </c>
      <c r="D170" s="47" t="s">
        <v>131</v>
      </c>
      <c r="E170" s="43">
        <f>Base!E149*1.08</f>
        <v>0</v>
      </c>
      <c r="F170" s="15">
        <f t="shared" si="2"/>
        <v>0</v>
      </c>
    </row>
    <row r="171" spans="1:6" x14ac:dyDescent="0.3">
      <c r="A171" s="29" t="s">
        <v>849</v>
      </c>
      <c r="B171" s="30" t="s">
        <v>138</v>
      </c>
      <c r="C171" s="14">
        <f>Base!C165</f>
        <v>50</v>
      </c>
      <c r="D171" s="47" t="s">
        <v>131</v>
      </c>
      <c r="E171" s="43">
        <f>Base!E165*1.08</f>
        <v>0</v>
      </c>
      <c r="F171" s="15">
        <f t="shared" si="2"/>
        <v>0</v>
      </c>
    </row>
    <row r="172" spans="1:6" x14ac:dyDescent="0.3">
      <c r="A172" s="29" t="s">
        <v>850</v>
      </c>
      <c r="B172" s="30" t="s">
        <v>139</v>
      </c>
      <c r="C172" s="14">
        <f>Base!C166</f>
        <v>1000</v>
      </c>
      <c r="D172" s="47" t="s">
        <v>131</v>
      </c>
      <c r="E172" s="43">
        <f>Base!E166*1.08</f>
        <v>0</v>
      </c>
      <c r="F172" s="15">
        <f t="shared" si="2"/>
        <v>0</v>
      </c>
    </row>
    <row r="173" spans="1:6" x14ac:dyDescent="0.3">
      <c r="A173" s="31" t="s">
        <v>851</v>
      </c>
      <c r="B173" s="32" t="s">
        <v>140</v>
      </c>
      <c r="C173" s="14">
        <f>Base!C167</f>
        <v>50</v>
      </c>
      <c r="D173" s="47" t="s">
        <v>131</v>
      </c>
      <c r="E173" s="43">
        <f>Base!E167*1.08</f>
        <v>0</v>
      </c>
      <c r="F173" s="15">
        <f t="shared" si="2"/>
        <v>0</v>
      </c>
    </row>
    <row r="174" spans="1:6" x14ac:dyDescent="0.3">
      <c r="A174" s="31" t="s">
        <v>852</v>
      </c>
      <c r="B174" s="32" t="s">
        <v>141</v>
      </c>
      <c r="C174" s="14">
        <f>Base!C168</f>
        <v>50</v>
      </c>
      <c r="D174" s="47" t="s">
        <v>131</v>
      </c>
      <c r="E174" s="43">
        <f>Base!E168*1.08</f>
        <v>0</v>
      </c>
      <c r="F174" s="15">
        <f t="shared" si="2"/>
        <v>0</v>
      </c>
    </row>
    <row r="175" spans="1:6" ht="28.8" x14ac:dyDescent="0.3">
      <c r="A175" s="6" t="s">
        <v>882</v>
      </c>
      <c r="B175" s="24" t="s">
        <v>218</v>
      </c>
      <c r="C175" s="14">
        <f>Base!C150</f>
        <v>0</v>
      </c>
      <c r="D175" s="48" t="s">
        <v>9</v>
      </c>
      <c r="E175" s="43">
        <v>0</v>
      </c>
      <c r="F175" s="15"/>
    </row>
    <row r="176" spans="1:6" x14ac:dyDescent="0.3">
      <c r="A176" s="23" t="s">
        <v>883</v>
      </c>
      <c r="B176" s="18" t="s">
        <v>219</v>
      </c>
      <c r="C176" s="14">
        <f>Base!C151</f>
        <v>10000</v>
      </c>
      <c r="D176" s="47" t="s">
        <v>12</v>
      </c>
      <c r="E176" s="43">
        <f>Base!E151*1.08</f>
        <v>0</v>
      </c>
      <c r="F176" s="15">
        <f t="shared" si="2"/>
        <v>0</v>
      </c>
    </row>
    <row r="177" spans="1:6" x14ac:dyDescent="0.3">
      <c r="A177" s="23" t="s">
        <v>884</v>
      </c>
      <c r="B177" s="18" t="s">
        <v>148</v>
      </c>
      <c r="C177" s="14">
        <f>Base!C152</f>
        <v>20000</v>
      </c>
      <c r="D177" s="47" t="s">
        <v>12</v>
      </c>
      <c r="E177" s="43">
        <f>Base!E152*1.08</f>
        <v>0</v>
      </c>
      <c r="F177" s="15">
        <f t="shared" si="2"/>
        <v>0</v>
      </c>
    </row>
    <row r="178" spans="1:6" s="38" customFormat="1" x14ac:dyDescent="0.3">
      <c r="A178" s="23" t="s">
        <v>885</v>
      </c>
      <c r="B178" s="18" t="s">
        <v>220</v>
      </c>
      <c r="C178" s="14">
        <f>Base!C153</f>
        <v>5000</v>
      </c>
      <c r="D178" s="34" t="s">
        <v>12</v>
      </c>
      <c r="E178" s="43">
        <f>Base!E153*1.08</f>
        <v>0</v>
      </c>
      <c r="F178" s="15">
        <f t="shared" si="2"/>
        <v>0</v>
      </c>
    </row>
    <row r="179" spans="1:6" x14ac:dyDescent="0.3">
      <c r="A179" s="23" t="s">
        <v>886</v>
      </c>
      <c r="B179" s="18" t="s">
        <v>128</v>
      </c>
      <c r="C179" s="14">
        <f>Base!C154</f>
        <v>5000</v>
      </c>
      <c r="D179" s="34" t="s">
        <v>12</v>
      </c>
      <c r="E179" s="43">
        <f>Base!E154*1.08</f>
        <v>0</v>
      </c>
      <c r="F179" s="15">
        <f t="shared" si="2"/>
        <v>0</v>
      </c>
    </row>
    <row r="180" spans="1:6" x14ac:dyDescent="0.3">
      <c r="A180" s="23" t="s">
        <v>853</v>
      </c>
      <c r="B180" s="18" t="s">
        <v>129</v>
      </c>
      <c r="C180" s="14">
        <f>Base!C155</f>
        <v>20000</v>
      </c>
      <c r="D180" s="34" t="s">
        <v>12</v>
      </c>
      <c r="E180" s="43">
        <f>Base!E155*1.08</f>
        <v>0</v>
      </c>
      <c r="F180" s="15">
        <f t="shared" si="2"/>
        <v>0</v>
      </c>
    </row>
    <row r="181" spans="1:6" ht="28.8" x14ac:dyDescent="0.3">
      <c r="A181" s="16">
        <v>4031</v>
      </c>
      <c r="B181" s="22" t="s">
        <v>237</v>
      </c>
      <c r="C181" s="14">
        <f>Base!C171</f>
        <v>1</v>
      </c>
      <c r="D181" s="47" t="s">
        <v>222</v>
      </c>
      <c r="E181" s="43">
        <f>Base!E171*1.08</f>
        <v>0</v>
      </c>
      <c r="F181" s="15">
        <f t="shared" si="2"/>
        <v>0</v>
      </c>
    </row>
    <row r="182" spans="1:6" ht="28.8" x14ac:dyDescent="0.3">
      <c r="A182" s="6">
        <v>4032</v>
      </c>
      <c r="B182" s="24" t="s">
        <v>224</v>
      </c>
      <c r="C182" s="14">
        <f>Base!C158</f>
        <v>0</v>
      </c>
      <c r="D182" s="46" t="s">
        <v>9</v>
      </c>
      <c r="E182" s="43">
        <v>0</v>
      </c>
      <c r="F182" s="15"/>
    </row>
    <row r="183" spans="1:6" x14ac:dyDescent="0.3">
      <c r="A183" s="23" t="s">
        <v>854</v>
      </c>
      <c r="B183" s="21" t="s">
        <v>225</v>
      </c>
      <c r="C183" s="14">
        <f>Base!C159</f>
        <v>30</v>
      </c>
      <c r="D183" s="34" t="s">
        <v>226</v>
      </c>
      <c r="E183" s="43">
        <f>Base!E159*1.08</f>
        <v>0</v>
      </c>
      <c r="F183" s="15">
        <f t="shared" si="2"/>
        <v>0</v>
      </c>
    </row>
    <row r="184" spans="1:6" s="26" customFormat="1" x14ac:dyDescent="0.3">
      <c r="A184" s="23" t="s">
        <v>855</v>
      </c>
      <c r="B184" s="21" t="s">
        <v>227</v>
      </c>
      <c r="C184" s="14">
        <f>Base!C160</f>
        <v>30</v>
      </c>
      <c r="D184" s="34" t="s">
        <v>226</v>
      </c>
      <c r="E184" s="43">
        <f>Base!E160*1.08</f>
        <v>0</v>
      </c>
      <c r="F184" s="15">
        <f t="shared" si="2"/>
        <v>0</v>
      </c>
    </row>
    <row r="185" spans="1:6" s="25" customFormat="1" x14ac:dyDescent="0.3">
      <c r="A185" s="23" t="s">
        <v>856</v>
      </c>
      <c r="B185" s="21" t="s">
        <v>228</v>
      </c>
      <c r="C185" s="14" t="e">
        <f>Base!#REF!</f>
        <v>#REF!</v>
      </c>
      <c r="D185" s="34" t="s">
        <v>226</v>
      </c>
      <c r="E185" s="43" t="e">
        <f>Base!#REF!*1.08</f>
        <v>#REF!</v>
      </c>
      <c r="F185" s="15">
        <f t="shared" si="2"/>
        <v>0</v>
      </c>
    </row>
    <row r="186" spans="1:6" x14ac:dyDescent="0.3">
      <c r="A186" s="23" t="s">
        <v>857</v>
      </c>
      <c r="B186" s="21" t="s">
        <v>229</v>
      </c>
      <c r="C186" s="14" t="e">
        <f>Base!#REF!</f>
        <v>#REF!</v>
      </c>
      <c r="D186" s="34" t="s">
        <v>226</v>
      </c>
      <c r="E186" s="43" t="e">
        <f>Base!#REF!*1.08</f>
        <v>#REF!</v>
      </c>
      <c r="F186" s="15">
        <f t="shared" si="2"/>
        <v>0</v>
      </c>
    </row>
    <row r="187" spans="1:6" x14ac:dyDescent="0.3">
      <c r="A187" s="23" t="s">
        <v>858</v>
      </c>
      <c r="B187" s="21" t="s">
        <v>128</v>
      </c>
      <c r="C187" s="14" t="e">
        <f>Base!#REF!</f>
        <v>#REF!</v>
      </c>
      <c r="D187" s="34" t="s">
        <v>226</v>
      </c>
      <c r="E187" s="43" t="e">
        <f>Base!#REF!*1.08</f>
        <v>#REF!</v>
      </c>
      <c r="F187" s="15">
        <f t="shared" si="2"/>
        <v>0</v>
      </c>
    </row>
    <row r="188" spans="1:6" x14ac:dyDescent="0.3">
      <c r="A188" s="23" t="s">
        <v>859</v>
      </c>
      <c r="B188" s="21" t="s">
        <v>129</v>
      </c>
      <c r="C188" s="14" t="e">
        <f>Base!#REF!</f>
        <v>#REF!</v>
      </c>
      <c r="D188" s="34" t="s">
        <v>226</v>
      </c>
      <c r="E188" s="43" t="e">
        <f>Base!#REF!*1.08</f>
        <v>#REF!</v>
      </c>
      <c r="F188" s="15">
        <f t="shared" si="2"/>
        <v>0</v>
      </c>
    </row>
    <row r="189" spans="1:6" ht="28.8" x14ac:dyDescent="0.3">
      <c r="A189" s="6">
        <v>4033</v>
      </c>
      <c r="B189" s="24" t="s">
        <v>231</v>
      </c>
      <c r="C189" s="14">
        <f>Base!C161</f>
        <v>0</v>
      </c>
      <c r="D189" s="46" t="s">
        <v>9</v>
      </c>
      <c r="E189" s="43">
        <v>0</v>
      </c>
      <c r="F189" s="15"/>
    </row>
    <row r="190" spans="1:6" x14ac:dyDescent="0.3">
      <c r="A190" s="12" t="s">
        <v>860</v>
      </c>
      <c r="B190" s="21" t="s">
        <v>225</v>
      </c>
      <c r="C190" s="14">
        <f>Base!C162</f>
        <v>30</v>
      </c>
      <c r="D190" s="34" t="s">
        <v>226</v>
      </c>
      <c r="E190" s="43">
        <f>Base!E162*1.08</f>
        <v>0</v>
      </c>
      <c r="F190" s="15">
        <f t="shared" si="2"/>
        <v>0</v>
      </c>
    </row>
    <row r="191" spans="1:6" s="26" customFormat="1" x14ac:dyDescent="0.3">
      <c r="A191" s="12" t="s">
        <v>861</v>
      </c>
      <c r="B191" s="21" t="s">
        <v>227</v>
      </c>
      <c r="C191" s="14">
        <f>Base!C163</f>
        <v>30</v>
      </c>
      <c r="D191" s="34" t="s">
        <v>226</v>
      </c>
      <c r="E191" s="43">
        <f>Base!E163*1.08</f>
        <v>0</v>
      </c>
      <c r="F191" s="15">
        <f t="shared" si="2"/>
        <v>0</v>
      </c>
    </row>
    <row r="192" spans="1:6" s="25" customFormat="1" x14ac:dyDescent="0.3">
      <c r="A192" s="12" t="s">
        <v>862</v>
      </c>
      <c r="B192" s="21" t="s">
        <v>228</v>
      </c>
      <c r="C192" s="14" t="e">
        <f>Base!#REF!</f>
        <v>#REF!</v>
      </c>
      <c r="D192" s="34" t="s">
        <v>226</v>
      </c>
      <c r="E192" s="43" t="e">
        <f>Base!#REF!*1.08</f>
        <v>#REF!</v>
      </c>
      <c r="F192" s="15">
        <f t="shared" si="2"/>
        <v>0</v>
      </c>
    </row>
    <row r="193" spans="1:6" x14ac:dyDescent="0.3">
      <c r="A193" s="12" t="s">
        <v>863</v>
      </c>
      <c r="B193" s="21" t="s">
        <v>229</v>
      </c>
      <c r="C193" s="14" t="e">
        <f>Base!#REF!</f>
        <v>#REF!</v>
      </c>
      <c r="D193" s="34" t="s">
        <v>226</v>
      </c>
      <c r="E193" s="43" t="e">
        <f>Base!#REF!*1.08</f>
        <v>#REF!</v>
      </c>
      <c r="F193" s="15">
        <f t="shared" si="2"/>
        <v>0</v>
      </c>
    </row>
    <row r="194" spans="1:6" x14ac:dyDescent="0.3">
      <c r="A194" s="12" t="s">
        <v>864</v>
      </c>
      <c r="B194" s="21" t="s">
        <v>232</v>
      </c>
      <c r="C194" s="14" t="e">
        <f>Base!#REF!</f>
        <v>#REF!</v>
      </c>
      <c r="D194" s="34" t="s">
        <v>226</v>
      </c>
      <c r="E194" s="43" t="e">
        <f>Base!#REF!*1.08</f>
        <v>#REF!</v>
      </c>
      <c r="F194" s="15">
        <f t="shared" si="2"/>
        <v>0</v>
      </c>
    </row>
    <row r="195" spans="1:6" x14ac:dyDescent="0.3">
      <c r="A195" s="12" t="s">
        <v>865</v>
      </c>
      <c r="B195" s="21" t="s">
        <v>233</v>
      </c>
      <c r="C195" s="14" t="e">
        <f>Base!#REF!</f>
        <v>#REF!</v>
      </c>
      <c r="D195" s="34" t="s">
        <v>226</v>
      </c>
      <c r="E195" s="43" t="e">
        <f>Base!#REF!*1.08</f>
        <v>#REF!</v>
      </c>
      <c r="F195" s="15">
        <f t="shared" si="2"/>
        <v>0</v>
      </c>
    </row>
    <row r="196" spans="1:6" x14ac:dyDescent="0.3">
      <c r="A196" s="6">
        <v>4034</v>
      </c>
      <c r="B196" s="24" t="s">
        <v>234</v>
      </c>
      <c r="C196" s="14">
        <f>Base!C164</f>
        <v>50</v>
      </c>
      <c r="D196" s="34" t="s">
        <v>12</v>
      </c>
      <c r="E196" s="43">
        <f>Base!E164*1.08</f>
        <v>0</v>
      </c>
      <c r="F196" s="15">
        <f t="shared" si="2"/>
        <v>0</v>
      </c>
    </row>
    <row r="197" spans="1:6" ht="27.75" customHeight="1" x14ac:dyDescent="0.3">
      <c r="A197" s="107" t="s">
        <v>235</v>
      </c>
      <c r="B197" s="107"/>
      <c r="C197" s="107"/>
      <c r="D197" s="107"/>
      <c r="E197" s="107"/>
      <c r="F197" s="39">
        <f>SUM(F5:F196)</f>
        <v>0</v>
      </c>
    </row>
  </sheetData>
  <protectedRanges>
    <protectedRange sqref="E3:E196" name="Unit Prices"/>
    <protectedRange sqref="B5:B196" name="Description"/>
  </protectedRanges>
  <mergeCells count="3">
    <mergeCell ref="A1:F1"/>
    <mergeCell ref="A2:F2"/>
    <mergeCell ref="A197:E19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863bcaf-4433-4a95-89dd-302e4b0159a1}" enabled="0" method="" siteId="{2863bcaf-4433-4a95-89dd-302e4b015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SUMMARY</vt:lpstr>
      <vt:lpstr>Base</vt:lpstr>
      <vt:lpstr>OY1</vt:lpstr>
      <vt:lpstr>OY2</vt:lpstr>
      <vt:lpstr>Opt YR 1</vt:lpstr>
      <vt:lpstr>Opt YR 2</vt:lpstr>
      <vt:lpstr>Opt YR 3</vt:lpstr>
      <vt:lpstr>Opt YR 4</vt:lpstr>
      <vt:lpstr>Base!Print_Area</vt:lpstr>
      <vt:lpstr>'OY1'!Print_Area</vt:lpstr>
      <vt:lpstr>'OY2'!Print_Area</vt:lpstr>
      <vt:lpstr>Base!Print_Titles</vt:lpstr>
      <vt:lpstr>'OY1'!Print_Titles</vt:lpstr>
      <vt:lpstr>'OY2'!Print_Titles</vt:lpstr>
    </vt:vector>
  </TitlesOfParts>
  <Company>DHS/FEMA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RyanD</dc:creator>
  <cp:lastModifiedBy>Sweetney, Danielle</cp:lastModifiedBy>
  <cp:lastPrinted>2025-10-07T15:46:26Z</cp:lastPrinted>
  <dcterms:created xsi:type="dcterms:W3CDTF">2019-04-02T17:16:43Z</dcterms:created>
  <dcterms:modified xsi:type="dcterms:W3CDTF">2026-04-15T14:00:11Z</dcterms:modified>
</cp:coreProperties>
</file>